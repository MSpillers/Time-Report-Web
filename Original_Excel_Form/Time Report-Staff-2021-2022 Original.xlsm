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mcfry\Documents\SeniorProject\"/>
    </mc:Choice>
  </mc:AlternateContent>
  <xr:revisionPtr revIDLastSave="0" documentId="13_ncr:1_{19A8B9E8-CE47-4015-955E-B8BA54FC6CFA}" xr6:coauthVersionLast="47" xr6:coauthVersionMax="47" xr10:uidLastSave="{00000000-0000-0000-0000-000000000000}"/>
  <bookViews>
    <workbookView xWindow="27360" yWindow="5940" windowWidth="21600" windowHeight="11400" firstSheet="14" activeTab="18" xr2:uid="{00000000-000D-0000-FFFF-FFFF00000000}"/>
  </bookViews>
  <sheets>
    <sheet name="Conversion Factors-Print  Copy" sheetId="57" r:id="rId1"/>
    <sheet name="Admn Closing Instructions" sheetId="95" r:id="rId2"/>
    <sheet name="Previous June Split WK HRS" sheetId="7" r:id="rId3"/>
    <sheet name="Notes for New Year" sheetId="58" r:id="rId4"/>
    <sheet name="Conversion Factors" sheetId="2" r:id="rId5"/>
    <sheet name="Dates &amp; Notes" sheetId="8" r:id="rId6"/>
    <sheet name="July 1 - July 15" sheetId="109" r:id="rId7"/>
    <sheet name="July 16 - July 31" sheetId="110" r:id="rId8"/>
    <sheet name="Aug 1 - Aug 15" sheetId="111" r:id="rId9"/>
    <sheet name="Aug 16 - Aug 31" sheetId="113" r:id="rId10"/>
    <sheet name="Sept 1 - Sept 15" sheetId="114" r:id="rId11"/>
    <sheet name="Sept 16 - Sept 30" sheetId="115" r:id="rId12"/>
    <sheet name="Oct 1 - Oct 15" sheetId="116" r:id="rId13"/>
    <sheet name="Oct 16 - Oct 31" sheetId="117" r:id="rId14"/>
    <sheet name="Nov 1 - Nov 15" sheetId="118" r:id="rId15"/>
    <sheet name="Nov 16 - Nov 30" sheetId="119" r:id="rId16"/>
    <sheet name="Dec 1 - Dec 15" sheetId="120" r:id="rId17"/>
    <sheet name="Dec 16 - Dec 31" sheetId="121" r:id="rId18"/>
    <sheet name="Jan 1 - Jan 15" sheetId="122" r:id="rId19"/>
    <sheet name="Jan 16 - Jan 31" sheetId="123" r:id="rId20"/>
    <sheet name="Feb 1 - Feb 15" sheetId="124" r:id="rId21"/>
    <sheet name="Feb 16 - Feb 28" sheetId="125" r:id="rId22"/>
    <sheet name="Mar 1 - Mar 15" sheetId="126" r:id="rId23"/>
    <sheet name="Mar 16 - Mar 31" sheetId="127" r:id="rId24"/>
    <sheet name="Apr 1 - Apr 15" sheetId="128" r:id="rId25"/>
    <sheet name="Apr 16 - Apr 30" sheetId="129" r:id="rId26"/>
    <sheet name="May 1 - May 15" sheetId="130" r:id="rId27"/>
    <sheet name="May 16 - May 31" sheetId="131" r:id="rId28"/>
    <sheet name="June 1 - June 15" sheetId="132" r:id="rId29"/>
    <sheet name="June 16 - June 30" sheetId="133" r:id="rId30"/>
    <sheet name="Test File" sheetId="82" r:id="rId31"/>
    <sheet name="Holiday Dates" sheetId="5" r:id="rId32"/>
  </sheets>
  <definedNames>
    <definedName name="_xlnm.Print_Area" localSheetId="24">'Apr 1 - Apr 15'!$A$1:$X$56</definedName>
    <definedName name="_xlnm.Print_Area" localSheetId="25">'Apr 16 - Apr 30'!$A$1:$X$56</definedName>
    <definedName name="_xlnm.Print_Area" localSheetId="8">'Aug 1 - Aug 15'!$A$1:$X$56</definedName>
    <definedName name="_xlnm.Print_Area" localSheetId="9">'Aug 16 - Aug 31'!$A$1:$X$56</definedName>
    <definedName name="_xlnm.Print_Area" localSheetId="4">'Conversion Factors'!$A$1:$B$370</definedName>
    <definedName name="_xlnm.Print_Area" localSheetId="0">'Conversion Factors-Print  Copy'!$A$1:$W$55</definedName>
    <definedName name="_xlnm.Print_Area" localSheetId="5">'Dates &amp; Notes'!$A$1:$E$28</definedName>
    <definedName name="_xlnm.Print_Area" localSheetId="16">'Dec 1 - Dec 15'!$A$1:$X$56</definedName>
    <definedName name="_xlnm.Print_Area" localSheetId="17">'Dec 16 - Dec 31'!$A$1:$X$56</definedName>
    <definedName name="_xlnm.Print_Area" localSheetId="20">'Feb 1 - Feb 15'!$A$1:$X$56</definedName>
    <definedName name="_xlnm.Print_Area" localSheetId="21">'Feb 16 - Feb 28'!$A$1:$X$56</definedName>
    <definedName name="_xlnm.Print_Area" localSheetId="18">'Jan 1 - Jan 15'!$A$1:$X$56</definedName>
    <definedName name="_xlnm.Print_Area" localSheetId="19">'Jan 16 - Jan 31'!$A$1:$X$56</definedName>
    <definedName name="_xlnm.Print_Area" localSheetId="6">'July 1 - July 15'!$A$1:$X$56</definedName>
    <definedName name="_xlnm.Print_Area" localSheetId="7">'July 16 - July 31'!$A$1:$X$56</definedName>
    <definedName name="_xlnm.Print_Area" localSheetId="28">'June 1 - June 15'!$A$1:$X$56</definedName>
    <definedName name="_xlnm.Print_Area" localSheetId="29">'June 16 - June 30'!$A$1:$X$56</definedName>
    <definedName name="_xlnm.Print_Area" localSheetId="22">'Mar 1 - Mar 15'!$A$1:$X$56</definedName>
    <definedName name="_xlnm.Print_Area" localSheetId="23">'Mar 16 - Mar 31'!$A$1:$X$56</definedName>
    <definedName name="_xlnm.Print_Area" localSheetId="26">'May 1 - May 15'!$A$1:$X$56</definedName>
    <definedName name="_xlnm.Print_Area" localSheetId="27">'May 16 - May 31'!$A$1:$X$56</definedName>
    <definedName name="_xlnm.Print_Area" localSheetId="14">'Nov 1 - Nov 15'!$A$1:$X$56</definedName>
    <definedName name="_xlnm.Print_Area" localSheetId="15">'Nov 16 - Nov 30'!$A$1:$X$56</definedName>
    <definedName name="_xlnm.Print_Area" localSheetId="12">'Oct 1 - Oct 15'!$A$1:$X$56</definedName>
    <definedName name="_xlnm.Print_Area" localSheetId="13">'Oct 16 - Oct 31'!$A$1:$X$56</definedName>
    <definedName name="_xlnm.Print_Area" localSheetId="2">Table1[#All]</definedName>
    <definedName name="_xlnm.Print_Area" localSheetId="10">'Sept 1 - Sept 15'!$A$1:$X$56</definedName>
    <definedName name="_xlnm.Print_Area" localSheetId="11">'Sept 16 - Sept 30'!$A$1:$X$56</definedName>
    <definedName name="_xlnm.Print_Area" localSheetId="30">'Test File'!$A$1:$X$56</definedName>
    <definedName name="_xlnm.Print_Titles" localSheetId="4">'Conversion Factors'!$1:$5</definedName>
    <definedName name="_xlnm.Print_Titles" localSheetId="0">'Conversion Factors-Print  Copy'!$1:$5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K23" i="122" l="1"/>
  <c r="S29" i="132"/>
  <c r="BJ27" i="132"/>
  <c r="BK27" i="132" s="1"/>
  <c r="BM26" i="132"/>
  <c r="BK17" i="132"/>
  <c r="O30" i="120"/>
  <c r="O32" i="119"/>
  <c r="O31" i="119"/>
  <c r="O30" i="119"/>
  <c r="O36" i="115"/>
  <c r="O35" i="115"/>
  <c r="O34" i="115"/>
  <c r="O33" i="115"/>
  <c r="O32" i="115"/>
  <c r="O31" i="115"/>
  <c r="O30" i="115"/>
  <c r="N13" i="117"/>
  <c r="M13" i="117"/>
  <c r="L13" i="117"/>
  <c r="K13" i="117"/>
  <c r="J13" i="117"/>
  <c r="E21" i="130"/>
  <c r="E14" i="131"/>
  <c r="E13" i="131" s="1"/>
  <c r="G14" i="133"/>
  <c r="E29" i="115"/>
  <c r="F14" i="113"/>
  <c r="F13" i="113" s="1"/>
  <c r="N17" i="133"/>
  <c r="M17" i="133"/>
  <c r="L17" i="133"/>
  <c r="K17" i="133"/>
  <c r="J17" i="133"/>
  <c r="I17" i="133"/>
  <c r="H17" i="133"/>
  <c r="G17" i="133"/>
  <c r="F17" i="133"/>
  <c r="E17" i="133"/>
  <c r="N16" i="132"/>
  <c r="M16" i="132"/>
  <c r="L16" i="132"/>
  <c r="K16" i="132"/>
  <c r="J16" i="132"/>
  <c r="I16" i="132"/>
  <c r="H16" i="132"/>
  <c r="G16" i="132"/>
  <c r="F16" i="132"/>
  <c r="E16" i="132"/>
  <c r="N13" i="131"/>
  <c r="M13" i="131"/>
  <c r="L13" i="131"/>
  <c r="I13" i="131"/>
  <c r="N14" i="131"/>
  <c r="M14" i="131"/>
  <c r="L14" i="131"/>
  <c r="K14" i="131"/>
  <c r="K13" i="131" s="1"/>
  <c r="J14" i="131"/>
  <c r="J13" i="131" s="1"/>
  <c r="I14" i="131"/>
  <c r="H14" i="131"/>
  <c r="H13" i="131" s="1"/>
  <c r="G14" i="131"/>
  <c r="G13" i="131" s="1"/>
  <c r="F14" i="131"/>
  <c r="F13" i="131" s="1"/>
  <c r="O13" i="130"/>
  <c r="N19" i="129"/>
  <c r="M19" i="129"/>
  <c r="L19" i="129"/>
  <c r="K19" i="129"/>
  <c r="J19" i="129"/>
  <c r="I19" i="129"/>
  <c r="H19" i="129"/>
  <c r="G19" i="129"/>
  <c r="F19" i="129"/>
  <c r="E19" i="129"/>
  <c r="N18" i="128"/>
  <c r="M18" i="128"/>
  <c r="L18" i="128"/>
  <c r="K18" i="128"/>
  <c r="J18" i="128"/>
  <c r="I18" i="128"/>
  <c r="H18" i="128"/>
  <c r="G18" i="128"/>
  <c r="F18" i="128"/>
  <c r="E18" i="128"/>
  <c r="N16" i="127"/>
  <c r="M16" i="127"/>
  <c r="L16" i="127"/>
  <c r="K16" i="127"/>
  <c r="J16" i="127"/>
  <c r="I16" i="127"/>
  <c r="H16" i="127"/>
  <c r="G16" i="127"/>
  <c r="F16" i="127"/>
  <c r="E16" i="127"/>
  <c r="N15" i="126"/>
  <c r="M15" i="126"/>
  <c r="L15" i="126"/>
  <c r="K15" i="126"/>
  <c r="J15" i="126"/>
  <c r="I15" i="126"/>
  <c r="H15" i="126"/>
  <c r="G15" i="126"/>
  <c r="F15" i="126"/>
  <c r="E15" i="126"/>
  <c r="N16" i="125"/>
  <c r="M16" i="125"/>
  <c r="L16" i="125"/>
  <c r="K16" i="125"/>
  <c r="J16" i="125"/>
  <c r="I16" i="125"/>
  <c r="H16" i="125"/>
  <c r="G16" i="125"/>
  <c r="F16" i="125"/>
  <c r="E16" i="125"/>
  <c r="N13" i="124"/>
  <c r="K13" i="124"/>
  <c r="N15" i="124"/>
  <c r="M15" i="124"/>
  <c r="L15" i="124"/>
  <c r="K15" i="124"/>
  <c r="J15" i="124"/>
  <c r="I15" i="124"/>
  <c r="H15" i="124"/>
  <c r="H13" i="124" s="1"/>
  <c r="G15" i="124"/>
  <c r="F15" i="124"/>
  <c r="E15" i="124"/>
  <c r="N14" i="124"/>
  <c r="M14" i="124"/>
  <c r="M13" i="124" s="1"/>
  <c r="L14" i="124"/>
  <c r="L13" i="124" s="1"/>
  <c r="K14" i="124"/>
  <c r="J14" i="124"/>
  <c r="J13" i="124" s="1"/>
  <c r="I14" i="124"/>
  <c r="I13" i="124" s="1"/>
  <c r="H14" i="124"/>
  <c r="G14" i="124"/>
  <c r="F14" i="124"/>
  <c r="F13" i="124" s="1"/>
  <c r="E14" i="124"/>
  <c r="O13" i="123"/>
  <c r="N19" i="122"/>
  <c r="M19" i="122"/>
  <c r="L19" i="122"/>
  <c r="K19" i="122"/>
  <c r="J19" i="122"/>
  <c r="I19" i="122"/>
  <c r="H19" i="122"/>
  <c r="G19" i="122"/>
  <c r="F19" i="122"/>
  <c r="E19" i="122"/>
  <c r="N17" i="121"/>
  <c r="M17" i="121"/>
  <c r="L17" i="121"/>
  <c r="K17" i="121"/>
  <c r="J17" i="121"/>
  <c r="I17" i="121"/>
  <c r="H17" i="121"/>
  <c r="G17" i="121"/>
  <c r="F17" i="121"/>
  <c r="E17" i="121"/>
  <c r="N16" i="120"/>
  <c r="M16" i="120"/>
  <c r="L16" i="120"/>
  <c r="K16" i="120"/>
  <c r="J16" i="120"/>
  <c r="I16" i="120"/>
  <c r="H16" i="120"/>
  <c r="G16" i="120"/>
  <c r="F16" i="120"/>
  <c r="E16" i="120"/>
  <c r="E14" i="119"/>
  <c r="E15" i="119"/>
  <c r="N15" i="119"/>
  <c r="M15" i="119"/>
  <c r="L15" i="119"/>
  <c r="K15" i="119"/>
  <c r="J15" i="119"/>
  <c r="I15" i="119"/>
  <c r="H15" i="119"/>
  <c r="G15" i="119"/>
  <c r="F15" i="119"/>
  <c r="M13" i="118"/>
  <c r="L13" i="118"/>
  <c r="K13" i="118"/>
  <c r="J13" i="118"/>
  <c r="N14" i="118"/>
  <c r="N13" i="118" s="1"/>
  <c r="M14" i="118"/>
  <c r="L14" i="118"/>
  <c r="K14" i="118"/>
  <c r="J14" i="118"/>
  <c r="I14" i="118"/>
  <c r="I13" i="118" s="1"/>
  <c r="H14" i="118"/>
  <c r="H13" i="118" s="1"/>
  <c r="G14" i="118"/>
  <c r="G13" i="118" s="1"/>
  <c r="F14" i="118"/>
  <c r="F13" i="118" s="1"/>
  <c r="E14" i="118"/>
  <c r="E13" i="118" s="1"/>
  <c r="N19" i="117"/>
  <c r="M19" i="117"/>
  <c r="L19" i="117"/>
  <c r="K19" i="117"/>
  <c r="J19" i="117"/>
  <c r="I19" i="117"/>
  <c r="H19" i="117"/>
  <c r="G19" i="117"/>
  <c r="F19" i="117"/>
  <c r="E19" i="117"/>
  <c r="N18" i="116"/>
  <c r="M18" i="116"/>
  <c r="L18" i="116"/>
  <c r="K18" i="116"/>
  <c r="J18" i="116"/>
  <c r="I18" i="116"/>
  <c r="H18" i="116"/>
  <c r="G18" i="116"/>
  <c r="F18" i="116"/>
  <c r="E18" i="116"/>
  <c r="N17" i="115"/>
  <c r="M17" i="115"/>
  <c r="L17" i="115"/>
  <c r="K17" i="115"/>
  <c r="J17" i="115"/>
  <c r="I17" i="115"/>
  <c r="H17" i="115"/>
  <c r="G17" i="115"/>
  <c r="F17" i="115"/>
  <c r="E17" i="115"/>
  <c r="N16" i="114"/>
  <c r="M16" i="114"/>
  <c r="L16" i="114"/>
  <c r="K16" i="114"/>
  <c r="J16" i="114"/>
  <c r="I16" i="114"/>
  <c r="H16" i="114"/>
  <c r="G16" i="114"/>
  <c r="F16" i="114"/>
  <c r="E16" i="114"/>
  <c r="N14" i="113"/>
  <c r="N13" i="113" s="1"/>
  <c r="M14" i="113"/>
  <c r="M13" i="113" s="1"/>
  <c r="L14" i="113"/>
  <c r="L13" i="113" s="1"/>
  <c r="K14" i="113"/>
  <c r="K13" i="113" s="1"/>
  <c r="J14" i="113"/>
  <c r="J13" i="113" s="1"/>
  <c r="I14" i="113"/>
  <c r="I13" i="113" s="1"/>
  <c r="H14" i="113"/>
  <c r="H13" i="113" s="1"/>
  <c r="G14" i="113"/>
  <c r="G13" i="113" s="1"/>
  <c r="E14" i="113"/>
  <c r="E13" i="113" s="1"/>
  <c r="N18" i="110"/>
  <c r="M18" i="110"/>
  <c r="L18" i="110"/>
  <c r="K18" i="110"/>
  <c r="J18" i="110"/>
  <c r="I18" i="110"/>
  <c r="H18" i="110"/>
  <c r="G18" i="110"/>
  <c r="F18" i="110"/>
  <c r="E18" i="110"/>
  <c r="G13" i="124" l="1"/>
  <c r="E13" i="124"/>
  <c r="O13" i="124" s="1"/>
  <c r="O13" i="131"/>
  <c r="E13" i="119"/>
  <c r="O13" i="118"/>
  <c r="O13" i="113"/>
  <c r="N17" i="109"/>
  <c r="M17" i="109"/>
  <c r="L17" i="109"/>
  <c r="K17" i="109"/>
  <c r="J17" i="109"/>
  <c r="I17" i="109"/>
  <c r="H17" i="109"/>
  <c r="G17" i="109"/>
  <c r="F17" i="109"/>
  <c r="E17" i="109" l="1"/>
  <c r="A6" i="2" l="1"/>
  <c r="E14" i="133"/>
  <c r="F14" i="133"/>
  <c r="H14" i="133"/>
  <c r="I14" i="133"/>
  <c r="I13" i="133" s="1"/>
  <c r="J14" i="133"/>
  <c r="K14" i="133"/>
  <c r="L14" i="133"/>
  <c r="M14" i="133"/>
  <c r="N14" i="133"/>
  <c r="E15" i="133"/>
  <c r="F15" i="133"/>
  <c r="G15" i="133"/>
  <c r="G13" i="133" s="1"/>
  <c r="H15" i="133"/>
  <c r="I15" i="133"/>
  <c r="J15" i="133"/>
  <c r="K15" i="133"/>
  <c r="L15" i="133"/>
  <c r="M15" i="133"/>
  <c r="N15" i="133"/>
  <c r="E16" i="133"/>
  <c r="F16" i="133"/>
  <c r="G16" i="133"/>
  <c r="H16" i="133"/>
  <c r="I16" i="133"/>
  <c r="J16" i="133"/>
  <c r="K16" i="133"/>
  <c r="L16" i="133"/>
  <c r="M16" i="133"/>
  <c r="N16" i="133"/>
  <c r="E14" i="132"/>
  <c r="F14" i="132"/>
  <c r="G14" i="132"/>
  <c r="G13" i="132" s="1"/>
  <c r="H14" i="132"/>
  <c r="I14" i="132"/>
  <c r="J14" i="132"/>
  <c r="J13" i="132" s="1"/>
  <c r="K14" i="132"/>
  <c r="K13" i="132" s="1"/>
  <c r="L14" i="132"/>
  <c r="L13" i="132" s="1"/>
  <c r="M14" i="132"/>
  <c r="M13" i="132" s="1"/>
  <c r="N14" i="132"/>
  <c r="E15" i="132"/>
  <c r="F15" i="132"/>
  <c r="G15" i="132"/>
  <c r="H15" i="132"/>
  <c r="I15" i="132"/>
  <c r="J15" i="132"/>
  <c r="K15" i="132"/>
  <c r="L15" i="132"/>
  <c r="M15" i="132"/>
  <c r="N15" i="132"/>
  <c r="E14" i="129"/>
  <c r="F14" i="129"/>
  <c r="G14" i="129"/>
  <c r="H14" i="129"/>
  <c r="I14" i="129"/>
  <c r="J14" i="129"/>
  <c r="K14" i="129"/>
  <c r="L14" i="129"/>
  <c r="M14" i="129"/>
  <c r="N14" i="129"/>
  <c r="E15" i="129"/>
  <c r="F15" i="129"/>
  <c r="G15" i="129"/>
  <c r="H15" i="129"/>
  <c r="I15" i="129"/>
  <c r="J15" i="129"/>
  <c r="K15" i="129"/>
  <c r="L15" i="129"/>
  <c r="M15" i="129"/>
  <c r="N15" i="129"/>
  <c r="E16" i="129"/>
  <c r="F16" i="129"/>
  <c r="G16" i="129"/>
  <c r="H16" i="129"/>
  <c r="I16" i="129"/>
  <c r="J16" i="129"/>
  <c r="K16" i="129"/>
  <c r="L16" i="129"/>
  <c r="M16" i="129"/>
  <c r="N16" i="129"/>
  <c r="E17" i="129"/>
  <c r="F17" i="129"/>
  <c r="G17" i="129"/>
  <c r="H17" i="129"/>
  <c r="I17" i="129"/>
  <c r="J17" i="129"/>
  <c r="K17" i="129"/>
  <c r="L17" i="129"/>
  <c r="M17" i="129"/>
  <c r="N17" i="129"/>
  <c r="E18" i="129"/>
  <c r="F18" i="129"/>
  <c r="G18" i="129"/>
  <c r="H18" i="129"/>
  <c r="I18" i="129"/>
  <c r="J18" i="129"/>
  <c r="K18" i="129"/>
  <c r="L18" i="129"/>
  <c r="M18" i="129"/>
  <c r="N18" i="129"/>
  <c r="E14" i="128"/>
  <c r="F14" i="128"/>
  <c r="G14" i="128"/>
  <c r="H14" i="128"/>
  <c r="I14" i="128"/>
  <c r="J14" i="128"/>
  <c r="K14" i="128"/>
  <c r="L14" i="128"/>
  <c r="M14" i="128"/>
  <c r="N14" i="128"/>
  <c r="E15" i="128"/>
  <c r="F15" i="128"/>
  <c r="G15" i="128"/>
  <c r="H15" i="128"/>
  <c r="I15" i="128"/>
  <c r="J15" i="128"/>
  <c r="K15" i="128"/>
  <c r="L15" i="128"/>
  <c r="M15" i="128"/>
  <c r="N15" i="128"/>
  <c r="E16" i="128"/>
  <c r="F16" i="128"/>
  <c r="G16" i="128"/>
  <c r="H16" i="128"/>
  <c r="I16" i="128"/>
  <c r="J16" i="128"/>
  <c r="K16" i="128"/>
  <c r="L16" i="128"/>
  <c r="M16" i="128"/>
  <c r="N16" i="128"/>
  <c r="E17" i="128"/>
  <c r="F17" i="128"/>
  <c r="G17" i="128"/>
  <c r="H17" i="128"/>
  <c r="I17" i="128"/>
  <c r="J17" i="128"/>
  <c r="K17" i="128"/>
  <c r="L17" i="128"/>
  <c r="M17" i="128"/>
  <c r="N17" i="128"/>
  <c r="E14" i="127"/>
  <c r="F14" i="127"/>
  <c r="G14" i="127"/>
  <c r="H14" i="127"/>
  <c r="H13" i="127" s="1"/>
  <c r="I14" i="127"/>
  <c r="I13" i="127" s="1"/>
  <c r="J14" i="127"/>
  <c r="J13" i="127" s="1"/>
  <c r="K14" i="127"/>
  <c r="K13" i="127" s="1"/>
  <c r="L14" i="127"/>
  <c r="M14" i="127"/>
  <c r="N14" i="127"/>
  <c r="N13" i="127" s="1"/>
  <c r="E15" i="127"/>
  <c r="F15" i="127"/>
  <c r="G15" i="127"/>
  <c r="H15" i="127"/>
  <c r="I15" i="127"/>
  <c r="J15" i="127"/>
  <c r="K15" i="127"/>
  <c r="L15" i="127"/>
  <c r="M15" i="127"/>
  <c r="N15" i="127"/>
  <c r="E14" i="126"/>
  <c r="E13" i="126" s="1"/>
  <c r="F14" i="126"/>
  <c r="F13" i="126" s="1"/>
  <c r="G14" i="126"/>
  <c r="G13" i="126" s="1"/>
  <c r="H14" i="126"/>
  <c r="H13" i="126" s="1"/>
  <c r="I14" i="126"/>
  <c r="I13" i="126" s="1"/>
  <c r="J14" i="126"/>
  <c r="J13" i="126" s="1"/>
  <c r="K14" i="126"/>
  <c r="K13" i="126" s="1"/>
  <c r="L14" i="126"/>
  <c r="L13" i="126" s="1"/>
  <c r="M14" i="126"/>
  <c r="M13" i="126" s="1"/>
  <c r="N14" i="126"/>
  <c r="N13" i="126" s="1"/>
  <c r="E14" i="125"/>
  <c r="F14" i="125"/>
  <c r="G14" i="125"/>
  <c r="H14" i="125"/>
  <c r="H13" i="125" s="1"/>
  <c r="I14" i="125"/>
  <c r="I13" i="125" s="1"/>
  <c r="J14" i="125"/>
  <c r="J13" i="125" s="1"/>
  <c r="K14" i="125"/>
  <c r="K13" i="125" s="1"/>
  <c r="L14" i="125"/>
  <c r="M14" i="125"/>
  <c r="N14" i="125"/>
  <c r="N13" i="125" s="1"/>
  <c r="E15" i="125"/>
  <c r="F15" i="125"/>
  <c r="G15" i="125"/>
  <c r="H15" i="125"/>
  <c r="I15" i="125"/>
  <c r="J15" i="125"/>
  <c r="K15" i="125"/>
  <c r="L15" i="125"/>
  <c r="M15" i="125"/>
  <c r="N15" i="125"/>
  <c r="E14" i="122"/>
  <c r="F14" i="122"/>
  <c r="G14" i="122"/>
  <c r="H14" i="122"/>
  <c r="I14" i="122"/>
  <c r="J14" i="122"/>
  <c r="K14" i="122"/>
  <c r="L14" i="122"/>
  <c r="M14" i="122"/>
  <c r="N14" i="122"/>
  <c r="E15" i="122"/>
  <c r="F15" i="122"/>
  <c r="G15" i="122"/>
  <c r="H15" i="122"/>
  <c r="I15" i="122"/>
  <c r="J15" i="122"/>
  <c r="K15" i="122"/>
  <c r="L15" i="122"/>
  <c r="M15" i="122"/>
  <c r="N15" i="122"/>
  <c r="E16" i="122"/>
  <c r="F16" i="122"/>
  <c r="G16" i="122"/>
  <c r="H16" i="122"/>
  <c r="I16" i="122"/>
  <c r="J16" i="122"/>
  <c r="K16" i="122"/>
  <c r="L16" i="122"/>
  <c r="M16" i="122"/>
  <c r="N16" i="122"/>
  <c r="E17" i="122"/>
  <c r="F17" i="122"/>
  <c r="G17" i="122"/>
  <c r="H17" i="122"/>
  <c r="I17" i="122"/>
  <c r="J17" i="122"/>
  <c r="K17" i="122"/>
  <c r="L17" i="122"/>
  <c r="M17" i="122"/>
  <c r="N17" i="122"/>
  <c r="E18" i="122"/>
  <c r="F18" i="122"/>
  <c r="G18" i="122"/>
  <c r="H18" i="122"/>
  <c r="I18" i="122"/>
  <c r="J18" i="122"/>
  <c r="K18" i="122"/>
  <c r="L18" i="122"/>
  <c r="M18" i="122"/>
  <c r="N18" i="122"/>
  <c r="E14" i="121"/>
  <c r="F14" i="121"/>
  <c r="G14" i="121"/>
  <c r="G13" i="121" s="1"/>
  <c r="H14" i="121"/>
  <c r="H13" i="121" s="1"/>
  <c r="I14" i="121"/>
  <c r="I13" i="121" s="1"/>
  <c r="J14" i="121"/>
  <c r="J13" i="121" s="1"/>
  <c r="K14" i="121"/>
  <c r="K13" i="121" s="1"/>
  <c r="L14" i="121"/>
  <c r="L13" i="121" s="1"/>
  <c r="M14" i="121"/>
  <c r="M13" i="121" s="1"/>
  <c r="N14" i="121"/>
  <c r="N13" i="121" s="1"/>
  <c r="E15" i="121"/>
  <c r="F15" i="121"/>
  <c r="G15" i="121"/>
  <c r="H15" i="121"/>
  <c r="I15" i="121"/>
  <c r="J15" i="121"/>
  <c r="K15" i="121"/>
  <c r="L15" i="121"/>
  <c r="M15" i="121"/>
  <c r="N15" i="121"/>
  <c r="E16" i="121"/>
  <c r="F16" i="121"/>
  <c r="G16" i="121"/>
  <c r="H16" i="121"/>
  <c r="I16" i="121"/>
  <c r="J16" i="121"/>
  <c r="K16" i="121"/>
  <c r="L16" i="121"/>
  <c r="M16" i="121"/>
  <c r="N16" i="121"/>
  <c r="M13" i="120"/>
  <c r="E14" i="120"/>
  <c r="F14" i="120"/>
  <c r="G14" i="120"/>
  <c r="G13" i="120" s="1"/>
  <c r="H14" i="120"/>
  <c r="I14" i="120"/>
  <c r="I13" i="120" s="1"/>
  <c r="J14" i="120"/>
  <c r="J13" i="120" s="1"/>
  <c r="K14" i="120"/>
  <c r="L14" i="120"/>
  <c r="M14" i="120"/>
  <c r="N14" i="120"/>
  <c r="N13" i="120" s="1"/>
  <c r="E15" i="120"/>
  <c r="F15" i="120"/>
  <c r="G15" i="120"/>
  <c r="H15" i="120"/>
  <c r="I15" i="120"/>
  <c r="J15" i="120"/>
  <c r="K15" i="120"/>
  <c r="K13" i="120" s="1"/>
  <c r="L15" i="120"/>
  <c r="M15" i="120"/>
  <c r="N15" i="120"/>
  <c r="E14" i="117"/>
  <c r="F14" i="117"/>
  <c r="G14" i="117"/>
  <c r="H14" i="117"/>
  <c r="I14" i="117"/>
  <c r="J14" i="117"/>
  <c r="K14" i="117"/>
  <c r="L14" i="117"/>
  <c r="M14" i="117"/>
  <c r="N14" i="117"/>
  <c r="E15" i="117"/>
  <c r="F15" i="117"/>
  <c r="G15" i="117"/>
  <c r="H15" i="117"/>
  <c r="I15" i="117"/>
  <c r="J15" i="117"/>
  <c r="K15" i="117"/>
  <c r="L15" i="117"/>
  <c r="M15" i="117"/>
  <c r="N15" i="117"/>
  <c r="E16" i="117"/>
  <c r="F16" i="117"/>
  <c r="G16" i="117"/>
  <c r="H16" i="117"/>
  <c r="I16" i="117"/>
  <c r="J16" i="117"/>
  <c r="K16" i="117"/>
  <c r="L16" i="117"/>
  <c r="M16" i="117"/>
  <c r="N16" i="117"/>
  <c r="E17" i="117"/>
  <c r="F17" i="117"/>
  <c r="G17" i="117"/>
  <c r="H17" i="117"/>
  <c r="I17" i="117"/>
  <c r="J17" i="117"/>
  <c r="K17" i="117"/>
  <c r="L17" i="117"/>
  <c r="M17" i="117"/>
  <c r="N17" i="117"/>
  <c r="E18" i="117"/>
  <c r="F18" i="117"/>
  <c r="G18" i="117"/>
  <c r="H18" i="117"/>
  <c r="I18" i="117"/>
  <c r="J18" i="117"/>
  <c r="K18" i="117"/>
  <c r="L18" i="117"/>
  <c r="M18" i="117"/>
  <c r="N18" i="117"/>
  <c r="E14" i="116"/>
  <c r="F14" i="116"/>
  <c r="G14" i="116"/>
  <c r="H14" i="116"/>
  <c r="I14" i="116"/>
  <c r="J14" i="116"/>
  <c r="K14" i="116"/>
  <c r="L14" i="116"/>
  <c r="M14" i="116"/>
  <c r="N14" i="116"/>
  <c r="E15" i="116"/>
  <c r="F15" i="116"/>
  <c r="G15" i="116"/>
  <c r="H15" i="116"/>
  <c r="I15" i="116"/>
  <c r="J15" i="116"/>
  <c r="K15" i="116"/>
  <c r="L15" i="116"/>
  <c r="M15" i="116"/>
  <c r="N15" i="116"/>
  <c r="E16" i="116"/>
  <c r="F16" i="116"/>
  <c r="G16" i="116"/>
  <c r="H16" i="116"/>
  <c r="I16" i="116"/>
  <c r="J16" i="116"/>
  <c r="K16" i="116"/>
  <c r="L16" i="116"/>
  <c r="M16" i="116"/>
  <c r="N16" i="116"/>
  <c r="E17" i="116"/>
  <c r="F17" i="116"/>
  <c r="G17" i="116"/>
  <c r="H17" i="116"/>
  <c r="I17" i="116"/>
  <c r="J17" i="116"/>
  <c r="K17" i="116"/>
  <c r="L17" i="116"/>
  <c r="M17" i="116"/>
  <c r="N17" i="116"/>
  <c r="E14" i="115"/>
  <c r="F14" i="115"/>
  <c r="G14" i="115"/>
  <c r="H14" i="115"/>
  <c r="I14" i="115"/>
  <c r="J14" i="115"/>
  <c r="K14" i="115"/>
  <c r="L14" i="115"/>
  <c r="L13" i="115" s="1"/>
  <c r="M14" i="115"/>
  <c r="M13" i="115" s="1"/>
  <c r="N14" i="115"/>
  <c r="E15" i="115"/>
  <c r="F15" i="115"/>
  <c r="G15" i="115"/>
  <c r="H15" i="115"/>
  <c r="I15" i="115"/>
  <c r="J15" i="115"/>
  <c r="K15" i="115"/>
  <c r="L15" i="115"/>
  <c r="M15" i="115"/>
  <c r="N15" i="115"/>
  <c r="E16" i="115"/>
  <c r="F16" i="115"/>
  <c r="G16" i="115"/>
  <c r="H16" i="115"/>
  <c r="I16" i="115"/>
  <c r="J16" i="115"/>
  <c r="K16" i="115"/>
  <c r="L16" i="115"/>
  <c r="M16" i="115"/>
  <c r="N16" i="115"/>
  <c r="G13" i="115" l="1"/>
  <c r="F13" i="115"/>
  <c r="G21" i="116"/>
  <c r="F21" i="116"/>
  <c r="E13" i="117"/>
  <c r="I13" i="117"/>
  <c r="H13" i="117"/>
  <c r="G13" i="117"/>
  <c r="F13" i="117"/>
  <c r="H13" i="120"/>
  <c r="F13" i="121"/>
  <c r="E13" i="125"/>
  <c r="E13" i="127"/>
  <c r="F13" i="132"/>
  <c r="E13" i="132"/>
  <c r="E21" i="132"/>
  <c r="N13" i="133"/>
  <c r="H13" i="133"/>
  <c r="M13" i="133"/>
  <c r="F13" i="133"/>
  <c r="K13" i="133"/>
  <c r="E13" i="133"/>
  <c r="L13" i="133"/>
  <c r="J13" i="133"/>
  <c r="I13" i="132"/>
  <c r="N13" i="132"/>
  <c r="H13" i="132"/>
  <c r="K13" i="129"/>
  <c r="E13" i="129"/>
  <c r="J13" i="129"/>
  <c r="I13" i="129"/>
  <c r="N13" i="129"/>
  <c r="H13" i="129"/>
  <c r="M13" i="129"/>
  <c r="G13" i="129"/>
  <c r="L13" i="129"/>
  <c r="F13" i="129"/>
  <c r="I13" i="128"/>
  <c r="N13" i="128"/>
  <c r="H13" i="128"/>
  <c r="M13" i="128"/>
  <c r="G13" i="128"/>
  <c r="L13" i="128"/>
  <c r="F13" i="128"/>
  <c r="K13" i="128"/>
  <c r="E13" i="128"/>
  <c r="J13" i="128"/>
  <c r="M13" i="127"/>
  <c r="G13" i="127"/>
  <c r="L13" i="127"/>
  <c r="F13" i="127"/>
  <c r="O13" i="126"/>
  <c r="M13" i="125"/>
  <c r="G13" i="125"/>
  <c r="L13" i="125"/>
  <c r="F13" i="125"/>
  <c r="I13" i="122"/>
  <c r="N13" i="122"/>
  <c r="H13" i="122"/>
  <c r="M13" i="122"/>
  <c r="G13" i="122"/>
  <c r="L13" i="122"/>
  <c r="F13" i="122"/>
  <c r="K13" i="122"/>
  <c r="E13" i="122"/>
  <c r="J13" i="122"/>
  <c r="E13" i="121"/>
  <c r="O13" i="121" s="1"/>
  <c r="L13" i="120"/>
  <c r="F13" i="120"/>
  <c r="E13" i="120"/>
  <c r="K13" i="116"/>
  <c r="E13" i="116"/>
  <c r="J13" i="116"/>
  <c r="I13" i="116"/>
  <c r="N13" i="116"/>
  <c r="H21" i="116"/>
  <c r="H13" i="116"/>
  <c r="M13" i="116"/>
  <c r="G13" i="116"/>
  <c r="L13" i="116"/>
  <c r="F13" i="116"/>
  <c r="K13" i="115"/>
  <c r="E13" i="115"/>
  <c r="I13" i="115"/>
  <c r="N13" i="115"/>
  <c r="H13" i="115"/>
  <c r="J13" i="115"/>
  <c r="E21" i="116"/>
  <c r="E14" i="114"/>
  <c r="F14" i="114"/>
  <c r="G14" i="114"/>
  <c r="H14" i="114"/>
  <c r="I14" i="114"/>
  <c r="J14" i="114"/>
  <c r="J13" i="114" s="1"/>
  <c r="K14" i="114"/>
  <c r="L14" i="114"/>
  <c r="L13" i="114" s="1"/>
  <c r="M14" i="114"/>
  <c r="N14" i="114"/>
  <c r="E15" i="114"/>
  <c r="F15" i="114"/>
  <c r="G15" i="114"/>
  <c r="H15" i="114"/>
  <c r="I15" i="114"/>
  <c r="J15" i="114"/>
  <c r="K15" i="114"/>
  <c r="L15" i="114"/>
  <c r="M15" i="114"/>
  <c r="N15" i="114"/>
  <c r="E14" i="110"/>
  <c r="F14" i="110"/>
  <c r="G14" i="110"/>
  <c r="H14" i="110"/>
  <c r="I14" i="110"/>
  <c r="J14" i="110"/>
  <c r="K14" i="110"/>
  <c r="L14" i="110"/>
  <c r="M14" i="110"/>
  <c r="N14" i="110"/>
  <c r="E15" i="110"/>
  <c r="F15" i="110"/>
  <c r="G15" i="110"/>
  <c r="H15" i="110"/>
  <c r="I15" i="110"/>
  <c r="J15" i="110"/>
  <c r="K15" i="110"/>
  <c r="K13" i="110" s="1"/>
  <c r="L15" i="110"/>
  <c r="M15" i="110"/>
  <c r="N15" i="110"/>
  <c r="N13" i="110" s="1"/>
  <c r="E16" i="110"/>
  <c r="F16" i="110"/>
  <c r="G16" i="110"/>
  <c r="H16" i="110"/>
  <c r="I16" i="110"/>
  <c r="J16" i="110"/>
  <c r="K16" i="110"/>
  <c r="L16" i="110"/>
  <c r="M16" i="110"/>
  <c r="N16" i="110"/>
  <c r="E17" i="110"/>
  <c r="F17" i="110"/>
  <c r="G17" i="110"/>
  <c r="H17" i="110"/>
  <c r="I17" i="110"/>
  <c r="J17" i="110"/>
  <c r="K17" i="110"/>
  <c r="L17" i="110"/>
  <c r="M17" i="110"/>
  <c r="N17" i="110"/>
  <c r="E15" i="109"/>
  <c r="F15" i="109"/>
  <c r="G15" i="109"/>
  <c r="H15" i="109"/>
  <c r="I15" i="109"/>
  <c r="J15" i="109"/>
  <c r="K15" i="109"/>
  <c r="L15" i="109"/>
  <c r="M15" i="109"/>
  <c r="N15" i="109"/>
  <c r="E16" i="109"/>
  <c r="F16" i="109"/>
  <c r="G16" i="109"/>
  <c r="H16" i="109"/>
  <c r="I16" i="109"/>
  <c r="J16" i="109"/>
  <c r="K16" i="109"/>
  <c r="L16" i="109"/>
  <c r="M16" i="109"/>
  <c r="N16" i="109"/>
  <c r="E14" i="109"/>
  <c r="F14" i="109"/>
  <c r="G14" i="109"/>
  <c r="H14" i="109"/>
  <c r="I14" i="109"/>
  <c r="J14" i="109"/>
  <c r="K14" i="109"/>
  <c r="L14" i="109"/>
  <c r="M14" i="109"/>
  <c r="N14" i="109"/>
  <c r="H13" i="110" l="1"/>
  <c r="F13" i="114"/>
  <c r="O13" i="125"/>
  <c r="O13" i="127"/>
  <c r="O13" i="128"/>
  <c r="O13" i="132"/>
  <c r="O13" i="117"/>
  <c r="O13" i="116"/>
  <c r="K13" i="114"/>
  <c r="I13" i="114"/>
  <c r="E13" i="114"/>
  <c r="I13" i="109"/>
  <c r="O13" i="133"/>
  <c r="O13" i="129"/>
  <c r="O13" i="122"/>
  <c r="O13" i="120"/>
  <c r="O13" i="115"/>
  <c r="N13" i="114"/>
  <c r="H13" i="114"/>
  <c r="M13" i="114"/>
  <c r="G13" i="114"/>
  <c r="M13" i="110"/>
  <c r="G13" i="110"/>
  <c r="L13" i="110"/>
  <c r="F13" i="110"/>
  <c r="J13" i="110"/>
  <c r="I13" i="110"/>
  <c r="J13" i="109"/>
  <c r="N13" i="109"/>
  <c r="G13" i="109"/>
  <c r="L13" i="109"/>
  <c r="F13" i="109"/>
  <c r="H13" i="109"/>
  <c r="M13" i="109"/>
  <c r="K13" i="109"/>
  <c r="E13" i="110"/>
  <c r="E13" i="109"/>
  <c r="O15" i="109"/>
  <c r="O13" i="114" l="1"/>
  <c r="O13" i="110"/>
  <c r="O13" i="109"/>
  <c r="F14" i="119"/>
  <c r="F13" i="119" s="1"/>
  <c r="G14" i="119"/>
  <c r="G13" i="119" s="1"/>
  <c r="H14" i="119"/>
  <c r="H13" i="119" s="1"/>
  <c r="I14" i="119"/>
  <c r="I13" i="119" s="1"/>
  <c r="J14" i="119"/>
  <c r="J13" i="119" s="1"/>
  <c r="K14" i="119"/>
  <c r="K13" i="119" s="1"/>
  <c r="L14" i="119"/>
  <c r="L13" i="119" s="1"/>
  <c r="M14" i="119"/>
  <c r="M13" i="119" s="1"/>
  <c r="N14" i="119"/>
  <c r="N13" i="119" s="1"/>
  <c r="O13" i="119" l="1"/>
  <c r="AK13" i="129"/>
  <c r="AK13" i="128"/>
  <c r="AK13" i="124"/>
  <c r="AK13" i="122"/>
  <c r="AK13" i="117"/>
  <c r="AK13" i="116"/>
  <c r="O7" i="133"/>
  <c r="X46" i="133"/>
  <c r="AI45" i="133"/>
  <c r="Q45" i="133"/>
  <c r="N45" i="133"/>
  <c r="M45" i="133"/>
  <c r="L45" i="133"/>
  <c r="K45" i="133"/>
  <c r="I45" i="133"/>
  <c r="H45" i="133"/>
  <c r="G45" i="133"/>
  <c r="F45" i="133"/>
  <c r="E45" i="133"/>
  <c r="S45" i="133" s="1"/>
  <c r="BN44" i="133"/>
  <c r="BM44" i="133"/>
  <c r="BL44" i="133"/>
  <c r="BJ44" i="133"/>
  <c r="U44" i="133" s="1"/>
  <c r="BH44" i="133"/>
  <c r="BF44" i="133"/>
  <c r="BD44" i="133"/>
  <c r="BB44" i="133"/>
  <c r="AZ44" i="133"/>
  <c r="AJ44" i="133" s="1"/>
  <c r="AS44" i="133"/>
  <c r="AU44" i="133" s="1"/>
  <c r="AO44" i="133"/>
  <c r="AK44" i="133" s="1"/>
  <c r="AM44" i="133"/>
  <c r="AB44" i="133"/>
  <c r="AA44" i="133"/>
  <c r="O44" i="133"/>
  <c r="BP43" i="133"/>
  <c r="BM43" i="133"/>
  <c r="BN43" i="133" s="1"/>
  <c r="BL43" i="133"/>
  <c r="BO44" i="133" s="1"/>
  <c r="BH43" i="133"/>
  <c r="BK43" i="133" s="1"/>
  <c r="V43" i="133" s="1"/>
  <c r="BD43" i="133"/>
  <c r="BF43" i="133" s="1"/>
  <c r="BB43" i="133"/>
  <c r="AZ43" i="133"/>
  <c r="AS43" i="133"/>
  <c r="AU43" i="133" s="1"/>
  <c r="AO43" i="133"/>
  <c r="AK43" i="133" s="1"/>
  <c r="AM43" i="133"/>
  <c r="AJ43" i="133"/>
  <c r="AB43" i="133"/>
  <c r="AA43" i="133"/>
  <c r="O43" i="133"/>
  <c r="BM42" i="133"/>
  <c r="BL42" i="133"/>
  <c r="BO43" i="133" s="1"/>
  <c r="BH42" i="133"/>
  <c r="BD42" i="133"/>
  <c r="BF42" i="133" s="1"/>
  <c r="AZ42" i="133"/>
  <c r="BB42" i="133" s="1"/>
  <c r="AS42" i="133"/>
  <c r="AU42" i="133" s="1"/>
  <c r="AO42" i="133"/>
  <c r="AM42" i="133"/>
  <c r="AK42" i="133"/>
  <c r="AJ42" i="133"/>
  <c r="AB42" i="133"/>
  <c r="AA42" i="133"/>
  <c r="O42" i="133"/>
  <c r="BM41" i="133"/>
  <c r="BL41" i="133"/>
  <c r="BH41" i="133"/>
  <c r="BD41" i="133"/>
  <c r="BF41" i="133" s="1"/>
  <c r="AZ41" i="133"/>
  <c r="AU41" i="133"/>
  <c r="AS41" i="133"/>
  <c r="AO41" i="133"/>
  <c r="AM41" i="133"/>
  <c r="AK41" i="133"/>
  <c r="AB41" i="133"/>
  <c r="AA41" i="133"/>
  <c r="O41" i="133"/>
  <c r="BN40" i="133"/>
  <c r="BM40" i="133"/>
  <c r="BL40" i="133"/>
  <c r="BP40" i="133" s="1"/>
  <c r="BH40" i="133"/>
  <c r="BJ40" i="133" s="1"/>
  <c r="BF40" i="133"/>
  <c r="BD40" i="133"/>
  <c r="BB40" i="133"/>
  <c r="AZ40" i="133"/>
  <c r="AJ40" i="133" s="1"/>
  <c r="AS40" i="133"/>
  <c r="AU40" i="133" s="1"/>
  <c r="AO40" i="133"/>
  <c r="AK40" i="133" s="1"/>
  <c r="AM40" i="133"/>
  <c r="AB40" i="133"/>
  <c r="AA40" i="133"/>
  <c r="O40" i="133"/>
  <c r="BM39" i="133"/>
  <c r="BL39" i="133"/>
  <c r="BO40" i="133" s="1"/>
  <c r="BK39" i="133"/>
  <c r="V39" i="133" s="1"/>
  <c r="BH39" i="133"/>
  <c r="BD39" i="133"/>
  <c r="BF39" i="133" s="1"/>
  <c r="BB39" i="133"/>
  <c r="AZ39" i="133"/>
  <c r="AJ39" i="133" s="1"/>
  <c r="AS39" i="133"/>
  <c r="AU39" i="133" s="1"/>
  <c r="AO39" i="133"/>
  <c r="AK39" i="133" s="1"/>
  <c r="AM39" i="133"/>
  <c r="AB39" i="133"/>
  <c r="AA39" i="133"/>
  <c r="O39" i="133"/>
  <c r="BN38" i="133"/>
  <c r="BM38" i="133"/>
  <c r="BO38" i="133" s="1"/>
  <c r="BL38" i="133"/>
  <c r="BJ38" i="133"/>
  <c r="U38" i="133" s="1"/>
  <c r="BH38" i="133"/>
  <c r="BD38" i="133"/>
  <c r="BF38" i="133" s="1"/>
  <c r="AZ38" i="133"/>
  <c r="BB38" i="133" s="1"/>
  <c r="AS38" i="133"/>
  <c r="AU38" i="133" s="1"/>
  <c r="AO38" i="133"/>
  <c r="AK38" i="133" s="1"/>
  <c r="AM38" i="133"/>
  <c r="AH38" i="133"/>
  <c r="AB38" i="133"/>
  <c r="AA38" i="133"/>
  <c r="O38" i="133"/>
  <c r="AI37" i="133"/>
  <c r="Q37" i="133"/>
  <c r="N37" i="133"/>
  <c r="M37" i="133"/>
  <c r="L37" i="133"/>
  <c r="K37" i="133"/>
  <c r="I37" i="133"/>
  <c r="H37" i="133"/>
  <c r="G37" i="133"/>
  <c r="F37" i="133"/>
  <c r="E37" i="133"/>
  <c r="BM36" i="133"/>
  <c r="BN36" i="133" s="1"/>
  <c r="BL36" i="133"/>
  <c r="BH36" i="133"/>
  <c r="BD36" i="133"/>
  <c r="BF36" i="133" s="1"/>
  <c r="AZ36" i="133"/>
  <c r="AS36" i="133"/>
  <c r="AU36" i="133" s="1"/>
  <c r="AO36" i="133"/>
  <c r="AK36" i="133" s="1"/>
  <c r="AM36" i="133"/>
  <c r="AB36" i="133"/>
  <c r="AA36" i="133"/>
  <c r="O36" i="133"/>
  <c r="BN35" i="133"/>
  <c r="BM35" i="133"/>
  <c r="BL35" i="133"/>
  <c r="BH35" i="133"/>
  <c r="BD35" i="133"/>
  <c r="BF35" i="133" s="1"/>
  <c r="AZ35" i="133"/>
  <c r="BB35" i="133" s="1"/>
  <c r="AS35" i="133"/>
  <c r="AU35" i="133" s="1"/>
  <c r="AO35" i="133"/>
  <c r="AM35" i="133"/>
  <c r="AK35" i="133"/>
  <c r="AJ35" i="133"/>
  <c r="AB35" i="133"/>
  <c r="AA35" i="133"/>
  <c r="O35" i="133"/>
  <c r="BM34" i="133"/>
  <c r="BL34" i="133"/>
  <c r="BH34" i="133"/>
  <c r="BD34" i="133"/>
  <c r="BF34" i="133" s="1"/>
  <c r="AZ34" i="133"/>
  <c r="BB34" i="133" s="1"/>
  <c r="AS34" i="133"/>
  <c r="AU34" i="133" s="1"/>
  <c r="AO34" i="133"/>
  <c r="AM34" i="133"/>
  <c r="AB34" i="133"/>
  <c r="AA34" i="133"/>
  <c r="O34" i="133"/>
  <c r="BM33" i="133"/>
  <c r="BN33" i="133" s="1"/>
  <c r="BL33" i="133"/>
  <c r="BH33" i="133"/>
  <c r="BD33" i="133"/>
  <c r="BF33" i="133" s="1"/>
  <c r="AZ33" i="133"/>
  <c r="AJ33" i="133" s="1"/>
  <c r="AS33" i="133"/>
  <c r="AU33" i="133" s="1"/>
  <c r="AO33" i="133"/>
  <c r="AM33" i="133"/>
  <c r="AB33" i="133"/>
  <c r="AA33" i="133"/>
  <c r="O33" i="133"/>
  <c r="BM32" i="133"/>
  <c r="BN32" i="133" s="1"/>
  <c r="BL32" i="133"/>
  <c r="BH32" i="133"/>
  <c r="BD32" i="133"/>
  <c r="BF32" i="133" s="1"/>
  <c r="BB32" i="133"/>
  <c r="AZ32" i="133"/>
  <c r="AS32" i="133"/>
  <c r="AU32" i="133" s="1"/>
  <c r="AO32" i="133"/>
  <c r="AM32" i="133"/>
  <c r="AJ32" i="133"/>
  <c r="AB32" i="133"/>
  <c r="AA32" i="133"/>
  <c r="O32" i="133"/>
  <c r="BM31" i="133"/>
  <c r="BL31" i="133"/>
  <c r="BH31" i="133"/>
  <c r="BD31" i="133"/>
  <c r="BF31" i="133" s="1"/>
  <c r="AZ31" i="133"/>
  <c r="AS31" i="133"/>
  <c r="AU31" i="133" s="1"/>
  <c r="AO31" i="133"/>
  <c r="AM31" i="133"/>
  <c r="AB31" i="133"/>
  <c r="AA31" i="133"/>
  <c r="O31" i="133"/>
  <c r="BM30" i="133"/>
  <c r="BO30" i="133" s="1"/>
  <c r="BL30" i="133"/>
  <c r="BH30" i="133"/>
  <c r="AZ30" i="133"/>
  <c r="AS30" i="133"/>
  <c r="AU30" i="133" s="1"/>
  <c r="AO30" i="133"/>
  <c r="AM30" i="133"/>
  <c r="AH30" i="133"/>
  <c r="AR30" i="133" s="1"/>
  <c r="AB30" i="133"/>
  <c r="AA30" i="133"/>
  <c r="O30" i="133"/>
  <c r="AI29" i="133"/>
  <c r="Q29" i="133"/>
  <c r="N29" i="133"/>
  <c r="M29" i="133"/>
  <c r="L29" i="133"/>
  <c r="K29" i="133"/>
  <c r="I29" i="133"/>
  <c r="H29" i="133"/>
  <c r="G29" i="133"/>
  <c r="F29" i="133"/>
  <c r="E29" i="133"/>
  <c r="BM28" i="133"/>
  <c r="BN28" i="133" s="1"/>
  <c r="BL28" i="133"/>
  <c r="BH28" i="133"/>
  <c r="BD28" i="133"/>
  <c r="BF28" i="133" s="1"/>
  <c r="AZ28" i="133"/>
  <c r="BB28" i="133" s="1"/>
  <c r="AS28" i="133"/>
  <c r="AU28" i="133" s="1"/>
  <c r="AO28" i="133"/>
  <c r="AM28" i="133"/>
  <c r="AJ28" i="133"/>
  <c r="AB28" i="133"/>
  <c r="AA28" i="133"/>
  <c r="O28" i="133"/>
  <c r="BM27" i="133"/>
  <c r="BN27" i="133" s="1"/>
  <c r="BL27" i="133"/>
  <c r="BH27" i="133"/>
  <c r="AZ27" i="133"/>
  <c r="BB27" i="133" s="1"/>
  <c r="AS27" i="133"/>
  <c r="AU27" i="133" s="1"/>
  <c r="AO27" i="133"/>
  <c r="AM27" i="133"/>
  <c r="AB27" i="133"/>
  <c r="AA27" i="133"/>
  <c r="O27" i="133"/>
  <c r="BM26" i="133"/>
  <c r="BN26" i="133" s="1"/>
  <c r="BL26" i="133"/>
  <c r="BH26" i="133"/>
  <c r="BD26" i="133"/>
  <c r="BF26" i="133" s="1"/>
  <c r="AZ26" i="133"/>
  <c r="BB26" i="133" s="1"/>
  <c r="AS26" i="133"/>
  <c r="AU26" i="133" s="1"/>
  <c r="AO26" i="133"/>
  <c r="AM26" i="133"/>
  <c r="AB26" i="133"/>
  <c r="AA26" i="133"/>
  <c r="O26" i="133"/>
  <c r="BM25" i="133"/>
  <c r="BN25" i="133" s="1"/>
  <c r="BL25" i="133"/>
  <c r="BH25" i="133"/>
  <c r="BD25" i="133"/>
  <c r="BF25" i="133" s="1"/>
  <c r="AZ25" i="133"/>
  <c r="BB25" i="133" s="1"/>
  <c r="AS25" i="133"/>
  <c r="AU25" i="133" s="1"/>
  <c r="AO25" i="133"/>
  <c r="AM25" i="133"/>
  <c r="AJ25" i="133"/>
  <c r="AB25" i="133"/>
  <c r="AA25" i="133"/>
  <c r="O25" i="133"/>
  <c r="BM24" i="133"/>
  <c r="BL24" i="133"/>
  <c r="BH24" i="133"/>
  <c r="BD24" i="133"/>
  <c r="BF24" i="133" s="1"/>
  <c r="AZ24" i="133"/>
  <c r="AJ24" i="133" s="1"/>
  <c r="AS24" i="133"/>
  <c r="AU24" i="133" s="1"/>
  <c r="AO24" i="133"/>
  <c r="AM24" i="133"/>
  <c r="AB24" i="133"/>
  <c r="AA24" i="133"/>
  <c r="O24" i="133"/>
  <c r="BM23" i="133"/>
  <c r="BN23" i="133" s="1"/>
  <c r="BL23" i="133"/>
  <c r="BO24" i="133" s="1"/>
  <c r="BH23" i="133"/>
  <c r="BD23" i="133"/>
  <c r="BF23" i="133" s="1"/>
  <c r="AZ23" i="133"/>
  <c r="AJ23" i="133" s="1"/>
  <c r="AS23" i="133"/>
  <c r="AU23" i="133" s="1"/>
  <c r="AO23" i="133"/>
  <c r="AM23" i="133"/>
  <c r="AB23" i="133"/>
  <c r="AA23" i="133"/>
  <c r="O23" i="133"/>
  <c r="BM22" i="133"/>
  <c r="BN22" i="133" s="1"/>
  <c r="BL22" i="133"/>
  <c r="BH22" i="133"/>
  <c r="BD22" i="133"/>
  <c r="BF22" i="133" s="1"/>
  <c r="AZ22" i="133"/>
  <c r="BB22" i="133" s="1"/>
  <c r="AS22" i="133"/>
  <c r="AU22" i="133" s="1"/>
  <c r="AO22" i="133"/>
  <c r="AM22" i="133"/>
  <c r="AJ22" i="133"/>
  <c r="AH22" i="133"/>
  <c r="AR22" i="133" s="1"/>
  <c r="AB22" i="133"/>
  <c r="AA22" i="133"/>
  <c r="O22" i="133"/>
  <c r="AI21" i="133"/>
  <c r="Q21" i="133"/>
  <c r="Q46" i="133" s="1"/>
  <c r="N21" i="133"/>
  <c r="M21" i="133"/>
  <c r="L21" i="133"/>
  <c r="K21" i="133"/>
  <c r="I21" i="133"/>
  <c r="H21" i="133"/>
  <c r="G21" i="133"/>
  <c r="F21" i="133"/>
  <c r="E21" i="133"/>
  <c r="BM20" i="133"/>
  <c r="BN20" i="133" s="1"/>
  <c r="BL20" i="133"/>
  <c r="BH20" i="133"/>
  <c r="BD20" i="133"/>
  <c r="BF20" i="133" s="1"/>
  <c r="BB20" i="133"/>
  <c r="AZ20" i="133"/>
  <c r="AS20" i="133"/>
  <c r="AU20" i="133" s="1"/>
  <c r="AO20" i="133"/>
  <c r="AM20" i="133"/>
  <c r="AJ20" i="133"/>
  <c r="AB20" i="133"/>
  <c r="AA20" i="133"/>
  <c r="O20" i="133"/>
  <c r="BM19" i="133"/>
  <c r="BN19" i="133" s="1"/>
  <c r="BL19" i="133"/>
  <c r="BJ20" i="133" s="1"/>
  <c r="BH19" i="133"/>
  <c r="AZ19" i="133"/>
  <c r="BB19" i="133" s="1"/>
  <c r="AS19" i="133"/>
  <c r="AU19" i="133" s="1"/>
  <c r="AO19" i="133"/>
  <c r="AM19" i="133"/>
  <c r="AB19" i="133"/>
  <c r="AA19" i="133"/>
  <c r="O19" i="133"/>
  <c r="BM18" i="133"/>
  <c r="BL18" i="133"/>
  <c r="BH18" i="133"/>
  <c r="AZ18" i="133"/>
  <c r="AS18" i="133"/>
  <c r="AU18" i="133" s="1"/>
  <c r="AO18" i="133"/>
  <c r="AM18" i="133"/>
  <c r="AB18" i="133"/>
  <c r="AA18" i="133"/>
  <c r="O18" i="133"/>
  <c r="BM17" i="133"/>
  <c r="BN17" i="133" s="1"/>
  <c r="BL17" i="133"/>
  <c r="BH17" i="133"/>
  <c r="BD17" i="133"/>
  <c r="BF17" i="133" s="1"/>
  <c r="AZ17" i="133"/>
  <c r="AJ17" i="133" s="1"/>
  <c r="AS17" i="133"/>
  <c r="AU17" i="133" s="1"/>
  <c r="AO17" i="133"/>
  <c r="AM17" i="133"/>
  <c r="AB17" i="133"/>
  <c r="AA17" i="133"/>
  <c r="O17" i="133"/>
  <c r="BM16" i="133"/>
  <c r="BN16" i="133" s="1"/>
  <c r="BL16" i="133"/>
  <c r="BO17" i="133" s="1"/>
  <c r="BH16" i="133"/>
  <c r="BD16" i="133"/>
  <c r="BF16" i="133" s="1"/>
  <c r="AZ16" i="133"/>
  <c r="AS16" i="133"/>
  <c r="AU16" i="133" s="1"/>
  <c r="AO16" i="133"/>
  <c r="AM16" i="133"/>
  <c r="AB16" i="133"/>
  <c r="AA16" i="133"/>
  <c r="O16" i="133"/>
  <c r="BM15" i="133"/>
  <c r="BL15" i="133"/>
  <c r="BO16" i="133" s="1"/>
  <c r="BH15" i="133"/>
  <c r="BD15" i="133"/>
  <c r="BF15" i="133" s="1"/>
  <c r="AZ15" i="133"/>
  <c r="AS15" i="133"/>
  <c r="AU15" i="133" s="1"/>
  <c r="AO15" i="133"/>
  <c r="AM15" i="133"/>
  <c r="AB15" i="133"/>
  <c r="AA15" i="133"/>
  <c r="O15" i="133"/>
  <c r="BM14" i="133"/>
  <c r="BL14" i="133"/>
  <c r="BH14" i="133"/>
  <c r="AZ14" i="133"/>
  <c r="BB14" i="133" s="1"/>
  <c r="AS14" i="133"/>
  <c r="AU14" i="133" s="1"/>
  <c r="AO14" i="133"/>
  <c r="AM14" i="133"/>
  <c r="AH14" i="133"/>
  <c r="AR14" i="133" s="1"/>
  <c r="AB14" i="133"/>
  <c r="AA14" i="133"/>
  <c r="O14" i="133"/>
  <c r="AM13" i="133"/>
  <c r="AJ13" i="133" s="1"/>
  <c r="AK13" i="133"/>
  <c r="W11" i="133"/>
  <c r="E11" i="133"/>
  <c r="AG37" i="133" s="1"/>
  <c r="C8" i="133"/>
  <c r="C7" i="133"/>
  <c r="C6" i="133"/>
  <c r="O7" i="132"/>
  <c r="X46" i="132"/>
  <c r="AI45" i="132"/>
  <c r="Q45" i="132"/>
  <c r="N45" i="132"/>
  <c r="M45" i="132"/>
  <c r="L45" i="132"/>
  <c r="K45" i="132"/>
  <c r="I45" i="132"/>
  <c r="H45" i="132"/>
  <c r="G45" i="132"/>
  <c r="F45" i="132"/>
  <c r="E45" i="132"/>
  <c r="S45" i="132" s="1"/>
  <c r="BM44" i="132"/>
  <c r="BL44" i="132"/>
  <c r="BH44" i="132"/>
  <c r="BD44" i="132"/>
  <c r="BF44" i="132" s="1"/>
  <c r="AZ44" i="132"/>
  <c r="AJ44" i="132" s="1"/>
  <c r="AS44" i="132"/>
  <c r="AU44" i="132" s="1"/>
  <c r="AO44" i="132"/>
  <c r="AM44" i="132"/>
  <c r="AK44" i="132"/>
  <c r="AB44" i="132"/>
  <c r="AA44" i="132"/>
  <c r="O44" i="132"/>
  <c r="BM43" i="132"/>
  <c r="BP43" i="132" s="1"/>
  <c r="BL43" i="132"/>
  <c r="BH43" i="132"/>
  <c r="BK43" i="132" s="1"/>
  <c r="V43" i="132" s="1"/>
  <c r="BF43" i="132"/>
  <c r="BD43" i="132"/>
  <c r="BB43" i="132"/>
  <c r="AZ43" i="132"/>
  <c r="AJ43" i="132" s="1"/>
  <c r="AS43" i="132"/>
  <c r="AU43" i="132" s="1"/>
  <c r="AO43" i="132"/>
  <c r="AK43" i="132" s="1"/>
  <c r="AM43" i="132"/>
  <c r="AB43" i="132"/>
  <c r="AA43" i="132"/>
  <c r="O43" i="132"/>
  <c r="BM42" i="132"/>
  <c r="BN42" i="132" s="1"/>
  <c r="BL42" i="132"/>
  <c r="BJ43" i="132" s="1"/>
  <c r="BH42" i="132"/>
  <c r="BF42" i="132"/>
  <c r="BD42" i="132"/>
  <c r="AZ42" i="132"/>
  <c r="BB42" i="132" s="1"/>
  <c r="AS42" i="132"/>
  <c r="AU42" i="132" s="1"/>
  <c r="AO42" i="132"/>
  <c r="AK42" i="132" s="1"/>
  <c r="AM42" i="132"/>
  <c r="AJ42" i="132"/>
  <c r="AB42" i="132"/>
  <c r="AA42" i="132"/>
  <c r="O42" i="132"/>
  <c r="BM41" i="132"/>
  <c r="BL41" i="132"/>
  <c r="BO42" i="132" s="1"/>
  <c r="BH41" i="132"/>
  <c r="BD41" i="132"/>
  <c r="BF41" i="132" s="1"/>
  <c r="AZ41" i="132"/>
  <c r="AU41" i="132"/>
  <c r="AS41" i="132"/>
  <c r="AO41" i="132"/>
  <c r="AK41" i="132" s="1"/>
  <c r="AM41" i="132"/>
  <c r="AB41" i="132"/>
  <c r="AA41" i="132"/>
  <c r="O41" i="132"/>
  <c r="BM40" i="132"/>
  <c r="BP40" i="132" s="1"/>
  <c r="BL40" i="132"/>
  <c r="BJ40" i="132"/>
  <c r="BH40" i="132"/>
  <c r="BK40" i="132" s="1"/>
  <c r="V40" i="132" s="1"/>
  <c r="BD40" i="132"/>
  <c r="BF40" i="132" s="1"/>
  <c r="AZ40" i="132"/>
  <c r="AJ40" i="132" s="1"/>
  <c r="AU40" i="132"/>
  <c r="AS40" i="132"/>
  <c r="AO40" i="132"/>
  <c r="AK40" i="132" s="1"/>
  <c r="AM40" i="132"/>
  <c r="AB40" i="132"/>
  <c r="AA40" i="132"/>
  <c r="O40" i="132"/>
  <c r="BN39" i="132"/>
  <c r="BM39" i="132"/>
  <c r="BL39" i="132"/>
  <c r="BH39" i="132"/>
  <c r="BK39" i="132" s="1"/>
  <c r="V39" i="132" s="1"/>
  <c r="BD39" i="132"/>
  <c r="BF39" i="132" s="1"/>
  <c r="AZ39" i="132"/>
  <c r="AJ39" i="132" s="1"/>
  <c r="AS39" i="132"/>
  <c r="AU39" i="132" s="1"/>
  <c r="AO39" i="132"/>
  <c r="AK39" i="132" s="1"/>
  <c r="AM39" i="132"/>
  <c r="AB39" i="132"/>
  <c r="AA39" i="132"/>
  <c r="O39" i="132"/>
  <c r="BO38" i="132"/>
  <c r="BN38" i="132"/>
  <c r="BM38" i="132"/>
  <c r="BL38" i="132"/>
  <c r="BJ39" i="132" s="1"/>
  <c r="U39" i="132" s="1"/>
  <c r="BH38" i="132"/>
  <c r="BD38" i="132"/>
  <c r="BF38" i="132" s="1"/>
  <c r="BB38" i="132"/>
  <c r="AZ38" i="132"/>
  <c r="AU38" i="132"/>
  <c r="AS38" i="132"/>
  <c r="AO38" i="132"/>
  <c r="AM38" i="132"/>
  <c r="AK38" i="132"/>
  <c r="AJ38" i="132"/>
  <c r="AH38" i="132"/>
  <c r="AB38" i="132"/>
  <c r="AA38" i="132"/>
  <c r="O38" i="132"/>
  <c r="AI37" i="132"/>
  <c r="Q37" i="132"/>
  <c r="N37" i="132"/>
  <c r="M37" i="132"/>
  <c r="L37" i="132"/>
  <c r="K37" i="132"/>
  <c r="I37" i="132"/>
  <c r="H37" i="132"/>
  <c r="G37" i="132"/>
  <c r="F37" i="132"/>
  <c r="E37" i="132"/>
  <c r="S37" i="132" s="1"/>
  <c r="BN36" i="132"/>
  <c r="BM36" i="132"/>
  <c r="BL36" i="132"/>
  <c r="BH36" i="132"/>
  <c r="BD36" i="132"/>
  <c r="BF36" i="132" s="1"/>
  <c r="BB36" i="132"/>
  <c r="AZ36" i="132"/>
  <c r="AJ36" i="132" s="1"/>
  <c r="AS36" i="132"/>
  <c r="AU36" i="132" s="1"/>
  <c r="AO36" i="132"/>
  <c r="AK36" i="132" s="1"/>
  <c r="AM36" i="132"/>
  <c r="AB36" i="132"/>
  <c r="AA36" i="132"/>
  <c r="O36" i="132"/>
  <c r="BN35" i="132"/>
  <c r="BM35" i="132"/>
  <c r="BL35" i="132"/>
  <c r="BO36" i="132" s="1"/>
  <c r="BH35" i="132"/>
  <c r="BD35" i="132"/>
  <c r="BF35" i="132" s="1"/>
  <c r="AZ35" i="132"/>
  <c r="AS35" i="132"/>
  <c r="AU35" i="132" s="1"/>
  <c r="AO35" i="132"/>
  <c r="AK35" i="132" s="1"/>
  <c r="AM35" i="132"/>
  <c r="AB35" i="132"/>
  <c r="AA35" i="132"/>
  <c r="O35" i="132"/>
  <c r="BM34" i="132"/>
  <c r="BL34" i="132"/>
  <c r="BO35" i="132" s="1"/>
  <c r="BH34" i="132"/>
  <c r="BD34" i="132"/>
  <c r="BF34" i="132" s="1"/>
  <c r="AZ34" i="132"/>
  <c r="AS34" i="132"/>
  <c r="AU34" i="132" s="1"/>
  <c r="AO34" i="132"/>
  <c r="AK34" i="132" s="1"/>
  <c r="AM34" i="132"/>
  <c r="AB34" i="132"/>
  <c r="AA34" i="132"/>
  <c r="O34" i="132"/>
  <c r="BM33" i="132"/>
  <c r="BN33" i="132" s="1"/>
  <c r="BL33" i="132"/>
  <c r="BH33" i="132"/>
  <c r="BD33" i="132"/>
  <c r="BF33" i="132" s="1"/>
  <c r="BB33" i="132"/>
  <c r="AZ33" i="132"/>
  <c r="AJ33" i="132" s="1"/>
  <c r="AS33" i="132"/>
  <c r="AU33" i="132" s="1"/>
  <c r="AO33" i="132"/>
  <c r="AM33" i="132"/>
  <c r="AB33" i="132"/>
  <c r="AA33" i="132"/>
  <c r="O33" i="132"/>
  <c r="BM32" i="132"/>
  <c r="BL32" i="132"/>
  <c r="BH32" i="132"/>
  <c r="BD32" i="132"/>
  <c r="BF32" i="132" s="1"/>
  <c r="AZ32" i="132"/>
  <c r="AS32" i="132"/>
  <c r="AU32" i="132" s="1"/>
  <c r="AO32" i="132"/>
  <c r="AM32" i="132"/>
  <c r="AB32" i="132"/>
  <c r="AA32" i="132"/>
  <c r="O32" i="132"/>
  <c r="BM31" i="132"/>
  <c r="BN31" i="132" s="1"/>
  <c r="BL31" i="132"/>
  <c r="BH31" i="132"/>
  <c r="BD31" i="132"/>
  <c r="BF31" i="132" s="1"/>
  <c r="AZ31" i="132"/>
  <c r="AJ31" i="132" s="1"/>
  <c r="AS31" i="132"/>
  <c r="AU31" i="132" s="1"/>
  <c r="AO31" i="132"/>
  <c r="AM31" i="132"/>
  <c r="AB31" i="132"/>
  <c r="AA31" i="132"/>
  <c r="O31" i="132"/>
  <c r="BM30" i="132"/>
  <c r="BO30" i="132" s="1"/>
  <c r="BL30" i="132"/>
  <c r="BH30" i="132"/>
  <c r="BJ30" i="132" s="1"/>
  <c r="AZ30" i="132"/>
  <c r="BB30" i="132" s="1"/>
  <c r="AS30" i="132"/>
  <c r="AU30" i="132" s="1"/>
  <c r="AO30" i="132"/>
  <c r="AM30" i="132"/>
  <c r="AH30" i="132"/>
  <c r="AR30" i="132" s="1"/>
  <c r="AB30" i="132"/>
  <c r="AA30" i="132"/>
  <c r="O30" i="132"/>
  <c r="AI29" i="132"/>
  <c r="Q29" i="132"/>
  <c r="N29" i="132"/>
  <c r="M29" i="132"/>
  <c r="L29" i="132"/>
  <c r="K29" i="132"/>
  <c r="I29" i="132"/>
  <c r="H29" i="132"/>
  <c r="G29" i="132"/>
  <c r="F29" i="132"/>
  <c r="E29" i="132"/>
  <c r="BM28" i="132"/>
  <c r="BL28" i="132"/>
  <c r="BH28" i="132"/>
  <c r="BD28" i="132"/>
  <c r="BF28" i="132" s="1"/>
  <c r="AZ28" i="132"/>
  <c r="BB28" i="132" s="1"/>
  <c r="AS28" i="132"/>
  <c r="AU28" i="132" s="1"/>
  <c r="AO28" i="132"/>
  <c r="AM28" i="132"/>
  <c r="AK28" i="132"/>
  <c r="AJ28" i="132"/>
  <c r="AB28" i="132"/>
  <c r="AA28" i="132"/>
  <c r="O28" i="132"/>
  <c r="BM27" i="132"/>
  <c r="BL27" i="132"/>
  <c r="BH27" i="132"/>
  <c r="AZ27" i="132"/>
  <c r="AO27" i="132"/>
  <c r="AM27" i="132"/>
  <c r="AB27" i="132"/>
  <c r="AA27" i="132"/>
  <c r="O27" i="132"/>
  <c r="BN26" i="132"/>
  <c r="BL26" i="132"/>
  <c r="BH26" i="132"/>
  <c r="BD26" i="132"/>
  <c r="BF26" i="132" s="1"/>
  <c r="BB26" i="132"/>
  <c r="AZ26" i="132"/>
  <c r="AJ26" i="132" s="1"/>
  <c r="AS26" i="132"/>
  <c r="AU26" i="132" s="1"/>
  <c r="AO26" i="132"/>
  <c r="AK26" i="132" s="1"/>
  <c r="AM26" i="132"/>
  <c r="AB26" i="132"/>
  <c r="AA26" i="132"/>
  <c r="O26" i="132"/>
  <c r="BM25" i="132"/>
  <c r="BN25" i="132" s="1"/>
  <c r="BL25" i="132"/>
  <c r="BH25" i="132"/>
  <c r="BD25" i="132"/>
  <c r="BF25" i="132" s="1"/>
  <c r="BB25" i="132"/>
  <c r="AZ25" i="132"/>
  <c r="AS25" i="132"/>
  <c r="AU25" i="132" s="1"/>
  <c r="AO25" i="132"/>
  <c r="AK25" i="132" s="1"/>
  <c r="AM25" i="132"/>
  <c r="AJ25" i="132"/>
  <c r="AB25" i="132"/>
  <c r="AA25" i="132"/>
  <c r="O25" i="132"/>
  <c r="BM24" i="132"/>
  <c r="BL24" i="132"/>
  <c r="BH24" i="132"/>
  <c r="BD24" i="132"/>
  <c r="BF24" i="132" s="1"/>
  <c r="AZ24" i="132"/>
  <c r="AJ24" i="132" s="1"/>
  <c r="AS24" i="132"/>
  <c r="AU24" i="132" s="1"/>
  <c r="AO24" i="132"/>
  <c r="AK24" i="132" s="1"/>
  <c r="AM24" i="132"/>
  <c r="AB24" i="132"/>
  <c r="AA24" i="132"/>
  <c r="O24" i="132"/>
  <c r="BM23" i="132"/>
  <c r="BL23" i="132"/>
  <c r="BH23" i="132"/>
  <c r="BD23" i="132"/>
  <c r="BF23" i="132" s="1"/>
  <c r="AZ23" i="132"/>
  <c r="BB23" i="132" s="1"/>
  <c r="AS23" i="132"/>
  <c r="AU23" i="132" s="1"/>
  <c r="AO23" i="132"/>
  <c r="AK23" i="132" s="1"/>
  <c r="AM23" i="132"/>
  <c r="AB23" i="132"/>
  <c r="AA23" i="132"/>
  <c r="O23" i="132"/>
  <c r="BM22" i="132"/>
  <c r="BL22" i="132"/>
  <c r="BH22" i="132"/>
  <c r="BK22" i="132" s="1"/>
  <c r="V22" i="132" s="1"/>
  <c r="BD22" i="132"/>
  <c r="BF22" i="132" s="1"/>
  <c r="AZ22" i="132"/>
  <c r="AS22" i="132"/>
  <c r="AU22" i="132" s="1"/>
  <c r="AO22" i="132"/>
  <c r="AK22" i="132" s="1"/>
  <c r="AM22" i="132"/>
  <c r="AH22" i="132"/>
  <c r="BE23" i="132" s="1"/>
  <c r="AB22" i="132"/>
  <c r="AA22" i="132"/>
  <c r="O22" i="132"/>
  <c r="AI21" i="132"/>
  <c r="Q21" i="132"/>
  <c r="N21" i="132"/>
  <c r="M21" i="132"/>
  <c r="L21" i="132"/>
  <c r="K21" i="132"/>
  <c r="I21" i="132"/>
  <c r="H21" i="132"/>
  <c r="G21" i="132"/>
  <c r="F21" i="132"/>
  <c r="BM20" i="132"/>
  <c r="BN20" i="132" s="1"/>
  <c r="BL20" i="132"/>
  <c r="BH20" i="132"/>
  <c r="BD20" i="132"/>
  <c r="BF20" i="132" s="1"/>
  <c r="AZ20" i="132"/>
  <c r="AS20" i="132"/>
  <c r="AU20" i="132" s="1"/>
  <c r="AO20" i="132"/>
  <c r="AM20" i="132"/>
  <c r="AB20" i="132"/>
  <c r="AA20" i="132"/>
  <c r="O20" i="132"/>
  <c r="BM19" i="132"/>
  <c r="BN19" i="132" s="1"/>
  <c r="BL19" i="132"/>
  <c r="BH19" i="132"/>
  <c r="BD19" i="132"/>
  <c r="BF19" i="132" s="1"/>
  <c r="BB19" i="132"/>
  <c r="AZ19" i="132"/>
  <c r="AJ19" i="132" s="1"/>
  <c r="AS19" i="132"/>
  <c r="AU19" i="132" s="1"/>
  <c r="AO19" i="132"/>
  <c r="AM19" i="132"/>
  <c r="AB19" i="132"/>
  <c r="AA19" i="132"/>
  <c r="O19" i="132"/>
  <c r="BM18" i="132"/>
  <c r="BL18" i="132"/>
  <c r="BH18" i="132"/>
  <c r="BD18" i="132"/>
  <c r="BF18" i="132" s="1"/>
  <c r="AZ18" i="132"/>
  <c r="AS18" i="132"/>
  <c r="AU18" i="132" s="1"/>
  <c r="AO18" i="132"/>
  <c r="AM18" i="132"/>
  <c r="AB18" i="132"/>
  <c r="AA18" i="132"/>
  <c r="O18" i="132"/>
  <c r="BM17" i="132"/>
  <c r="BN17" i="132" s="1"/>
  <c r="BL17" i="132"/>
  <c r="BH17" i="132"/>
  <c r="BD17" i="132"/>
  <c r="BF17" i="132" s="1"/>
  <c r="AZ17" i="132"/>
  <c r="AJ17" i="132" s="1"/>
  <c r="AS17" i="132"/>
  <c r="AU17" i="132" s="1"/>
  <c r="AO17" i="132"/>
  <c r="AM17" i="132"/>
  <c r="AB17" i="132"/>
  <c r="AA17" i="132"/>
  <c r="O17" i="132"/>
  <c r="BM16" i="132"/>
  <c r="BN16" i="132" s="1"/>
  <c r="BL16" i="132"/>
  <c r="BH16" i="132"/>
  <c r="BD16" i="132"/>
  <c r="BF16" i="132" s="1"/>
  <c r="AZ16" i="132"/>
  <c r="AJ16" i="132" s="1"/>
  <c r="AS16" i="132"/>
  <c r="AU16" i="132" s="1"/>
  <c r="AO16" i="132"/>
  <c r="AM16" i="132"/>
  <c r="AB16" i="132"/>
  <c r="AA16" i="132"/>
  <c r="O16" i="132"/>
  <c r="BM15" i="132"/>
  <c r="BN15" i="132" s="1"/>
  <c r="BL15" i="132"/>
  <c r="BH15" i="132"/>
  <c r="BD15" i="132"/>
  <c r="BF15" i="132" s="1"/>
  <c r="AZ15" i="132"/>
  <c r="AJ15" i="132" s="1"/>
  <c r="AS15" i="132"/>
  <c r="AU15" i="132" s="1"/>
  <c r="AO15" i="132"/>
  <c r="AM15" i="132"/>
  <c r="AB15" i="132"/>
  <c r="AA15" i="132"/>
  <c r="O15" i="132"/>
  <c r="BM14" i="132"/>
  <c r="BL14" i="132"/>
  <c r="BH14" i="132"/>
  <c r="AZ14" i="132"/>
  <c r="BB14" i="132" s="1"/>
  <c r="AS14" i="132"/>
  <c r="AU14" i="132" s="1"/>
  <c r="AO14" i="132"/>
  <c r="AM14" i="132"/>
  <c r="AH14" i="132"/>
  <c r="AR14" i="132" s="1"/>
  <c r="AB14" i="132"/>
  <c r="AA14" i="132"/>
  <c r="O14" i="132"/>
  <c r="AM13" i="132"/>
  <c r="AJ13" i="132" s="1"/>
  <c r="AK13" i="132"/>
  <c r="C8" i="132"/>
  <c r="C7" i="132"/>
  <c r="C6" i="132"/>
  <c r="O7" i="131"/>
  <c r="X46" i="131"/>
  <c r="AI45" i="131"/>
  <c r="Q45" i="131"/>
  <c r="N45" i="131"/>
  <c r="M45" i="131"/>
  <c r="L45" i="131"/>
  <c r="K45" i="131"/>
  <c r="I45" i="131"/>
  <c r="H45" i="131"/>
  <c r="G45" i="131"/>
  <c r="F45" i="131"/>
  <c r="E45" i="131"/>
  <c r="S45" i="131" s="1"/>
  <c r="BN44" i="131"/>
  <c r="BM44" i="131"/>
  <c r="BL44" i="131"/>
  <c r="BK44" i="131" s="1"/>
  <c r="V44" i="131" s="1"/>
  <c r="BH44" i="131"/>
  <c r="BD44" i="131"/>
  <c r="BF44" i="131" s="1"/>
  <c r="BB44" i="131"/>
  <c r="AZ44" i="131"/>
  <c r="AJ44" i="131" s="1"/>
  <c r="AS44" i="131"/>
  <c r="AU44" i="131" s="1"/>
  <c r="AO44" i="131"/>
  <c r="AK44" i="131" s="1"/>
  <c r="AM44" i="131"/>
  <c r="AB44" i="131"/>
  <c r="AA44" i="131"/>
  <c r="O44" i="131"/>
  <c r="BM43" i="131"/>
  <c r="BN43" i="131" s="1"/>
  <c r="BL43" i="131"/>
  <c r="BK43" i="131" s="1"/>
  <c r="V43" i="131" s="1"/>
  <c r="BH43" i="131"/>
  <c r="BD43" i="131"/>
  <c r="BF43" i="131" s="1"/>
  <c r="BB43" i="131"/>
  <c r="AZ43" i="131"/>
  <c r="AJ43" i="131" s="1"/>
  <c r="AS43" i="131"/>
  <c r="AU43" i="131" s="1"/>
  <c r="AO43" i="131"/>
  <c r="AK43" i="131" s="1"/>
  <c r="AM43" i="131"/>
  <c r="AB43" i="131"/>
  <c r="AA43" i="131"/>
  <c r="O43" i="131"/>
  <c r="BN42" i="131"/>
  <c r="BM42" i="131"/>
  <c r="BL42" i="131"/>
  <c r="BJ43" i="131" s="1"/>
  <c r="BH42" i="131"/>
  <c r="BD42" i="131"/>
  <c r="BF42" i="131" s="1"/>
  <c r="AZ42" i="131"/>
  <c r="AJ42" i="131" s="1"/>
  <c r="AS42" i="131"/>
  <c r="AU42" i="131" s="1"/>
  <c r="AO42" i="131"/>
  <c r="AK42" i="131" s="1"/>
  <c r="AM42" i="131"/>
  <c r="AB42" i="131"/>
  <c r="AA42" i="131"/>
  <c r="O42" i="131"/>
  <c r="BM41" i="131"/>
  <c r="BL41" i="131"/>
  <c r="BO42" i="131" s="1"/>
  <c r="BH41" i="131"/>
  <c r="BD41" i="131"/>
  <c r="BF41" i="131" s="1"/>
  <c r="AZ41" i="131"/>
  <c r="AS41" i="131"/>
  <c r="AU41" i="131" s="1"/>
  <c r="AO41" i="131"/>
  <c r="AM41" i="131"/>
  <c r="AK41" i="131"/>
  <c r="AB41" i="131"/>
  <c r="AA41" i="131"/>
  <c r="O41" i="131"/>
  <c r="BM40" i="131"/>
  <c r="BN40" i="131" s="1"/>
  <c r="BL40" i="131"/>
  <c r="BH40" i="131"/>
  <c r="BD40" i="131"/>
  <c r="BF40" i="131" s="1"/>
  <c r="AZ40" i="131"/>
  <c r="AJ40" i="131" s="1"/>
  <c r="AS40" i="131"/>
  <c r="AU40" i="131" s="1"/>
  <c r="AO40" i="131"/>
  <c r="AK40" i="131" s="1"/>
  <c r="AM40" i="131"/>
  <c r="AB40" i="131"/>
  <c r="AA40" i="131"/>
  <c r="O40" i="131"/>
  <c r="BN39" i="131"/>
  <c r="BM39" i="131"/>
  <c r="BL39" i="131"/>
  <c r="BH39" i="131"/>
  <c r="BD39" i="131"/>
  <c r="BF39" i="131" s="1"/>
  <c r="AZ39" i="131"/>
  <c r="AS39" i="131"/>
  <c r="AU39" i="131" s="1"/>
  <c r="AO39" i="131"/>
  <c r="AK39" i="131" s="1"/>
  <c r="AM39" i="131"/>
  <c r="AB39" i="131"/>
  <c r="AA39" i="131"/>
  <c r="O39" i="131"/>
  <c r="BM38" i="131"/>
  <c r="BO38" i="131" s="1"/>
  <c r="BL38" i="131"/>
  <c r="BH38" i="131"/>
  <c r="BD38" i="131"/>
  <c r="BF38" i="131" s="1"/>
  <c r="AZ38" i="131"/>
  <c r="AS38" i="131"/>
  <c r="AU38" i="131" s="1"/>
  <c r="AO38" i="131"/>
  <c r="AM38" i="131"/>
  <c r="AK38" i="131"/>
  <c r="AH38" i="131"/>
  <c r="AR38" i="131" s="1"/>
  <c r="AB38" i="131"/>
  <c r="AA38" i="131"/>
  <c r="O38" i="131"/>
  <c r="AI37" i="131"/>
  <c r="Q37" i="131"/>
  <c r="N37" i="131"/>
  <c r="M37" i="131"/>
  <c r="L37" i="131"/>
  <c r="K37" i="131"/>
  <c r="I37" i="131"/>
  <c r="H37" i="131"/>
  <c r="G37" i="131"/>
  <c r="F37" i="131"/>
  <c r="E37" i="131"/>
  <c r="BM36" i="131"/>
  <c r="BL36" i="131"/>
  <c r="BH36" i="131"/>
  <c r="BD36" i="131"/>
  <c r="BF36" i="131" s="1"/>
  <c r="BB36" i="131"/>
  <c r="AZ36" i="131"/>
  <c r="AJ36" i="131" s="1"/>
  <c r="AS36" i="131"/>
  <c r="AU36" i="131" s="1"/>
  <c r="AO36" i="131"/>
  <c r="AK36" i="131" s="1"/>
  <c r="AM36" i="131"/>
  <c r="AB36" i="131"/>
  <c r="AA36" i="131"/>
  <c r="O36" i="131"/>
  <c r="BM35" i="131"/>
  <c r="BN35" i="131" s="1"/>
  <c r="BL35" i="131"/>
  <c r="BH35" i="131"/>
  <c r="AZ35" i="131"/>
  <c r="BB35" i="131" s="1"/>
  <c r="AS35" i="131"/>
  <c r="AU35" i="131" s="1"/>
  <c r="AO35" i="131"/>
  <c r="AM35" i="131"/>
  <c r="AB35" i="131"/>
  <c r="AA35" i="131"/>
  <c r="O35" i="131"/>
  <c r="BM34" i="131"/>
  <c r="BL34" i="131"/>
  <c r="BO35" i="131" s="1"/>
  <c r="BH34" i="131"/>
  <c r="BD34" i="131"/>
  <c r="BF34" i="131" s="1"/>
  <c r="AZ34" i="131"/>
  <c r="AS34" i="131"/>
  <c r="AU34" i="131" s="1"/>
  <c r="AO34" i="131"/>
  <c r="AK34" i="131" s="1"/>
  <c r="AM34" i="131"/>
  <c r="AB34" i="131"/>
  <c r="AA34" i="131"/>
  <c r="O34" i="131"/>
  <c r="BM33" i="131"/>
  <c r="BL33" i="131"/>
  <c r="BH33" i="131"/>
  <c r="BD33" i="131"/>
  <c r="BF33" i="131" s="1"/>
  <c r="AZ33" i="131"/>
  <c r="BB33" i="131" s="1"/>
  <c r="AS33" i="131"/>
  <c r="AU33" i="131" s="1"/>
  <c r="AO33" i="131"/>
  <c r="AM33" i="131"/>
  <c r="AK33" i="131"/>
  <c r="AB33" i="131"/>
  <c r="AA33" i="131"/>
  <c r="O33" i="131"/>
  <c r="BM32" i="131"/>
  <c r="BL32" i="131"/>
  <c r="BH32" i="131"/>
  <c r="BD32" i="131"/>
  <c r="BF32" i="131" s="1"/>
  <c r="AZ32" i="131"/>
  <c r="AJ32" i="131" s="1"/>
  <c r="AS32" i="131"/>
  <c r="AU32" i="131" s="1"/>
  <c r="AO32" i="131"/>
  <c r="AM32" i="131"/>
  <c r="AB32" i="131"/>
  <c r="AA32" i="131"/>
  <c r="O32" i="131"/>
  <c r="BM31" i="131"/>
  <c r="BL31" i="131"/>
  <c r="BH31" i="131"/>
  <c r="BD31" i="131"/>
  <c r="BF31" i="131" s="1"/>
  <c r="AZ31" i="131"/>
  <c r="BB31" i="131" s="1"/>
  <c r="AS31" i="131"/>
  <c r="AU31" i="131" s="1"/>
  <c r="AO31" i="131"/>
  <c r="AM31" i="131"/>
  <c r="AB31" i="131"/>
  <c r="AA31" i="131"/>
  <c r="O31" i="131"/>
  <c r="BM30" i="131"/>
  <c r="BL30" i="131"/>
  <c r="BH30" i="131"/>
  <c r="AZ30" i="131"/>
  <c r="BB30" i="131" s="1"/>
  <c r="AS30" i="131"/>
  <c r="AU30" i="131" s="1"/>
  <c r="AO30" i="131"/>
  <c r="AM30" i="131"/>
  <c r="AH30" i="131"/>
  <c r="AR30" i="131" s="1"/>
  <c r="AB30" i="131"/>
  <c r="AA30" i="131"/>
  <c r="O30" i="131"/>
  <c r="AI29" i="131"/>
  <c r="Q29" i="131"/>
  <c r="N29" i="131"/>
  <c r="M29" i="131"/>
  <c r="L29" i="131"/>
  <c r="K29" i="131"/>
  <c r="I29" i="131"/>
  <c r="H29" i="131"/>
  <c r="G29" i="131"/>
  <c r="F29" i="131"/>
  <c r="AC29" i="131" s="1"/>
  <c r="E29" i="131"/>
  <c r="BM28" i="131"/>
  <c r="BL28" i="131"/>
  <c r="BH28" i="131"/>
  <c r="BD28" i="131"/>
  <c r="BF28" i="131" s="1"/>
  <c r="BB28" i="131"/>
  <c r="AZ28" i="131"/>
  <c r="AJ28" i="131" s="1"/>
  <c r="AS28" i="131"/>
  <c r="AU28" i="131" s="1"/>
  <c r="AO28" i="131"/>
  <c r="AK28" i="131" s="1"/>
  <c r="AM28" i="131"/>
  <c r="AB28" i="131"/>
  <c r="AA28" i="131"/>
  <c r="O28" i="131"/>
  <c r="BM27" i="131"/>
  <c r="BN27" i="131" s="1"/>
  <c r="BL27" i="131"/>
  <c r="BH27" i="131"/>
  <c r="BD27" i="131"/>
  <c r="BF27" i="131" s="1"/>
  <c r="AZ27" i="131"/>
  <c r="AS27" i="131"/>
  <c r="AU27" i="131" s="1"/>
  <c r="AO27" i="131"/>
  <c r="AK27" i="131" s="1"/>
  <c r="AM27" i="131"/>
  <c r="AB27" i="131"/>
  <c r="AA27" i="131"/>
  <c r="O27" i="131"/>
  <c r="BM26" i="131"/>
  <c r="BL26" i="131"/>
  <c r="BH26" i="131"/>
  <c r="BD26" i="131"/>
  <c r="BF26" i="131" s="1"/>
  <c r="AZ26" i="131"/>
  <c r="BB26" i="131" s="1"/>
  <c r="AS26" i="131"/>
  <c r="AU26" i="131" s="1"/>
  <c r="AO26" i="131"/>
  <c r="AK26" i="131" s="1"/>
  <c r="AM26" i="131"/>
  <c r="AJ26" i="131"/>
  <c r="AB26" i="131"/>
  <c r="AA26" i="131"/>
  <c r="O26" i="131"/>
  <c r="BM25" i="131"/>
  <c r="BL25" i="131"/>
  <c r="BH25" i="131"/>
  <c r="BD25" i="131"/>
  <c r="BF25" i="131" s="1"/>
  <c r="AZ25" i="131"/>
  <c r="BB25" i="131" s="1"/>
  <c r="AS25" i="131"/>
  <c r="AU25" i="131" s="1"/>
  <c r="AO25" i="131"/>
  <c r="AM25" i="131"/>
  <c r="AK25" i="131"/>
  <c r="AJ25" i="131"/>
  <c r="AB25" i="131"/>
  <c r="AA25" i="131"/>
  <c r="O25" i="131"/>
  <c r="BM24" i="131"/>
  <c r="BL24" i="131"/>
  <c r="BH24" i="131"/>
  <c r="BD24" i="131"/>
  <c r="BF24" i="131" s="1"/>
  <c r="AZ24" i="131"/>
  <c r="AS24" i="131"/>
  <c r="AU24" i="131" s="1"/>
  <c r="AO24" i="131"/>
  <c r="AK24" i="131" s="1"/>
  <c r="AM24" i="131"/>
  <c r="AB24" i="131"/>
  <c r="AA24" i="131"/>
  <c r="O24" i="131"/>
  <c r="BM23" i="131"/>
  <c r="BN23" i="131" s="1"/>
  <c r="BL23" i="131"/>
  <c r="BH23" i="131"/>
  <c r="BD23" i="131"/>
  <c r="BF23" i="131" s="1"/>
  <c r="BB23" i="131"/>
  <c r="AZ23" i="131"/>
  <c r="AS23" i="131"/>
  <c r="AU23" i="131" s="1"/>
  <c r="AO23" i="131"/>
  <c r="AK23" i="131" s="1"/>
  <c r="AM23" i="131"/>
  <c r="AJ23" i="131"/>
  <c r="AB23" i="131"/>
  <c r="AA23" i="131"/>
  <c r="O23" i="131"/>
  <c r="BM22" i="131"/>
  <c r="BN22" i="131" s="1"/>
  <c r="BL22" i="131"/>
  <c r="BH22" i="131"/>
  <c r="BJ22" i="131" s="1"/>
  <c r="BD22" i="131"/>
  <c r="BF22" i="131" s="1"/>
  <c r="BB22" i="131"/>
  <c r="AZ22" i="131"/>
  <c r="AS22" i="131"/>
  <c r="AU22" i="131" s="1"/>
  <c r="AO22" i="131"/>
  <c r="AM22" i="131"/>
  <c r="AK22" i="131"/>
  <c r="AJ22" i="131"/>
  <c r="AH22" i="131"/>
  <c r="AP22" i="131" s="1"/>
  <c r="AB22" i="131"/>
  <c r="AA22" i="131"/>
  <c r="O22" i="131"/>
  <c r="AI21" i="131"/>
  <c r="Q21" i="131"/>
  <c r="Q46" i="131" s="1"/>
  <c r="N21" i="131"/>
  <c r="M21" i="131"/>
  <c r="L21" i="131"/>
  <c r="K21" i="131"/>
  <c r="I21" i="131"/>
  <c r="H21" i="131"/>
  <c r="G21" i="131"/>
  <c r="F21" i="131"/>
  <c r="E21" i="131"/>
  <c r="BM20" i="131"/>
  <c r="BL20" i="131"/>
  <c r="BH20" i="131"/>
  <c r="BD20" i="131"/>
  <c r="BF20" i="131" s="1"/>
  <c r="AZ20" i="131"/>
  <c r="AS20" i="131"/>
  <c r="AU20" i="131" s="1"/>
  <c r="AO20" i="131"/>
  <c r="AK20" i="131" s="1"/>
  <c r="AM20" i="131"/>
  <c r="AB20" i="131"/>
  <c r="AA20" i="131"/>
  <c r="O20" i="131"/>
  <c r="BM19" i="131"/>
  <c r="BN19" i="131" s="1"/>
  <c r="BL19" i="131"/>
  <c r="BH19" i="131"/>
  <c r="BD19" i="131"/>
  <c r="BF19" i="131" s="1"/>
  <c r="AZ19" i="131"/>
  <c r="AJ19" i="131" s="1"/>
  <c r="AS19" i="131"/>
  <c r="AU19" i="131" s="1"/>
  <c r="AO19" i="131"/>
  <c r="AK19" i="131" s="1"/>
  <c r="AM19" i="131"/>
  <c r="AB19" i="131"/>
  <c r="AA19" i="131"/>
  <c r="O19" i="131"/>
  <c r="BM18" i="131"/>
  <c r="BN18" i="131" s="1"/>
  <c r="BL18" i="131"/>
  <c r="BH18" i="131"/>
  <c r="BD18" i="131"/>
  <c r="BF18" i="131" s="1"/>
  <c r="AZ18" i="131"/>
  <c r="AJ18" i="131" s="1"/>
  <c r="AS18" i="131"/>
  <c r="AU18" i="131" s="1"/>
  <c r="AO18" i="131"/>
  <c r="AK18" i="131" s="1"/>
  <c r="AM18" i="131"/>
  <c r="AB18" i="131"/>
  <c r="AA18" i="131"/>
  <c r="O18" i="131"/>
  <c r="BM17" i="131"/>
  <c r="BN17" i="131" s="1"/>
  <c r="BL17" i="131"/>
  <c r="BO18" i="131" s="1"/>
  <c r="BH17" i="131"/>
  <c r="BD17" i="131"/>
  <c r="BF17" i="131" s="1"/>
  <c r="AZ17" i="131"/>
  <c r="BB17" i="131" s="1"/>
  <c r="AS17" i="131"/>
  <c r="AU17" i="131" s="1"/>
  <c r="AO17" i="131"/>
  <c r="AK17" i="131" s="1"/>
  <c r="AM17" i="131"/>
  <c r="AB17" i="131"/>
  <c r="AA17" i="131"/>
  <c r="O17" i="131"/>
  <c r="BM16" i="131"/>
  <c r="BN16" i="131" s="1"/>
  <c r="BL16" i="131"/>
  <c r="BH16" i="131"/>
  <c r="BD16" i="131"/>
  <c r="BF16" i="131" s="1"/>
  <c r="AZ16" i="131"/>
  <c r="AJ16" i="131" s="1"/>
  <c r="AS16" i="131"/>
  <c r="AU16" i="131" s="1"/>
  <c r="AO16" i="131"/>
  <c r="AK16" i="131" s="1"/>
  <c r="AM16" i="131"/>
  <c r="AB16" i="131"/>
  <c r="AA16" i="131"/>
  <c r="O16" i="131"/>
  <c r="BM15" i="131"/>
  <c r="BL15" i="131"/>
  <c r="BH15" i="131"/>
  <c r="BD15" i="131"/>
  <c r="BF15" i="131" s="1"/>
  <c r="AZ15" i="131"/>
  <c r="AJ15" i="131" s="1"/>
  <c r="AS15" i="131"/>
  <c r="AU15" i="131" s="1"/>
  <c r="AO15" i="131"/>
  <c r="AK15" i="131" s="1"/>
  <c r="AM15" i="131"/>
  <c r="AB15" i="131"/>
  <c r="AA15" i="131"/>
  <c r="O15" i="131"/>
  <c r="BM14" i="131"/>
  <c r="BN14" i="131" s="1"/>
  <c r="BL14" i="131"/>
  <c r="BH14" i="131"/>
  <c r="BJ14" i="131" s="1"/>
  <c r="AZ14" i="131"/>
  <c r="BB14" i="131" s="1"/>
  <c r="AO14" i="131"/>
  <c r="AM14" i="131"/>
  <c r="AH14" i="131"/>
  <c r="AR14" i="131" s="1"/>
  <c r="AB14" i="131"/>
  <c r="AA14" i="131"/>
  <c r="O14" i="131"/>
  <c r="AM13" i="131"/>
  <c r="AJ13" i="131" s="1"/>
  <c r="AK13" i="131"/>
  <c r="W11" i="131"/>
  <c r="AG29" i="131"/>
  <c r="C8" i="131"/>
  <c r="C7" i="131"/>
  <c r="C6" i="131"/>
  <c r="O7" i="130"/>
  <c r="X46" i="130"/>
  <c r="AI45" i="130"/>
  <c r="Q45" i="130"/>
  <c r="N45" i="130"/>
  <c r="M45" i="130"/>
  <c r="L45" i="130"/>
  <c r="K45" i="130"/>
  <c r="I45" i="130"/>
  <c r="H45" i="130"/>
  <c r="G45" i="130"/>
  <c r="F45" i="130"/>
  <c r="E45" i="130"/>
  <c r="S45" i="130" s="1"/>
  <c r="BM44" i="130"/>
  <c r="BO44" i="130" s="1"/>
  <c r="BL44" i="130"/>
  <c r="BP44" i="130" s="1"/>
  <c r="BH44" i="130"/>
  <c r="BD44" i="130"/>
  <c r="BF44" i="130" s="1"/>
  <c r="AZ44" i="130"/>
  <c r="BB44" i="130" s="1"/>
  <c r="AS44" i="130"/>
  <c r="AU44" i="130" s="1"/>
  <c r="AO44" i="130"/>
  <c r="AK44" i="130" s="1"/>
  <c r="AM44" i="130"/>
  <c r="AJ44" i="130"/>
  <c r="AB44" i="130"/>
  <c r="AA44" i="130"/>
  <c r="O44" i="130"/>
  <c r="BO43" i="130"/>
  <c r="BM43" i="130"/>
  <c r="BN43" i="130" s="1"/>
  <c r="BL43" i="130"/>
  <c r="BK43" i="130"/>
  <c r="V43" i="130" s="1"/>
  <c r="BH43" i="130"/>
  <c r="BD43" i="130"/>
  <c r="BF43" i="130" s="1"/>
  <c r="AZ43" i="130"/>
  <c r="AJ43" i="130" s="1"/>
  <c r="AS43" i="130"/>
  <c r="AU43" i="130" s="1"/>
  <c r="AO43" i="130"/>
  <c r="AK43" i="130" s="1"/>
  <c r="AM43" i="130"/>
  <c r="AB43" i="130"/>
  <c r="AA43" i="130"/>
  <c r="O43" i="130"/>
  <c r="BM42" i="130"/>
  <c r="BN42" i="130" s="1"/>
  <c r="BL42" i="130"/>
  <c r="BJ43" i="130" s="1"/>
  <c r="U43" i="130" s="1"/>
  <c r="BH42" i="130"/>
  <c r="BD42" i="130"/>
  <c r="BF42" i="130" s="1"/>
  <c r="AZ42" i="130"/>
  <c r="BB42" i="130" s="1"/>
  <c r="AS42" i="130"/>
  <c r="AU42" i="130" s="1"/>
  <c r="AO42" i="130"/>
  <c r="AK42" i="130" s="1"/>
  <c r="AM42" i="130"/>
  <c r="AB42" i="130"/>
  <c r="AA42" i="130"/>
  <c r="O42" i="130"/>
  <c r="BM41" i="130"/>
  <c r="BL41" i="130"/>
  <c r="BH41" i="130"/>
  <c r="BK41" i="130" s="1"/>
  <c r="V41" i="130" s="1"/>
  <c r="BD41" i="130"/>
  <c r="BF41" i="130" s="1"/>
  <c r="AZ41" i="130"/>
  <c r="AU41" i="130"/>
  <c r="AS41" i="130"/>
  <c r="AO41" i="130"/>
  <c r="AM41" i="130"/>
  <c r="AK41" i="130"/>
  <c r="AB41" i="130"/>
  <c r="AA41" i="130"/>
  <c r="O41" i="130"/>
  <c r="BN40" i="130"/>
  <c r="BM40" i="130"/>
  <c r="BL40" i="130"/>
  <c r="BJ40" i="130"/>
  <c r="U40" i="130" s="1"/>
  <c r="BH40" i="130"/>
  <c r="BD40" i="130"/>
  <c r="BF40" i="130" s="1"/>
  <c r="AZ40" i="130"/>
  <c r="AJ40" i="130" s="1"/>
  <c r="AS40" i="130"/>
  <c r="AU40" i="130" s="1"/>
  <c r="AO40" i="130"/>
  <c r="AK40" i="130" s="1"/>
  <c r="AM40" i="130"/>
  <c r="AB40" i="130"/>
  <c r="AA40" i="130"/>
  <c r="O40" i="130"/>
  <c r="BN39" i="130"/>
  <c r="BM39" i="130"/>
  <c r="BP39" i="130" s="1"/>
  <c r="BL39" i="130"/>
  <c r="BK39" i="130"/>
  <c r="V39" i="130" s="1"/>
  <c r="BH39" i="130"/>
  <c r="BD39" i="130"/>
  <c r="BF39" i="130" s="1"/>
  <c r="BB39" i="130"/>
  <c r="AZ39" i="130"/>
  <c r="AJ39" i="130" s="1"/>
  <c r="AS39" i="130"/>
  <c r="AU39" i="130" s="1"/>
  <c r="AO39" i="130"/>
  <c r="AK39" i="130" s="1"/>
  <c r="AM39" i="130"/>
  <c r="AB39" i="130"/>
  <c r="AA39" i="130"/>
  <c r="O39" i="130"/>
  <c r="BM38" i="130"/>
  <c r="BN38" i="130" s="1"/>
  <c r="BL38" i="130"/>
  <c r="BJ39" i="130" s="1"/>
  <c r="U39" i="130" s="1"/>
  <c r="BH38" i="130"/>
  <c r="BD38" i="130"/>
  <c r="BF38" i="130" s="1"/>
  <c r="AZ38" i="130"/>
  <c r="BB38" i="130" s="1"/>
  <c r="AU38" i="130"/>
  <c r="AS38" i="130"/>
  <c r="AO38" i="130"/>
  <c r="AM38" i="130"/>
  <c r="AK38" i="130"/>
  <c r="AJ38" i="130"/>
  <c r="AH38" i="130"/>
  <c r="AB38" i="130"/>
  <c r="AA38" i="130"/>
  <c r="O38" i="130"/>
  <c r="AI37" i="130"/>
  <c r="Q37" i="130"/>
  <c r="N37" i="130"/>
  <c r="M37" i="130"/>
  <c r="L37" i="130"/>
  <c r="K37" i="130"/>
  <c r="I37" i="130"/>
  <c r="H37" i="130"/>
  <c r="G37" i="130"/>
  <c r="F37" i="130"/>
  <c r="E37" i="130"/>
  <c r="S37" i="130" s="1"/>
  <c r="BN36" i="130"/>
  <c r="BM36" i="130"/>
  <c r="BL36" i="130"/>
  <c r="BH36" i="130"/>
  <c r="BD36" i="130"/>
  <c r="BF36" i="130" s="1"/>
  <c r="AZ36" i="130"/>
  <c r="AJ36" i="130" s="1"/>
  <c r="AS36" i="130"/>
  <c r="AU36" i="130" s="1"/>
  <c r="AO36" i="130"/>
  <c r="AK36" i="130" s="1"/>
  <c r="AM36" i="130"/>
  <c r="AB36" i="130"/>
  <c r="AA36" i="130"/>
  <c r="O36" i="130"/>
  <c r="BM35" i="130"/>
  <c r="BN35" i="130" s="1"/>
  <c r="BL35" i="130"/>
  <c r="BH35" i="130"/>
  <c r="BD35" i="130"/>
  <c r="BF35" i="130" s="1"/>
  <c r="AZ35" i="130"/>
  <c r="AJ35" i="130" s="1"/>
  <c r="AS35" i="130"/>
  <c r="AU35" i="130" s="1"/>
  <c r="AO35" i="130"/>
  <c r="AK35" i="130" s="1"/>
  <c r="AM35" i="130"/>
  <c r="AB35" i="130"/>
  <c r="AA35" i="130"/>
  <c r="O35" i="130"/>
  <c r="BM34" i="130"/>
  <c r="BL34" i="130"/>
  <c r="BH34" i="130"/>
  <c r="BD34" i="130"/>
  <c r="BF34" i="130" s="1"/>
  <c r="BB34" i="130"/>
  <c r="AZ34" i="130"/>
  <c r="AS34" i="130"/>
  <c r="AU34" i="130" s="1"/>
  <c r="AO34" i="130"/>
  <c r="AK34" i="130" s="1"/>
  <c r="AM34" i="130"/>
  <c r="AJ34" i="130"/>
  <c r="AB34" i="130"/>
  <c r="AA34" i="130"/>
  <c r="O34" i="130"/>
  <c r="BM33" i="130"/>
  <c r="BL33" i="130"/>
  <c r="BH33" i="130"/>
  <c r="BD33" i="130"/>
  <c r="BF33" i="130" s="1"/>
  <c r="AZ33" i="130"/>
  <c r="AS33" i="130"/>
  <c r="AU33" i="130" s="1"/>
  <c r="AO33" i="130"/>
  <c r="AK33" i="130" s="1"/>
  <c r="AM33" i="130"/>
  <c r="AB33" i="130"/>
  <c r="AA33" i="130"/>
  <c r="O33" i="130"/>
  <c r="BM32" i="130"/>
  <c r="BN32" i="130" s="1"/>
  <c r="BL32" i="130"/>
  <c r="BH32" i="130"/>
  <c r="BD32" i="130"/>
  <c r="BF32" i="130" s="1"/>
  <c r="AZ32" i="130"/>
  <c r="BB32" i="130" s="1"/>
  <c r="AS32" i="130"/>
  <c r="AU32" i="130" s="1"/>
  <c r="AO32" i="130"/>
  <c r="AK32" i="130" s="1"/>
  <c r="AM32" i="130"/>
  <c r="AJ32" i="130"/>
  <c r="AB32" i="130"/>
  <c r="AA32" i="130"/>
  <c r="O32" i="130"/>
  <c r="BM31" i="130"/>
  <c r="BN31" i="130" s="1"/>
  <c r="BL31" i="130"/>
  <c r="BJ32" i="130" s="1"/>
  <c r="BH31" i="130"/>
  <c r="BD31" i="130"/>
  <c r="BF31" i="130" s="1"/>
  <c r="AZ31" i="130"/>
  <c r="AS31" i="130"/>
  <c r="AU31" i="130" s="1"/>
  <c r="AO31" i="130"/>
  <c r="AK31" i="130" s="1"/>
  <c r="AM31" i="130"/>
  <c r="AB31" i="130"/>
  <c r="AA31" i="130"/>
  <c r="O31" i="130"/>
  <c r="BM30" i="130"/>
  <c r="BN30" i="130" s="1"/>
  <c r="BL30" i="130"/>
  <c r="BH30" i="130"/>
  <c r="AZ30" i="130"/>
  <c r="AS30" i="130"/>
  <c r="AU30" i="130" s="1"/>
  <c r="AO30" i="130"/>
  <c r="AM30" i="130"/>
  <c r="AH30" i="130"/>
  <c r="AB30" i="130"/>
  <c r="AA30" i="130"/>
  <c r="O30" i="130"/>
  <c r="AI29" i="130"/>
  <c r="Q29" i="130"/>
  <c r="N29" i="130"/>
  <c r="M29" i="130"/>
  <c r="L29" i="130"/>
  <c r="K29" i="130"/>
  <c r="I29" i="130"/>
  <c r="H29" i="130"/>
  <c r="G29" i="130"/>
  <c r="F29" i="130"/>
  <c r="E29" i="130"/>
  <c r="BN28" i="130"/>
  <c r="BM28" i="130"/>
  <c r="BL28" i="130"/>
  <c r="BH28" i="130"/>
  <c r="BD28" i="130"/>
  <c r="BF28" i="130" s="1"/>
  <c r="AZ28" i="130"/>
  <c r="BB28" i="130" s="1"/>
  <c r="AS28" i="130"/>
  <c r="AU28" i="130" s="1"/>
  <c r="AO28" i="130"/>
  <c r="AM28" i="130"/>
  <c r="AK28" i="130"/>
  <c r="AJ28" i="130"/>
  <c r="AB28" i="130"/>
  <c r="AA28" i="130"/>
  <c r="O28" i="130"/>
  <c r="BM27" i="130"/>
  <c r="BL27" i="130"/>
  <c r="BH27" i="130"/>
  <c r="AZ27" i="130"/>
  <c r="AS27" i="130"/>
  <c r="AU27" i="130" s="1"/>
  <c r="AO27" i="130"/>
  <c r="AM27" i="130"/>
  <c r="AB27" i="130"/>
  <c r="AA27" i="130"/>
  <c r="O27" i="130"/>
  <c r="BM26" i="130"/>
  <c r="BN26" i="130" s="1"/>
  <c r="BL26" i="130"/>
  <c r="BH26" i="130"/>
  <c r="BD26" i="130"/>
  <c r="BF26" i="130" s="1"/>
  <c r="AZ26" i="130"/>
  <c r="BB26" i="130" s="1"/>
  <c r="AS26" i="130"/>
  <c r="AU26" i="130" s="1"/>
  <c r="AO26" i="130"/>
  <c r="AK26" i="130" s="1"/>
  <c r="AM26" i="130"/>
  <c r="AJ26" i="130"/>
  <c r="AB26" i="130"/>
  <c r="AA26" i="130"/>
  <c r="O26" i="130"/>
  <c r="BM25" i="130"/>
  <c r="BL25" i="130"/>
  <c r="BH25" i="130"/>
  <c r="BD25" i="130"/>
  <c r="BF25" i="130" s="1"/>
  <c r="AZ25" i="130"/>
  <c r="AJ25" i="130" s="1"/>
  <c r="AS25" i="130"/>
  <c r="AU25" i="130" s="1"/>
  <c r="AO25" i="130"/>
  <c r="AK25" i="130" s="1"/>
  <c r="AM25" i="130"/>
  <c r="AB25" i="130"/>
  <c r="AA25" i="130"/>
  <c r="O25" i="130"/>
  <c r="BM24" i="130"/>
  <c r="BN24" i="130" s="1"/>
  <c r="BL24" i="130"/>
  <c r="BP24" i="130" s="1"/>
  <c r="BH24" i="130"/>
  <c r="BD24" i="130"/>
  <c r="BF24" i="130" s="1"/>
  <c r="AZ24" i="130"/>
  <c r="BB24" i="130" s="1"/>
  <c r="AS24" i="130"/>
  <c r="AU24" i="130" s="1"/>
  <c r="AO24" i="130"/>
  <c r="AK24" i="130" s="1"/>
  <c r="AM24" i="130"/>
  <c r="AB24" i="130"/>
  <c r="AA24" i="130"/>
  <c r="O24" i="130"/>
  <c r="BM23" i="130"/>
  <c r="BL23" i="130"/>
  <c r="BH23" i="130"/>
  <c r="BD23" i="130"/>
  <c r="BF23" i="130" s="1"/>
  <c r="AZ23" i="130"/>
  <c r="AJ23" i="130" s="1"/>
  <c r="AS23" i="130"/>
  <c r="AU23" i="130" s="1"/>
  <c r="AO23" i="130"/>
  <c r="AK23" i="130" s="1"/>
  <c r="AM23" i="130"/>
  <c r="AB23" i="130"/>
  <c r="AA23" i="130"/>
  <c r="O23" i="130"/>
  <c r="BN22" i="130"/>
  <c r="BM22" i="130"/>
  <c r="BO22" i="130" s="1"/>
  <c r="BL22" i="130"/>
  <c r="BK22" i="130"/>
  <c r="V22" i="130" s="1"/>
  <c r="BH22" i="130"/>
  <c r="BJ22" i="130" s="1"/>
  <c r="BD22" i="130"/>
  <c r="BF22" i="130" s="1"/>
  <c r="AZ22" i="130"/>
  <c r="BB22" i="130" s="1"/>
  <c r="AS22" i="130"/>
  <c r="AU22" i="130" s="1"/>
  <c r="AO22" i="130"/>
  <c r="AM22" i="130"/>
  <c r="AK22" i="130"/>
  <c r="AH22" i="130"/>
  <c r="AR22" i="130" s="1"/>
  <c r="AB22" i="130"/>
  <c r="AA22" i="130"/>
  <c r="O22" i="130"/>
  <c r="AI21" i="130"/>
  <c r="Q21" i="130"/>
  <c r="N21" i="130"/>
  <c r="M21" i="130"/>
  <c r="L21" i="130"/>
  <c r="K21" i="130"/>
  <c r="I21" i="130"/>
  <c r="H21" i="130"/>
  <c r="G21" i="130"/>
  <c r="F21" i="130"/>
  <c r="BM20" i="130"/>
  <c r="BL20" i="130"/>
  <c r="BH20" i="130"/>
  <c r="BD20" i="130"/>
  <c r="BF20" i="130" s="1"/>
  <c r="AZ20" i="130"/>
  <c r="BB20" i="130" s="1"/>
  <c r="AS20" i="130"/>
  <c r="AU20" i="130" s="1"/>
  <c r="AO20" i="130"/>
  <c r="AK20" i="130" s="1"/>
  <c r="AM20" i="130"/>
  <c r="AB20" i="130"/>
  <c r="AA20" i="130"/>
  <c r="O20" i="130"/>
  <c r="BM19" i="130"/>
  <c r="BN19" i="130" s="1"/>
  <c r="BL19" i="130"/>
  <c r="BH19" i="130"/>
  <c r="BD19" i="130"/>
  <c r="BF19" i="130" s="1"/>
  <c r="AZ19" i="130"/>
  <c r="AS19" i="130"/>
  <c r="AU19" i="130" s="1"/>
  <c r="AO19" i="130"/>
  <c r="AK19" i="130" s="1"/>
  <c r="AM19" i="130"/>
  <c r="AB19" i="130"/>
  <c r="AA19" i="130"/>
  <c r="O19" i="130"/>
  <c r="BM18" i="130"/>
  <c r="BN18" i="130" s="1"/>
  <c r="BL18" i="130"/>
  <c r="BH18" i="130"/>
  <c r="BD18" i="130"/>
  <c r="BF18" i="130" s="1"/>
  <c r="AZ18" i="130"/>
  <c r="AJ18" i="130" s="1"/>
  <c r="AS18" i="130"/>
  <c r="AU18" i="130" s="1"/>
  <c r="AO18" i="130"/>
  <c r="AK18" i="130" s="1"/>
  <c r="AM18" i="130"/>
  <c r="AB18" i="130"/>
  <c r="AA18" i="130"/>
  <c r="O18" i="130"/>
  <c r="BM17" i="130"/>
  <c r="BN17" i="130" s="1"/>
  <c r="BL17" i="130"/>
  <c r="BH17" i="130"/>
  <c r="BD17" i="130"/>
  <c r="BF17" i="130" s="1"/>
  <c r="AZ17" i="130"/>
  <c r="BB17" i="130" s="1"/>
  <c r="AS17" i="130"/>
  <c r="AU17" i="130" s="1"/>
  <c r="AO17" i="130"/>
  <c r="AK17" i="130" s="1"/>
  <c r="AM17" i="130"/>
  <c r="AB17" i="130"/>
  <c r="AA17" i="130"/>
  <c r="O17" i="130"/>
  <c r="BM16" i="130"/>
  <c r="BL16" i="130"/>
  <c r="BH16" i="130"/>
  <c r="BD16" i="130"/>
  <c r="BF16" i="130" s="1"/>
  <c r="AZ16" i="130"/>
  <c r="AJ16" i="130" s="1"/>
  <c r="AS16" i="130"/>
  <c r="AU16" i="130" s="1"/>
  <c r="AO16" i="130"/>
  <c r="AK16" i="130" s="1"/>
  <c r="AM16" i="130"/>
  <c r="AB16" i="130"/>
  <c r="AA16" i="130"/>
  <c r="O16" i="130"/>
  <c r="BM15" i="130"/>
  <c r="BN15" i="130" s="1"/>
  <c r="BL15" i="130"/>
  <c r="BH15" i="130"/>
  <c r="BD15" i="130"/>
  <c r="BF15" i="130" s="1"/>
  <c r="AZ15" i="130"/>
  <c r="AS15" i="130"/>
  <c r="AU15" i="130" s="1"/>
  <c r="AO15" i="130"/>
  <c r="AK15" i="130" s="1"/>
  <c r="AM15" i="130"/>
  <c r="AB15" i="130"/>
  <c r="AA15" i="130"/>
  <c r="O15" i="130"/>
  <c r="BM14" i="130"/>
  <c r="BO14" i="130" s="1"/>
  <c r="BL14" i="130"/>
  <c r="BH14" i="130"/>
  <c r="AZ14" i="130"/>
  <c r="AS14" i="130"/>
  <c r="AU14" i="130" s="1"/>
  <c r="AO14" i="130"/>
  <c r="AM14" i="130"/>
  <c r="AH14" i="130"/>
  <c r="AB14" i="130"/>
  <c r="AA14" i="130"/>
  <c r="O14" i="130"/>
  <c r="AM13" i="130"/>
  <c r="AJ13" i="130" s="1"/>
  <c r="AK13" i="130"/>
  <c r="W11" i="130"/>
  <c r="AF21" i="130" s="1"/>
  <c r="E11" i="130"/>
  <c r="C8" i="130"/>
  <c r="C7" i="130"/>
  <c r="C6" i="130"/>
  <c r="O7" i="129"/>
  <c r="X46" i="129"/>
  <c r="AI45" i="129"/>
  <c r="Q45" i="129"/>
  <c r="N45" i="129"/>
  <c r="M45" i="129"/>
  <c r="L45" i="129"/>
  <c r="K45" i="129"/>
  <c r="I45" i="129"/>
  <c r="H45" i="129"/>
  <c r="G45" i="129"/>
  <c r="F45" i="129"/>
  <c r="E45" i="129"/>
  <c r="S45" i="129" s="1"/>
  <c r="BM44" i="129"/>
  <c r="BL44" i="129"/>
  <c r="BH44" i="129"/>
  <c r="BD44" i="129"/>
  <c r="BF44" i="129" s="1"/>
  <c r="AZ44" i="129"/>
  <c r="AJ44" i="129" s="1"/>
  <c r="AS44" i="129"/>
  <c r="AU44" i="129" s="1"/>
  <c r="AO44" i="129"/>
  <c r="AM44" i="129"/>
  <c r="AK44" i="129"/>
  <c r="AB44" i="129"/>
  <c r="AA44" i="129"/>
  <c r="O44" i="129"/>
  <c r="BM43" i="129"/>
  <c r="BL43" i="129"/>
  <c r="BH43" i="129"/>
  <c r="BK43" i="129" s="1"/>
  <c r="V43" i="129" s="1"/>
  <c r="BF43" i="129"/>
  <c r="BD43" i="129"/>
  <c r="AZ43" i="129"/>
  <c r="AJ43" i="129" s="1"/>
  <c r="AS43" i="129"/>
  <c r="AU43" i="129" s="1"/>
  <c r="AO43" i="129"/>
  <c r="AK43" i="129" s="1"/>
  <c r="AM43" i="129"/>
  <c r="AB43" i="129"/>
  <c r="AA43" i="129"/>
  <c r="O43" i="129"/>
  <c r="BM42" i="129"/>
  <c r="BN42" i="129" s="1"/>
  <c r="BL42" i="129"/>
  <c r="BJ43" i="129" s="1"/>
  <c r="BH42" i="129"/>
  <c r="BD42" i="129"/>
  <c r="BF42" i="129" s="1"/>
  <c r="AZ42" i="129"/>
  <c r="AS42" i="129"/>
  <c r="AU42" i="129" s="1"/>
  <c r="AO42" i="129"/>
  <c r="AK42" i="129" s="1"/>
  <c r="AM42" i="129"/>
  <c r="AB42" i="129"/>
  <c r="AA42" i="129"/>
  <c r="O42" i="129"/>
  <c r="BM41" i="129"/>
  <c r="BL41" i="129"/>
  <c r="BH41" i="129"/>
  <c r="BK41" i="129" s="1"/>
  <c r="V41" i="129" s="1"/>
  <c r="BD41" i="129"/>
  <c r="BF41" i="129" s="1"/>
  <c r="AZ41" i="129"/>
  <c r="AU41" i="129"/>
  <c r="AS41" i="129"/>
  <c r="AO41" i="129"/>
  <c r="AM41" i="129"/>
  <c r="AK41" i="129"/>
  <c r="AB41" i="129"/>
  <c r="AA41" i="129"/>
  <c r="O41" i="129"/>
  <c r="BN40" i="129"/>
  <c r="BM40" i="129"/>
  <c r="BL40" i="129"/>
  <c r="BJ40" i="129"/>
  <c r="U40" i="129" s="1"/>
  <c r="BH40" i="129"/>
  <c r="BD40" i="129"/>
  <c r="BF40" i="129" s="1"/>
  <c r="AZ40" i="129"/>
  <c r="AJ40" i="129" s="1"/>
  <c r="AS40" i="129"/>
  <c r="AU40" i="129" s="1"/>
  <c r="AO40" i="129"/>
  <c r="AK40" i="129" s="1"/>
  <c r="AM40" i="129"/>
  <c r="AB40" i="129"/>
  <c r="AA40" i="129"/>
  <c r="O40" i="129"/>
  <c r="O45" i="129" s="1"/>
  <c r="BN39" i="129"/>
  <c r="BM39" i="129"/>
  <c r="BP39" i="129" s="1"/>
  <c r="BL39" i="129"/>
  <c r="BK39" i="129"/>
  <c r="V39" i="129" s="1"/>
  <c r="BH39" i="129"/>
  <c r="BF39" i="129"/>
  <c r="BD39" i="129"/>
  <c r="BB39" i="129"/>
  <c r="AZ39" i="129"/>
  <c r="AJ39" i="129" s="1"/>
  <c r="AS39" i="129"/>
  <c r="AU39" i="129" s="1"/>
  <c r="AO39" i="129"/>
  <c r="AK39" i="129" s="1"/>
  <c r="AM39" i="129"/>
  <c r="AB39" i="129"/>
  <c r="AA39" i="129"/>
  <c r="O39" i="129"/>
  <c r="BM38" i="129"/>
  <c r="BL38" i="129"/>
  <c r="BJ39" i="129" s="1"/>
  <c r="BH38" i="129"/>
  <c r="BD38" i="129"/>
  <c r="BF38" i="129" s="1"/>
  <c r="AZ38" i="129"/>
  <c r="BB38" i="129" s="1"/>
  <c r="AU38" i="129"/>
  <c r="AS38" i="129"/>
  <c r="AO38" i="129"/>
  <c r="AM38" i="129"/>
  <c r="AK38" i="129"/>
  <c r="AJ38" i="129"/>
  <c r="AH38" i="129"/>
  <c r="AB38" i="129"/>
  <c r="AA38" i="129"/>
  <c r="O38" i="129"/>
  <c r="AI37" i="129"/>
  <c r="Q37" i="129"/>
  <c r="N37" i="129"/>
  <c r="M37" i="129"/>
  <c r="L37" i="129"/>
  <c r="K37" i="129"/>
  <c r="I37" i="129"/>
  <c r="H37" i="129"/>
  <c r="G37" i="129"/>
  <c r="F37" i="129"/>
  <c r="E37" i="129"/>
  <c r="BM36" i="129"/>
  <c r="BN36" i="129" s="1"/>
  <c r="BL36" i="129"/>
  <c r="BH36" i="129"/>
  <c r="BD36" i="129"/>
  <c r="BF36" i="129" s="1"/>
  <c r="AZ36" i="129"/>
  <c r="AJ36" i="129" s="1"/>
  <c r="AS36" i="129"/>
  <c r="AU36" i="129" s="1"/>
  <c r="AO36" i="129"/>
  <c r="AK36" i="129" s="1"/>
  <c r="AM36" i="129"/>
  <c r="AB36" i="129"/>
  <c r="AA36" i="129"/>
  <c r="O36" i="129"/>
  <c r="BM35" i="129"/>
  <c r="BN35" i="129" s="1"/>
  <c r="BL35" i="129"/>
  <c r="BH35" i="129"/>
  <c r="BD35" i="129"/>
  <c r="BF35" i="129" s="1"/>
  <c r="AZ35" i="129"/>
  <c r="AJ35" i="129" s="1"/>
  <c r="AS35" i="129"/>
  <c r="AU35" i="129" s="1"/>
  <c r="AO35" i="129"/>
  <c r="AK35" i="129" s="1"/>
  <c r="AM35" i="129"/>
  <c r="AB35" i="129"/>
  <c r="AA35" i="129"/>
  <c r="O35" i="129"/>
  <c r="BM34" i="129"/>
  <c r="BL34" i="129"/>
  <c r="BH34" i="129"/>
  <c r="BD34" i="129"/>
  <c r="BF34" i="129" s="1"/>
  <c r="AZ34" i="129"/>
  <c r="AS34" i="129"/>
  <c r="AU34" i="129" s="1"/>
  <c r="AO34" i="129"/>
  <c r="AK34" i="129" s="1"/>
  <c r="AM34" i="129"/>
  <c r="AB34" i="129"/>
  <c r="AA34" i="129"/>
  <c r="O34" i="129"/>
  <c r="BM33" i="129"/>
  <c r="BL33" i="129"/>
  <c r="BH33" i="129"/>
  <c r="BD33" i="129"/>
  <c r="BF33" i="129" s="1"/>
  <c r="AZ33" i="129"/>
  <c r="AS33" i="129"/>
  <c r="AU33" i="129" s="1"/>
  <c r="AO33" i="129"/>
  <c r="AK33" i="129" s="1"/>
  <c r="AM33" i="129"/>
  <c r="AB33" i="129"/>
  <c r="AA33" i="129"/>
  <c r="O33" i="129"/>
  <c r="BM32" i="129"/>
  <c r="BN32" i="129" s="1"/>
  <c r="BL32" i="129"/>
  <c r="BH32" i="129"/>
  <c r="BD32" i="129"/>
  <c r="BF32" i="129" s="1"/>
  <c r="AZ32" i="129"/>
  <c r="AJ32" i="129" s="1"/>
  <c r="AS32" i="129"/>
  <c r="AU32" i="129" s="1"/>
  <c r="AO32" i="129"/>
  <c r="AK32" i="129" s="1"/>
  <c r="AM32" i="129"/>
  <c r="AB32" i="129"/>
  <c r="AA32" i="129"/>
  <c r="O32" i="129"/>
  <c r="BM31" i="129"/>
  <c r="BL31" i="129"/>
  <c r="BH31" i="129"/>
  <c r="BD31" i="129"/>
  <c r="BF31" i="129" s="1"/>
  <c r="AZ31" i="129"/>
  <c r="AS31" i="129"/>
  <c r="AU31" i="129" s="1"/>
  <c r="AO31" i="129"/>
  <c r="AK31" i="129" s="1"/>
  <c r="AM31" i="129"/>
  <c r="AB31" i="129"/>
  <c r="AA31" i="129"/>
  <c r="O31" i="129"/>
  <c r="BM30" i="129"/>
  <c r="BO30" i="129" s="1"/>
  <c r="BL30" i="129"/>
  <c r="BJ31" i="129" s="1"/>
  <c r="BH30" i="129"/>
  <c r="AZ30" i="129"/>
  <c r="AS30" i="129"/>
  <c r="AU30" i="129" s="1"/>
  <c r="AO30" i="129"/>
  <c r="AM30" i="129"/>
  <c r="AH30" i="129"/>
  <c r="AB30" i="129"/>
  <c r="AA30" i="129"/>
  <c r="O30" i="129"/>
  <c r="AI29" i="129"/>
  <c r="Q29" i="129"/>
  <c r="N29" i="129"/>
  <c r="M29" i="129"/>
  <c r="L29" i="129"/>
  <c r="K29" i="129"/>
  <c r="I29" i="129"/>
  <c r="H29" i="129"/>
  <c r="G29" i="129"/>
  <c r="F29" i="129"/>
  <c r="E29" i="129"/>
  <c r="BM28" i="129"/>
  <c r="BN28" i="129" s="1"/>
  <c r="BL28" i="129"/>
  <c r="BH28" i="129"/>
  <c r="BD28" i="129"/>
  <c r="BF28" i="129" s="1"/>
  <c r="AZ28" i="129"/>
  <c r="AJ28" i="129" s="1"/>
  <c r="AS28" i="129"/>
  <c r="AU28" i="129" s="1"/>
  <c r="AO28" i="129"/>
  <c r="AM28" i="129"/>
  <c r="AK28" i="129"/>
  <c r="AB28" i="129"/>
  <c r="AA28" i="129"/>
  <c r="O28" i="129"/>
  <c r="BM27" i="129"/>
  <c r="BN27" i="129" s="1"/>
  <c r="BL27" i="129"/>
  <c r="BH27" i="129"/>
  <c r="AZ27" i="129"/>
  <c r="AS27" i="129"/>
  <c r="AU27" i="129" s="1"/>
  <c r="AO27" i="129"/>
  <c r="AM27" i="129"/>
  <c r="AB27" i="129"/>
  <c r="AA27" i="129"/>
  <c r="O27" i="129"/>
  <c r="BM26" i="129"/>
  <c r="BN26" i="129" s="1"/>
  <c r="BL26" i="129"/>
  <c r="BH26" i="129"/>
  <c r="BD26" i="129"/>
  <c r="BF26" i="129" s="1"/>
  <c r="AZ26" i="129"/>
  <c r="BB26" i="129" s="1"/>
  <c r="AS26" i="129"/>
  <c r="AU26" i="129" s="1"/>
  <c r="AO26" i="129"/>
  <c r="AM26" i="129"/>
  <c r="AJ26" i="129"/>
  <c r="AB26" i="129"/>
  <c r="AA26" i="129"/>
  <c r="O26" i="129"/>
  <c r="BM25" i="129"/>
  <c r="BL25" i="129"/>
  <c r="BH25" i="129"/>
  <c r="BD25" i="129"/>
  <c r="BF25" i="129" s="1"/>
  <c r="AZ25" i="129"/>
  <c r="BB25" i="129" s="1"/>
  <c r="AS25" i="129"/>
  <c r="AU25" i="129" s="1"/>
  <c r="AO25" i="129"/>
  <c r="AK25" i="129" s="1"/>
  <c r="AM25" i="129"/>
  <c r="AB25" i="129"/>
  <c r="AA25" i="129"/>
  <c r="O25" i="129"/>
  <c r="BM24" i="129"/>
  <c r="BL24" i="129"/>
  <c r="BH24" i="129"/>
  <c r="BD24" i="129"/>
  <c r="BF24" i="129" s="1"/>
  <c r="AZ24" i="129"/>
  <c r="AS24" i="129"/>
  <c r="AU24" i="129" s="1"/>
  <c r="AO24" i="129"/>
  <c r="AK24" i="129" s="1"/>
  <c r="AM24" i="129"/>
  <c r="AB24" i="129"/>
  <c r="AA24" i="129"/>
  <c r="O24" i="129"/>
  <c r="BM23" i="129"/>
  <c r="BL23" i="129"/>
  <c r="BH23" i="129"/>
  <c r="BD23" i="129"/>
  <c r="BF23" i="129" s="1"/>
  <c r="AZ23" i="129"/>
  <c r="AJ23" i="129" s="1"/>
  <c r="AS23" i="129"/>
  <c r="AU23" i="129" s="1"/>
  <c r="AO23" i="129"/>
  <c r="AK23" i="129" s="1"/>
  <c r="AM23" i="129"/>
  <c r="AB23" i="129"/>
  <c r="AA23" i="129"/>
  <c r="O23" i="129"/>
  <c r="BM22" i="129"/>
  <c r="BL22" i="129"/>
  <c r="BJ23" i="129" s="1"/>
  <c r="BH22" i="129"/>
  <c r="BD22" i="129"/>
  <c r="BF22" i="129" s="1"/>
  <c r="AZ22" i="129"/>
  <c r="BB22" i="129" s="1"/>
  <c r="AS22" i="129"/>
  <c r="AU22" i="129" s="1"/>
  <c r="AO22" i="129"/>
  <c r="AM22" i="129"/>
  <c r="AK22" i="129"/>
  <c r="AJ22" i="129"/>
  <c r="AH22" i="129"/>
  <c r="AR22" i="129" s="1"/>
  <c r="AB22" i="129"/>
  <c r="AA22" i="129"/>
  <c r="O22" i="129"/>
  <c r="AI21" i="129"/>
  <c r="Q21" i="129"/>
  <c r="Q46" i="129" s="1"/>
  <c r="N21" i="129"/>
  <c r="M21" i="129"/>
  <c r="L21" i="129"/>
  <c r="K21" i="129"/>
  <c r="I21" i="129"/>
  <c r="H21" i="129"/>
  <c r="G21" i="129"/>
  <c r="F21" i="129"/>
  <c r="E21" i="129"/>
  <c r="BM20" i="129"/>
  <c r="BL20" i="129"/>
  <c r="BH20" i="129"/>
  <c r="BD20" i="129"/>
  <c r="BF20" i="129" s="1"/>
  <c r="AZ20" i="129"/>
  <c r="BB20" i="129" s="1"/>
  <c r="AS20" i="129"/>
  <c r="AU20" i="129" s="1"/>
  <c r="AO20" i="129"/>
  <c r="AM20" i="129"/>
  <c r="AK20" i="129"/>
  <c r="AJ20" i="129"/>
  <c r="AB20" i="129"/>
  <c r="AA20" i="129"/>
  <c r="O20" i="129"/>
  <c r="BM19" i="129"/>
  <c r="BN19" i="129" s="1"/>
  <c r="BL19" i="129"/>
  <c r="BH19" i="129"/>
  <c r="BD19" i="129"/>
  <c r="BF19" i="129" s="1"/>
  <c r="AZ19" i="129"/>
  <c r="AS19" i="129"/>
  <c r="AU19" i="129" s="1"/>
  <c r="AO19" i="129"/>
  <c r="AK19" i="129" s="1"/>
  <c r="AM19" i="129"/>
  <c r="AB19" i="129"/>
  <c r="AA19" i="129"/>
  <c r="O19" i="129"/>
  <c r="BM18" i="129"/>
  <c r="BN18" i="129" s="1"/>
  <c r="BL18" i="129"/>
  <c r="BH18" i="129"/>
  <c r="BD18" i="129"/>
  <c r="BF18" i="129" s="1"/>
  <c r="AZ18" i="129"/>
  <c r="BB18" i="129" s="1"/>
  <c r="AS18" i="129"/>
  <c r="AU18" i="129" s="1"/>
  <c r="AO18" i="129"/>
  <c r="AK18" i="129" s="1"/>
  <c r="AM18" i="129"/>
  <c r="AB18" i="129"/>
  <c r="AA18" i="129"/>
  <c r="O18" i="129"/>
  <c r="BM17" i="129"/>
  <c r="BL17" i="129"/>
  <c r="BH17" i="129"/>
  <c r="BD17" i="129"/>
  <c r="BF17" i="129" s="1"/>
  <c r="AZ17" i="129"/>
  <c r="BB17" i="129" s="1"/>
  <c r="AS17" i="129"/>
  <c r="AU17" i="129" s="1"/>
  <c r="AO17" i="129"/>
  <c r="AK17" i="129" s="1"/>
  <c r="AM17" i="129"/>
  <c r="AB17" i="129"/>
  <c r="AA17" i="129"/>
  <c r="O17" i="129"/>
  <c r="BM16" i="129"/>
  <c r="BN16" i="129" s="1"/>
  <c r="BL16" i="129"/>
  <c r="BH16" i="129"/>
  <c r="BD16" i="129"/>
  <c r="BF16" i="129" s="1"/>
  <c r="AZ16" i="129"/>
  <c r="AJ16" i="129" s="1"/>
  <c r="AS16" i="129"/>
  <c r="AU16" i="129" s="1"/>
  <c r="AO16" i="129"/>
  <c r="AK16" i="129" s="1"/>
  <c r="AM16" i="129"/>
  <c r="AB16" i="129"/>
  <c r="AA16" i="129"/>
  <c r="O16" i="129"/>
  <c r="BM15" i="129"/>
  <c r="BN15" i="129" s="1"/>
  <c r="BL15" i="129"/>
  <c r="BH15" i="129"/>
  <c r="BD15" i="129"/>
  <c r="BF15" i="129" s="1"/>
  <c r="AZ15" i="129"/>
  <c r="AJ15" i="129" s="1"/>
  <c r="AS15" i="129"/>
  <c r="AU15" i="129" s="1"/>
  <c r="AO15" i="129"/>
  <c r="AK15" i="129" s="1"/>
  <c r="AM15" i="129"/>
  <c r="AB15" i="129"/>
  <c r="AA15" i="129"/>
  <c r="O15" i="129"/>
  <c r="BM14" i="129"/>
  <c r="BL14" i="129"/>
  <c r="BH14" i="129"/>
  <c r="BJ14" i="129" s="1"/>
  <c r="AZ14" i="129"/>
  <c r="BB14" i="129" s="1"/>
  <c r="AS14" i="129"/>
  <c r="AU14" i="129" s="1"/>
  <c r="AO14" i="129"/>
  <c r="AM14" i="129"/>
  <c r="AH14" i="129"/>
  <c r="AR14" i="129" s="1"/>
  <c r="AB14" i="129"/>
  <c r="AA14" i="129"/>
  <c r="O14" i="129"/>
  <c r="AM13" i="129"/>
  <c r="AJ13" i="129" s="1"/>
  <c r="W11" i="129"/>
  <c r="AF29" i="129" s="1"/>
  <c r="E11" i="129"/>
  <c r="C8" i="129"/>
  <c r="C7" i="129"/>
  <c r="C6" i="129"/>
  <c r="O7" i="128"/>
  <c r="X46" i="128"/>
  <c r="AI45" i="128"/>
  <c r="Q45" i="128"/>
  <c r="N45" i="128"/>
  <c r="M45" i="128"/>
  <c r="L45" i="128"/>
  <c r="K45" i="128"/>
  <c r="I45" i="128"/>
  <c r="H45" i="128"/>
  <c r="G45" i="128"/>
  <c r="F45" i="128"/>
  <c r="E45" i="128"/>
  <c r="S45" i="128" s="1"/>
  <c r="BM44" i="128"/>
  <c r="BL44" i="128"/>
  <c r="BH44" i="128"/>
  <c r="BD44" i="128"/>
  <c r="BF44" i="128" s="1"/>
  <c r="AZ44" i="128"/>
  <c r="AU44" i="128"/>
  <c r="AS44" i="128"/>
  <c r="AO44" i="128"/>
  <c r="AM44" i="128"/>
  <c r="AK44" i="128"/>
  <c r="AB44" i="128"/>
  <c r="AA44" i="128"/>
  <c r="O44" i="128"/>
  <c r="BO43" i="128"/>
  <c r="BN43" i="128"/>
  <c r="BM43" i="128"/>
  <c r="BP43" i="128" s="1"/>
  <c r="BL43" i="128"/>
  <c r="BH43" i="128"/>
  <c r="BK43" i="128" s="1"/>
  <c r="V43" i="128" s="1"/>
  <c r="BF43" i="128"/>
  <c r="BD43" i="128"/>
  <c r="BB43" i="128"/>
  <c r="AZ43" i="128"/>
  <c r="AJ43" i="128" s="1"/>
  <c r="AS43" i="128"/>
  <c r="AU43" i="128" s="1"/>
  <c r="AO43" i="128"/>
  <c r="AK43" i="128" s="1"/>
  <c r="AM43" i="128"/>
  <c r="AB43" i="128"/>
  <c r="AA43" i="128"/>
  <c r="O43" i="128"/>
  <c r="BM42" i="128"/>
  <c r="BL42" i="128"/>
  <c r="BH42" i="128"/>
  <c r="BF42" i="128"/>
  <c r="BD42" i="128"/>
  <c r="BB42" i="128"/>
  <c r="AZ42" i="128"/>
  <c r="AJ42" i="128" s="1"/>
  <c r="AS42" i="128"/>
  <c r="AU42" i="128" s="1"/>
  <c r="AO42" i="128"/>
  <c r="AK42" i="128" s="1"/>
  <c r="AM42" i="128"/>
  <c r="AB42" i="128"/>
  <c r="AA42" i="128"/>
  <c r="O42" i="128"/>
  <c r="BM41" i="128"/>
  <c r="BP41" i="128" s="1"/>
  <c r="BL41" i="128"/>
  <c r="BH41" i="128"/>
  <c r="BD41" i="128"/>
  <c r="BF41" i="128" s="1"/>
  <c r="AZ41" i="128"/>
  <c r="BB41" i="128" s="1"/>
  <c r="AS41" i="128"/>
  <c r="AU41" i="128" s="1"/>
  <c r="AO41" i="128"/>
  <c r="AM41" i="128"/>
  <c r="AK41" i="128"/>
  <c r="AJ41" i="128"/>
  <c r="AB41" i="128"/>
  <c r="AA41" i="128"/>
  <c r="O41" i="128"/>
  <c r="BN40" i="128"/>
  <c r="BM40" i="128"/>
  <c r="BL40" i="128"/>
  <c r="BH40" i="128"/>
  <c r="BK40" i="128" s="1"/>
  <c r="V40" i="128" s="1"/>
  <c r="BD40" i="128"/>
  <c r="BF40" i="128" s="1"/>
  <c r="AZ40" i="128"/>
  <c r="AU40" i="128"/>
  <c r="AS40" i="128"/>
  <c r="AO40" i="128"/>
  <c r="AK40" i="128" s="1"/>
  <c r="AM40" i="128"/>
  <c r="AB40" i="128"/>
  <c r="AA40" i="128"/>
  <c r="O40" i="128"/>
  <c r="BN39" i="128"/>
  <c r="BM39" i="128"/>
  <c r="BL39" i="128"/>
  <c r="BK39" i="128" s="1"/>
  <c r="V39" i="128" s="1"/>
  <c r="BH39" i="128"/>
  <c r="BE39" i="128"/>
  <c r="BD39" i="128"/>
  <c r="BF39" i="128" s="1"/>
  <c r="AZ39" i="128"/>
  <c r="AS39" i="128"/>
  <c r="AU39" i="128" s="1"/>
  <c r="AO39" i="128"/>
  <c r="AK39" i="128" s="1"/>
  <c r="AM39" i="128"/>
  <c r="AH39" i="128"/>
  <c r="AI39" i="128" s="1"/>
  <c r="AB39" i="128"/>
  <c r="AA39" i="128"/>
  <c r="O39" i="128"/>
  <c r="BM38" i="128"/>
  <c r="BL38" i="128"/>
  <c r="BH38" i="128"/>
  <c r="BJ38" i="128" s="1"/>
  <c r="BD38" i="128"/>
  <c r="BF38" i="128" s="1"/>
  <c r="AZ38" i="128"/>
  <c r="BB38" i="128" s="1"/>
  <c r="AU38" i="128"/>
  <c r="AS38" i="128"/>
  <c r="AO38" i="128"/>
  <c r="AM38" i="128"/>
  <c r="AK38" i="128"/>
  <c r="AJ38" i="128"/>
  <c r="AH38" i="128"/>
  <c r="AR38" i="128" s="1"/>
  <c r="AB38" i="128"/>
  <c r="AA38" i="128"/>
  <c r="O38" i="128"/>
  <c r="O45" i="128" s="1"/>
  <c r="AI37" i="128"/>
  <c r="Q37" i="128"/>
  <c r="N37" i="128"/>
  <c r="M37" i="128"/>
  <c r="L37" i="128"/>
  <c r="K37" i="128"/>
  <c r="I37" i="128"/>
  <c r="H37" i="128"/>
  <c r="G37" i="128"/>
  <c r="F37" i="128"/>
  <c r="E37" i="128"/>
  <c r="BM36" i="128"/>
  <c r="BN36" i="128" s="1"/>
  <c r="BL36" i="128"/>
  <c r="BK36" i="128" s="1"/>
  <c r="V36" i="128" s="1"/>
  <c r="BH36" i="128"/>
  <c r="BD36" i="128"/>
  <c r="BF36" i="128" s="1"/>
  <c r="BB36" i="128"/>
  <c r="AZ36" i="128"/>
  <c r="AJ36" i="128" s="1"/>
  <c r="AS36" i="128"/>
  <c r="AU36" i="128" s="1"/>
  <c r="AO36" i="128"/>
  <c r="AK36" i="128" s="1"/>
  <c r="AM36" i="128"/>
  <c r="AB36" i="128"/>
  <c r="AA36" i="128"/>
  <c r="O36" i="128"/>
  <c r="BM35" i="128"/>
  <c r="BN35" i="128" s="1"/>
  <c r="BL35" i="128"/>
  <c r="BH35" i="128"/>
  <c r="BD35" i="128"/>
  <c r="BF35" i="128" s="1"/>
  <c r="AZ35" i="128"/>
  <c r="AS35" i="128"/>
  <c r="AU35" i="128" s="1"/>
  <c r="AO35" i="128"/>
  <c r="AK35" i="128" s="1"/>
  <c r="AM35" i="128"/>
  <c r="AB35" i="128"/>
  <c r="AA35" i="128"/>
  <c r="O35" i="128"/>
  <c r="BM34" i="128"/>
  <c r="BL34" i="128"/>
  <c r="BH34" i="128"/>
  <c r="BD34" i="128"/>
  <c r="BF34" i="128" s="1"/>
  <c r="AZ34" i="128"/>
  <c r="AS34" i="128"/>
  <c r="AU34" i="128" s="1"/>
  <c r="AO34" i="128"/>
  <c r="AK34" i="128" s="1"/>
  <c r="AM34" i="128"/>
  <c r="AB34" i="128"/>
  <c r="AA34" i="128"/>
  <c r="O34" i="128"/>
  <c r="BM33" i="128"/>
  <c r="BL33" i="128"/>
  <c r="BH33" i="128"/>
  <c r="BD33" i="128"/>
  <c r="BF33" i="128" s="1"/>
  <c r="AZ33" i="128"/>
  <c r="AS33" i="128"/>
  <c r="AU33" i="128" s="1"/>
  <c r="AO33" i="128"/>
  <c r="AK33" i="128" s="1"/>
  <c r="AM33" i="128"/>
  <c r="AB33" i="128"/>
  <c r="AA33" i="128"/>
  <c r="O33" i="128"/>
  <c r="BM32" i="128"/>
  <c r="BL32" i="128"/>
  <c r="BH32" i="128"/>
  <c r="BD32" i="128"/>
  <c r="BF32" i="128" s="1"/>
  <c r="AZ32" i="128"/>
  <c r="BB32" i="128" s="1"/>
  <c r="AS32" i="128"/>
  <c r="AU32" i="128" s="1"/>
  <c r="AO32" i="128"/>
  <c r="AK32" i="128" s="1"/>
  <c r="AM32" i="128"/>
  <c r="AB32" i="128"/>
  <c r="AA32" i="128"/>
  <c r="O32" i="128"/>
  <c r="BM31" i="128"/>
  <c r="BL31" i="128"/>
  <c r="BH31" i="128"/>
  <c r="BD31" i="128"/>
  <c r="BF31" i="128" s="1"/>
  <c r="AZ31" i="128"/>
  <c r="AS31" i="128"/>
  <c r="AU31" i="128" s="1"/>
  <c r="AO31" i="128"/>
  <c r="AM31" i="128"/>
  <c r="AK31" i="128"/>
  <c r="AB31" i="128"/>
  <c r="AA31" i="128"/>
  <c r="O31" i="128"/>
  <c r="BM30" i="128"/>
  <c r="BO30" i="128" s="1"/>
  <c r="BL30" i="128"/>
  <c r="BH30" i="128"/>
  <c r="AZ30" i="128"/>
  <c r="AS30" i="128"/>
  <c r="AU30" i="128" s="1"/>
  <c r="AO30" i="128"/>
  <c r="AM30" i="128"/>
  <c r="AH30" i="128"/>
  <c r="AR30" i="128" s="1"/>
  <c r="AB30" i="128"/>
  <c r="AA30" i="128"/>
  <c r="O30" i="128"/>
  <c r="AI29" i="128"/>
  <c r="Q29" i="128"/>
  <c r="N29" i="128"/>
  <c r="M29" i="128"/>
  <c r="L29" i="128"/>
  <c r="K29" i="128"/>
  <c r="I29" i="128"/>
  <c r="H29" i="128"/>
  <c r="G29" i="128"/>
  <c r="F29" i="128"/>
  <c r="E29" i="128"/>
  <c r="BM28" i="128"/>
  <c r="BL28" i="128"/>
  <c r="BH28" i="128"/>
  <c r="BD28" i="128"/>
  <c r="BF28" i="128" s="1"/>
  <c r="AZ28" i="128"/>
  <c r="BB28" i="128" s="1"/>
  <c r="AS28" i="128"/>
  <c r="AU28" i="128" s="1"/>
  <c r="AO28" i="128"/>
  <c r="AK28" i="128" s="1"/>
  <c r="AM28" i="128"/>
  <c r="AJ28" i="128"/>
  <c r="AB28" i="128"/>
  <c r="AA28" i="128"/>
  <c r="O28" i="128"/>
  <c r="BM27" i="128"/>
  <c r="BL27" i="128"/>
  <c r="BH27" i="128"/>
  <c r="BD27" i="128"/>
  <c r="BF27" i="128" s="1"/>
  <c r="AZ27" i="128"/>
  <c r="BB27" i="128" s="1"/>
  <c r="AS27" i="128"/>
  <c r="AU27" i="128" s="1"/>
  <c r="AO27" i="128"/>
  <c r="AM27" i="128"/>
  <c r="AK27" i="128"/>
  <c r="AB27" i="128"/>
  <c r="AA27" i="128"/>
  <c r="O27" i="128"/>
  <c r="BM26" i="128"/>
  <c r="BL26" i="128"/>
  <c r="BH26" i="128"/>
  <c r="BD26" i="128"/>
  <c r="BF26" i="128" s="1"/>
  <c r="AZ26" i="128"/>
  <c r="AS26" i="128"/>
  <c r="AU26" i="128" s="1"/>
  <c r="AO26" i="128"/>
  <c r="AM26" i="128"/>
  <c r="AK26" i="128"/>
  <c r="AB26" i="128"/>
  <c r="AA26" i="128"/>
  <c r="O26" i="128"/>
  <c r="BM25" i="128"/>
  <c r="BN25" i="128" s="1"/>
  <c r="BL25" i="128"/>
  <c r="BH25" i="128"/>
  <c r="BD25" i="128"/>
  <c r="BF25" i="128" s="1"/>
  <c r="BB25" i="128"/>
  <c r="AZ25" i="128"/>
  <c r="AJ25" i="128" s="1"/>
  <c r="AS25" i="128"/>
  <c r="AU25" i="128" s="1"/>
  <c r="AO25" i="128"/>
  <c r="AK25" i="128" s="1"/>
  <c r="AM25" i="128"/>
  <c r="AB25" i="128"/>
  <c r="AA25" i="128"/>
  <c r="O25" i="128"/>
  <c r="BM24" i="128"/>
  <c r="BN24" i="128" s="1"/>
  <c r="BL24" i="128"/>
  <c r="BH24" i="128"/>
  <c r="BD24" i="128"/>
  <c r="BF24" i="128" s="1"/>
  <c r="AZ24" i="128"/>
  <c r="AJ24" i="128" s="1"/>
  <c r="AS24" i="128"/>
  <c r="AU24" i="128" s="1"/>
  <c r="AO24" i="128"/>
  <c r="AK24" i="128" s="1"/>
  <c r="AM24" i="128"/>
  <c r="AB24" i="128"/>
  <c r="AA24" i="128"/>
  <c r="O24" i="128"/>
  <c r="BM23" i="128"/>
  <c r="BL23" i="128"/>
  <c r="BH23" i="128"/>
  <c r="BD23" i="128"/>
  <c r="BF23" i="128" s="1"/>
  <c r="AZ23" i="128"/>
  <c r="BB23" i="128" s="1"/>
  <c r="AS23" i="128"/>
  <c r="AU23" i="128" s="1"/>
  <c r="AO23" i="128"/>
  <c r="AK23" i="128" s="1"/>
  <c r="AM23" i="128"/>
  <c r="AB23" i="128"/>
  <c r="AA23" i="128"/>
  <c r="O23" i="128"/>
  <c r="BM22" i="128"/>
  <c r="BN22" i="128" s="1"/>
  <c r="BL22" i="128"/>
  <c r="BH22" i="128"/>
  <c r="BD22" i="128"/>
  <c r="BF22" i="128" s="1"/>
  <c r="AZ22" i="128"/>
  <c r="BB22" i="128" s="1"/>
  <c r="AS22" i="128"/>
  <c r="AU22" i="128" s="1"/>
  <c r="AO22" i="128"/>
  <c r="AM22" i="128"/>
  <c r="AK22" i="128"/>
  <c r="AJ22" i="128"/>
  <c r="AH22" i="128"/>
  <c r="AR22" i="128" s="1"/>
  <c r="AB22" i="128"/>
  <c r="AA22" i="128"/>
  <c r="O22" i="128"/>
  <c r="AI21" i="128"/>
  <c r="Q21" i="128"/>
  <c r="N21" i="128"/>
  <c r="M21" i="128"/>
  <c r="L21" i="128"/>
  <c r="K21" i="128"/>
  <c r="I21" i="128"/>
  <c r="H21" i="128"/>
  <c r="G21" i="128"/>
  <c r="F21" i="128"/>
  <c r="E21" i="128"/>
  <c r="BM20" i="128"/>
  <c r="BN20" i="128" s="1"/>
  <c r="BL20" i="128"/>
  <c r="BH20" i="128"/>
  <c r="BD20" i="128"/>
  <c r="BF20" i="128" s="1"/>
  <c r="AZ20" i="128"/>
  <c r="AS20" i="128"/>
  <c r="AU20" i="128" s="1"/>
  <c r="AO20" i="128"/>
  <c r="AK20" i="128" s="1"/>
  <c r="AM20" i="128"/>
  <c r="AB20" i="128"/>
  <c r="AA20" i="128"/>
  <c r="O20" i="128"/>
  <c r="BM19" i="128"/>
  <c r="BL19" i="128"/>
  <c r="BH19" i="128"/>
  <c r="BD19" i="128"/>
  <c r="BF19" i="128" s="1"/>
  <c r="AZ19" i="128"/>
  <c r="AJ19" i="128" s="1"/>
  <c r="AS19" i="128"/>
  <c r="AU19" i="128" s="1"/>
  <c r="AO19" i="128"/>
  <c r="AK19" i="128" s="1"/>
  <c r="AM19" i="128"/>
  <c r="AB19" i="128"/>
  <c r="AA19" i="128"/>
  <c r="O19" i="128"/>
  <c r="BM18" i="128"/>
  <c r="BN18" i="128" s="1"/>
  <c r="BL18" i="128"/>
  <c r="BH18" i="128"/>
  <c r="BD18" i="128"/>
  <c r="BF18" i="128" s="1"/>
  <c r="AZ18" i="128"/>
  <c r="AJ18" i="128" s="1"/>
  <c r="AS18" i="128"/>
  <c r="AU18" i="128" s="1"/>
  <c r="AO18" i="128"/>
  <c r="AK18" i="128" s="1"/>
  <c r="AM18" i="128"/>
  <c r="AB18" i="128"/>
  <c r="AA18" i="128"/>
  <c r="O18" i="128"/>
  <c r="BM17" i="128"/>
  <c r="BN17" i="128" s="1"/>
  <c r="BL17" i="128"/>
  <c r="BH17" i="128"/>
  <c r="BD17" i="128"/>
  <c r="BF17" i="128" s="1"/>
  <c r="AZ17" i="128"/>
  <c r="BB17" i="128" s="1"/>
  <c r="AS17" i="128"/>
  <c r="AU17" i="128" s="1"/>
  <c r="AO17" i="128"/>
  <c r="AK17" i="128" s="1"/>
  <c r="AM17" i="128"/>
  <c r="AB17" i="128"/>
  <c r="AA17" i="128"/>
  <c r="O17" i="128"/>
  <c r="BM16" i="128"/>
  <c r="BL16" i="128"/>
  <c r="BH16" i="128"/>
  <c r="BD16" i="128"/>
  <c r="BF16" i="128" s="1"/>
  <c r="AZ16" i="128"/>
  <c r="BB16" i="128" s="1"/>
  <c r="AS16" i="128"/>
  <c r="AU16" i="128" s="1"/>
  <c r="AO16" i="128"/>
  <c r="AK16" i="128" s="1"/>
  <c r="AM16" i="128"/>
  <c r="AB16" i="128"/>
  <c r="AA16" i="128"/>
  <c r="O16" i="128"/>
  <c r="BM15" i="128"/>
  <c r="BL15" i="128"/>
  <c r="BH15" i="128"/>
  <c r="BD15" i="128"/>
  <c r="BF15" i="128" s="1"/>
  <c r="AZ15" i="128"/>
  <c r="AJ15" i="128" s="1"/>
  <c r="AS15" i="128"/>
  <c r="AU15" i="128" s="1"/>
  <c r="AO15" i="128"/>
  <c r="AK15" i="128" s="1"/>
  <c r="AM15" i="128"/>
  <c r="AB15" i="128"/>
  <c r="AA15" i="128"/>
  <c r="O15" i="128"/>
  <c r="BM14" i="128"/>
  <c r="BO14" i="128" s="1"/>
  <c r="BL14" i="128"/>
  <c r="BH14" i="128"/>
  <c r="AZ14" i="128"/>
  <c r="BB14" i="128" s="1"/>
  <c r="AS14" i="128"/>
  <c r="AU14" i="128" s="1"/>
  <c r="AO14" i="128"/>
  <c r="AM14" i="128"/>
  <c r="AH14" i="128"/>
  <c r="AT15" i="128" s="1"/>
  <c r="AB14" i="128"/>
  <c r="AA14" i="128"/>
  <c r="O14" i="128"/>
  <c r="AM13" i="128"/>
  <c r="AJ13" i="128" s="1"/>
  <c r="W11" i="128"/>
  <c r="E11" i="128"/>
  <c r="C8" i="128"/>
  <c r="C7" i="128"/>
  <c r="C6" i="128"/>
  <c r="O7" i="127"/>
  <c r="X46" i="127"/>
  <c r="AI45" i="127"/>
  <c r="S45" i="127"/>
  <c r="Q45" i="127"/>
  <c r="N45" i="127"/>
  <c r="M45" i="127"/>
  <c r="L45" i="127"/>
  <c r="K45" i="127"/>
  <c r="I45" i="127"/>
  <c r="H45" i="127"/>
  <c r="G45" i="127"/>
  <c r="F45" i="127"/>
  <c r="E45" i="127"/>
  <c r="BN44" i="127"/>
  <c r="BM44" i="127"/>
  <c r="BL44" i="127"/>
  <c r="BJ44" i="127"/>
  <c r="U44" i="127" s="1"/>
  <c r="BH44" i="127"/>
  <c r="BK44" i="127" s="1"/>
  <c r="V44" i="127" s="1"/>
  <c r="BD44" i="127"/>
  <c r="BF44" i="127" s="1"/>
  <c r="AZ44" i="127"/>
  <c r="AJ44" i="127" s="1"/>
  <c r="AS44" i="127"/>
  <c r="AU44" i="127" s="1"/>
  <c r="AO44" i="127"/>
  <c r="AK44" i="127" s="1"/>
  <c r="AM44" i="127"/>
  <c r="AB44" i="127"/>
  <c r="AA44" i="127"/>
  <c r="O44" i="127"/>
  <c r="BN43" i="127"/>
  <c r="BM43" i="127"/>
  <c r="BL43" i="127"/>
  <c r="BK43" i="127"/>
  <c r="V43" i="127" s="1"/>
  <c r="BH43" i="127"/>
  <c r="BD43" i="127"/>
  <c r="BF43" i="127" s="1"/>
  <c r="AZ43" i="127"/>
  <c r="AS43" i="127"/>
  <c r="AU43" i="127" s="1"/>
  <c r="AO43" i="127"/>
  <c r="AK43" i="127" s="1"/>
  <c r="AM43" i="127"/>
  <c r="AB43" i="127"/>
  <c r="AA43" i="127"/>
  <c r="O43" i="127"/>
  <c r="BN42" i="127"/>
  <c r="BM42" i="127"/>
  <c r="BL42" i="127"/>
  <c r="BJ43" i="127" s="1"/>
  <c r="BH42" i="127"/>
  <c r="BD42" i="127"/>
  <c r="BF42" i="127" s="1"/>
  <c r="BB42" i="127"/>
  <c r="AZ42" i="127"/>
  <c r="AS42" i="127"/>
  <c r="AU42" i="127" s="1"/>
  <c r="AO42" i="127"/>
  <c r="AK42" i="127" s="1"/>
  <c r="AM42" i="127"/>
  <c r="AJ42" i="127"/>
  <c r="AB42" i="127"/>
  <c r="AA42" i="127"/>
  <c r="O42" i="127"/>
  <c r="BM41" i="127"/>
  <c r="BL41" i="127"/>
  <c r="BO42" i="127" s="1"/>
  <c r="BH41" i="127"/>
  <c r="BK41" i="127" s="1"/>
  <c r="V41" i="127" s="1"/>
  <c r="BD41" i="127"/>
  <c r="BF41" i="127" s="1"/>
  <c r="AZ41" i="127"/>
  <c r="AS41" i="127"/>
  <c r="AU41" i="127" s="1"/>
  <c r="AO41" i="127"/>
  <c r="AM41" i="127"/>
  <c r="AK41" i="127"/>
  <c r="AB41" i="127"/>
  <c r="AA41" i="127"/>
  <c r="O41" i="127"/>
  <c r="BN40" i="127"/>
  <c r="BM40" i="127"/>
  <c r="BP40" i="127" s="1"/>
  <c r="BL40" i="127"/>
  <c r="BH40" i="127"/>
  <c r="BD40" i="127"/>
  <c r="BF40" i="127" s="1"/>
  <c r="AZ40" i="127"/>
  <c r="AJ40" i="127" s="1"/>
  <c r="AU40" i="127"/>
  <c r="AS40" i="127"/>
  <c r="AO40" i="127"/>
  <c r="AM40" i="127"/>
  <c r="AK40" i="127"/>
  <c r="AB40" i="127"/>
  <c r="AA40" i="127"/>
  <c r="O40" i="127"/>
  <c r="BM39" i="127"/>
  <c r="BL39" i="127"/>
  <c r="BH39" i="127"/>
  <c r="BK39" i="127" s="1"/>
  <c r="V39" i="127" s="1"/>
  <c r="BD39" i="127"/>
  <c r="BF39" i="127" s="1"/>
  <c r="BB39" i="127"/>
  <c r="AZ39" i="127"/>
  <c r="AJ39" i="127" s="1"/>
  <c r="AS39" i="127"/>
  <c r="AU39" i="127" s="1"/>
  <c r="AO39" i="127"/>
  <c r="AK39" i="127" s="1"/>
  <c r="AM39" i="127"/>
  <c r="AB39" i="127"/>
  <c r="AA39" i="127"/>
  <c r="O39" i="127"/>
  <c r="BO38" i="127"/>
  <c r="BN38" i="127"/>
  <c r="BM38" i="127"/>
  <c r="BL38" i="127"/>
  <c r="BH38" i="127"/>
  <c r="BD38" i="127"/>
  <c r="BF38" i="127" s="1"/>
  <c r="BB38" i="127"/>
  <c r="AZ38" i="127"/>
  <c r="AS38" i="127"/>
  <c r="AU38" i="127" s="1"/>
  <c r="AO38" i="127"/>
  <c r="AM38" i="127"/>
  <c r="AK38" i="127"/>
  <c r="AJ38" i="127"/>
  <c r="AH38" i="127"/>
  <c r="AB38" i="127"/>
  <c r="AA38" i="127"/>
  <c r="O38" i="127"/>
  <c r="O45" i="127" s="1"/>
  <c r="AI37" i="127"/>
  <c r="Q37" i="127"/>
  <c r="N37" i="127"/>
  <c r="M37" i="127"/>
  <c r="L37" i="127"/>
  <c r="K37" i="127"/>
  <c r="I37" i="127"/>
  <c r="H37" i="127"/>
  <c r="G37" i="127"/>
  <c r="F37" i="127"/>
  <c r="E37" i="127"/>
  <c r="S37" i="127" s="1"/>
  <c r="BM36" i="127"/>
  <c r="BN36" i="127" s="1"/>
  <c r="BL36" i="127"/>
  <c r="BH36" i="127"/>
  <c r="BD36" i="127"/>
  <c r="BF36" i="127" s="1"/>
  <c r="BB36" i="127"/>
  <c r="AZ36" i="127"/>
  <c r="AJ36" i="127" s="1"/>
  <c r="AS36" i="127"/>
  <c r="AU36" i="127" s="1"/>
  <c r="AO36" i="127"/>
  <c r="AK36" i="127" s="1"/>
  <c r="AM36" i="127"/>
  <c r="AB36" i="127"/>
  <c r="AA36" i="127"/>
  <c r="O36" i="127"/>
  <c r="BN35" i="127"/>
  <c r="BM35" i="127"/>
  <c r="BL35" i="127"/>
  <c r="BJ36" i="127" s="1"/>
  <c r="BH35" i="127"/>
  <c r="BD35" i="127"/>
  <c r="BF35" i="127" s="1"/>
  <c r="AZ35" i="127"/>
  <c r="AS35" i="127"/>
  <c r="AU35" i="127" s="1"/>
  <c r="AO35" i="127"/>
  <c r="AK35" i="127" s="1"/>
  <c r="AM35" i="127"/>
  <c r="AB35" i="127"/>
  <c r="AA35" i="127"/>
  <c r="O35" i="127"/>
  <c r="BM34" i="127"/>
  <c r="BL34" i="127"/>
  <c r="BH34" i="127"/>
  <c r="BD34" i="127"/>
  <c r="BF34" i="127" s="1"/>
  <c r="AZ34" i="127"/>
  <c r="BB34" i="127" s="1"/>
  <c r="AS34" i="127"/>
  <c r="AU34" i="127" s="1"/>
  <c r="AO34" i="127"/>
  <c r="AK34" i="127" s="1"/>
  <c r="AM34" i="127"/>
  <c r="AJ34" i="127"/>
  <c r="AB34" i="127"/>
  <c r="AA34" i="127"/>
  <c r="O34" i="127"/>
  <c r="BM33" i="127"/>
  <c r="BN33" i="127" s="1"/>
  <c r="BL33" i="127"/>
  <c r="BH33" i="127"/>
  <c r="BD33" i="127"/>
  <c r="BF33" i="127" s="1"/>
  <c r="AZ33" i="127"/>
  <c r="AJ33" i="127" s="1"/>
  <c r="AS33" i="127"/>
  <c r="AU33" i="127" s="1"/>
  <c r="AO33" i="127"/>
  <c r="AK33" i="127" s="1"/>
  <c r="AM33" i="127"/>
  <c r="AB33" i="127"/>
  <c r="AA33" i="127"/>
  <c r="O33" i="127"/>
  <c r="BM32" i="127"/>
  <c r="BN32" i="127" s="1"/>
  <c r="BL32" i="127"/>
  <c r="BH32" i="127"/>
  <c r="BD32" i="127"/>
  <c r="BF32" i="127" s="1"/>
  <c r="AZ32" i="127"/>
  <c r="AJ32" i="127" s="1"/>
  <c r="AS32" i="127"/>
  <c r="AU32" i="127" s="1"/>
  <c r="AO32" i="127"/>
  <c r="AK32" i="127" s="1"/>
  <c r="AM32" i="127"/>
  <c r="AB32" i="127"/>
  <c r="AA32" i="127"/>
  <c r="O32" i="127"/>
  <c r="BM31" i="127"/>
  <c r="BL31" i="127"/>
  <c r="BH31" i="127"/>
  <c r="BD31" i="127"/>
  <c r="BF31" i="127" s="1"/>
  <c r="AZ31" i="127"/>
  <c r="AS31" i="127"/>
  <c r="AU31" i="127" s="1"/>
  <c r="AO31" i="127"/>
  <c r="AK31" i="127" s="1"/>
  <c r="AM31" i="127"/>
  <c r="AB31" i="127"/>
  <c r="AA31" i="127"/>
  <c r="O31" i="127"/>
  <c r="BM30" i="127"/>
  <c r="BL30" i="127"/>
  <c r="BH30" i="127"/>
  <c r="AZ30" i="127"/>
  <c r="BB30" i="127" s="1"/>
  <c r="AS30" i="127"/>
  <c r="AU30" i="127" s="1"/>
  <c r="AO30" i="127"/>
  <c r="AM30" i="127"/>
  <c r="AH30" i="127"/>
  <c r="AT31" i="127" s="1"/>
  <c r="AB30" i="127"/>
  <c r="AA30" i="127"/>
  <c r="O30" i="127"/>
  <c r="AI29" i="127"/>
  <c r="Q29" i="127"/>
  <c r="N29" i="127"/>
  <c r="M29" i="127"/>
  <c r="L29" i="127"/>
  <c r="K29" i="127"/>
  <c r="I29" i="127"/>
  <c r="H29" i="127"/>
  <c r="G29" i="127"/>
  <c r="F29" i="127"/>
  <c r="E29" i="127"/>
  <c r="BM28" i="127"/>
  <c r="BN28" i="127" s="1"/>
  <c r="BL28" i="127"/>
  <c r="BH28" i="127"/>
  <c r="BD28" i="127"/>
  <c r="BF28" i="127" s="1"/>
  <c r="AZ28" i="127"/>
  <c r="AS28" i="127"/>
  <c r="AU28" i="127" s="1"/>
  <c r="AO28" i="127"/>
  <c r="AK28" i="127" s="1"/>
  <c r="AM28" i="127"/>
  <c r="AB28" i="127"/>
  <c r="AA28" i="127"/>
  <c r="O28" i="127"/>
  <c r="BM27" i="127"/>
  <c r="BL27" i="127"/>
  <c r="BO28" i="127" s="1"/>
  <c r="BH27" i="127"/>
  <c r="AZ27" i="127"/>
  <c r="AS27" i="127"/>
  <c r="AU27" i="127" s="1"/>
  <c r="AO27" i="127"/>
  <c r="AM27" i="127"/>
  <c r="AB27" i="127"/>
  <c r="AA27" i="127"/>
  <c r="O27" i="127"/>
  <c r="BN26" i="127"/>
  <c r="BM26" i="127"/>
  <c r="BL26" i="127"/>
  <c r="BH26" i="127"/>
  <c r="BD26" i="127"/>
  <c r="BF26" i="127" s="1"/>
  <c r="AZ26" i="127"/>
  <c r="AJ26" i="127" s="1"/>
  <c r="AS26" i="127"/>
  <c r="AU26" i="127" s="1"/>
  <c r="AO26" i="127"/>
  <c r="AK26" i="127" s="1"/>
  <c r="AM26" i="127"/>
  <c r="AB26" i="127"/>
  <c r="AA26" i="127"/>
  <c r="O26" i="127"/>
  <c r="BM25" i="127"/>
  <c r="BN25" i="127" s="1"/>
  <c r="BL25" i="127"/>
  <c r="BH25" i="127"/>
  <c r="BD25" i="127"/>
  <c r="BF25" i="127" s="1"/>
  <c r="BB25" i="127"/>
  <c r="AZ25" i="127"/>
  <c r="AJ25" i="127" s="1"/>
  <c r="AS25" i="127"/>
  <c r="AU25" i="127" s="1"/>
  <c r="AO25" i="127"/>
  <c r="AK25" i="127" s="1"/>
  <c r="AM25" i="127"/>
  <c r="AB25" i="127"/>
  <c r="AA25" i="127"/>
  <c r="O25" i="127"/>
  <c r="BN24" i="127"/>
  <c r="BM24" i="127"/>
  <c r="BL24" i="127"/>
  <c r="BJ25" i="127" s="1"/>
  <c r="BH24" i="127"/>
  <c r="BD24" i="127"/>
  <c r="BF24" i="127" s="1"/>
  <c r="AZ24" i="127"/>
  <c r="BB24" i="127" s="1"/>
  <c r="AS24" i="127"/>
  <c r="AU24" i="127" s="1"/>
  <c r="AO24" i="127"/>
  <c r="AK24" i="127" s="1"/>
  <c r="AM24" i="127"/>
  <c r="AJ24" i="127"/>
  <c r="AB24" i="127"/>
  <c r="AA24" i="127"/>
  <c r="O24" i="127"/>
  <c r="BM23" i="127"/>
  <c r="BN23" i="127" s="1"/>
  <c r="BL23" i="127"/>
  <c r="BO24" i="127" s="1"/>
  <c r="BH23" i="127"/>
  <c r="BJ23" i="127" s="1"/>
  <c r="BD23" i="127"/>
  <c r="BF23" i="127" s="1"/>
  <c r="AZ23" i="127"/>
  <c r="AS23" i="127"/>
  <c r="AU23" i="127" s="1"/>
  <c r="AO23" i="127"/>
  <c r="AK23" i="127" s="1"/>
  <c r="AM23" i="127"/>
  <c r="AB23" i="127"/>
  <c r="AA23" i="127"/>
  <c r="O23" i="127"/>
  <c r="BN22" i="127"/>
  <c r="BM22" i="127"/>
  <c r="BO22" i="127" s="1"/>
  <c r="BL22" i="127"/>
  <c r="BH22" i="127"/>
  <c r="BK22" i="127" s="1"/>
  <c r="V22" i="127" s="1"/>
  <c r="BD22" i="127"/>
  <c r="BF22" i="127" s="1"/>
  <c r="AZ22" i="127"/>
  <c r="AJ22" i="127" s="1"/>
  <c r="AS22" i="127"/>
  <c r="AU22" i="127" s="1"/>
  <c r="AO22" i="127"/>
  <c r="AK22" i="127" s="1"/>
  <c r="AM22" i="127"/>
  <c r="AH22" i="127"/>
  <c r="BC22" i="127" s="1"/>
  <c r="AB22" i="127"/>
  <c r="AA22" i="127"/>
  <c r="O22" i="127"/>
  <c r="AI21" i="127"/>
  <c r="Q21" i="127"/>
  <c r="Q46" i="127" s="1"/>
  <c r="N21" i="127"/>
  <c r="M21" i="127"/>
  <c r="L21" i="127"/>
  <c r="K21" i="127"/>
  <c r="I21" i="127"/>
  <c r="H21" i="127"/>
  <c r="G21" i="127"/>
  <c r="F21" i="127"/>
  <c r="E21" i="127"/>
  <c r="BM20" i="127"/>
  <c r="BN20" i="127" s="1"/>
  <c r="BL20" i="127"/>
  <c r="BH20" i="127"/>
  <c r="BD20" i="127"/>
  <c r="BF20" i="127" s="1"/>
  <c r="BB20" i="127"/>
  <c r="AZ20" i="127"/>
  <c r="AS20" i="127"/>
  <c r="AU20" i="127" s="1"/>
  <c r="AO20" i="127"/>
  <c r="AK20" i="127" s="1"/>
  <c r="AM20" i="127"/>
  <c r="AJ20" i="127"/>
  <c r="AB20" i="127"/>
  <c r="AA20" i="127"/>
  <c r="O20" i="127"/>
  <c r="BM19" i="127"/>
  <c r="BN19" i="127" s="1"/>
  <c r="BL19" i="127"/>
  <c r="BH19" i="127"/>
  <c r="BD19" i="127"/>
  <c r="BF19" i="127" s="1"/>
  <c r="AZ19" i="127"/>
  <c r="BB19" i="127" s="1"/>
  <c r="AS19" i="127"/>
  <c r="AU19" i="127" s="1"/>
  <c r="AO19" i="127"/>
  <c r="AM19" i="127"/>
  <c r="AB19" i="127"/>
  <c r="AA19" i="127"/>
  <c r="O19" i="127"/>
  <c r="BM18" i="127"/>
  <c r="BN18" i="127" s="1"/>
  <c r="BL18" i="127"/>
  <c r="BH18" i="127"/>
  <c r="BD18" i="127"/>
  <c r="BF18" i="127" s="1"/>
  <c r="AZ18" i="127"/>
  <c r="BB18" i="127" s="1"/>
  <c r="AS18" i="127"/>
  <c r="AU18" i="127" s="1"/>
  <c r="AO18" i="127"/>
  <c r="AK18" i="127" s="1"/>
  <c r="AM18" i="127"/>
  <c r="AJ18" i="127"/>
  <c r="AB18" i="127"/>
  <c r="AA18" i="127"/>
  <c r="O18" i="127"/>
  <c r="BM17" i="127"/>
  <c r="BL17" i="127"/>
  <c r="BH17" i="127"/>
  <c r="BD17" i="127"/>
  <c r="BF17" i="127" s="1"/>
  <c r="AZ17" i="127"/>
  <c r="AS17" i="127"/>
  <c r="AU17" i="127" s="1"/>
  <c r="AO17" i="127"/>
  <c r="AK17" i="127" s="1"/>
  <c r="AM17" i="127"/>
  <c r="AB17" i="127"/>
  <c r="AA17" i="127"/>
  <c r="O17" i="127"/>
  <c r="BM16" i="127"/>
  <c r="BL16" i="127"/>
  <c r="BH16" i="127"/>
  <c r="BD16" i="127"/>
  <c r="BF16" i="127" s="1"/>
  <c r="AZ16" i="127"/>
  <c r="AJ16" i="127" s="1"/>
  <c r="AS16" i="127"/>
  <c r="AU16" i="127" s="1"/>
  <c r="AO16" i="127"/>
  <c r="AK16" i="127" s="1"/>
  <c r="AM16" i="127"/>
  <c r="AB16" i="127"/>
  <c r="AA16" i="127"/>
  <c r="O16" i="127"/>
  <c r="BM15" i="127"/>
  <c r="BN15" i="127" s="1"/>
  <c r="BL15" i="127"/>
  <c r="BH15" i="127"/>
  <c r="BD15" i="127"/>
  <c r="BF15" i="127" s="1"/>
  <c r="AZ15" i="127"/>
  <c r="AJ15" i="127" s="1"/>
  <c r="AS15" i="127"/>
  <c r="AU15" i="127" s="1"/>
  <c r="AO15" i="127"/>
  <c r="AK15" i="127" s="1"/>
  <c r="AM15" i="127"/>
  <c r="AB15" i="127"/>
  <c r="AA15" i="127"/>
  <c r="O15" i="127"/>
  <c r="BM14" i="127"/>
  <c r="BL14" i="127"/>
  <c r="BH14" i="127"/>
  <c r="AZ14" i="127"/>
  <c r="AS14" i="127"/>
  <c r="AU14" i="127" s="1"/>
  <c r="AO14" i="127"/>
  <c r="AM14" i="127"/>
  <c r="AH14" i="127"/>
  <c r="AR14" i="127" s="1"/>
  <c r="AB14" i="127"/>
  <c r="AA14" i="127"/>
  <c r="O14" i="127"/>
  <c r="AM13" i="127"/>
  <c r="AJ13" i="127" s="1"/>
  <c r="AK13" i="127"/>
  <c r="W11" i="127"/>
  <c r="AF21" i="127" s="1"/>
  <c r="E11" i="127"/>
  <c r="C8" i="127"/>
  <c r="C7" i="127"/>
  <c r="C6" i="127"/>
  <c r="O7" i="126"/>
  <c r="O6" i="126"/>
  <c r="Z6" i="126" s="1"/>
  <c r="A14" i="126" s="1"/>
  <c r="Z14" i="126" s="1"/>
  <c r="X46" i="126"/>
  <c r="AI45" i="126"/>
  <c r="S45" i="126"/>
  <c r="Q45" i="126"/>
  <c r="N45" i="126"/>
  <c r="M45" i="126"/>
  <c r="L45" i="126"/>
  <c r="K45" i="126"/>
  <c r="I45" i="126"/>
  <c r="H45" i="126"/>
  <c r="G45" i="126"/>
  <c r="F45" i="126"/>
  <c r="E45" i="126"/>
  <c r="BN44" i="126"/>
  <c r="BM44" i="126"/>
  <c r="BP44" i="126" s="1"/>
  <c r="BL44" i="126"/>
  <c r="BJ44" i="126"/>
  <c r="U44" i="126" s="1"/>
  <c r="BH44" i="126"/>
  <c r="BK44" i="126" s="1"/>
  <c r="V44" i="126" s="1"/>
  <c r="BD44" i="126"/>
  <c r="BF44" i="126" s="1"/>
  <c r="AZ44" i="126"/>
  <c r="AJ44" i="126" s="1"/>
  <c r="AU44" i="126"/>
  <c r="AS44" i="126"/>
  <c r="AO44" i="126"/>
  <c r="AK44" i="126" s="1"/>
  <c r="AM44" i="126"/>
  <c r="AB44" i="126"/>
  <c r="AA44" i="126"/>
  <c r="O44" i="126"/>
  <c r="BN43" i="126"/>
  <c r="BM43" i="126"/>
  <c r="BP43" i="126" s="1"/>
  <c r="BL43" i="126"/>
  <c r="BK43" i="126"/>
  <c r="V43" i="126" s="1"/>
  <c r="BH43" i="126"/>
  <c r="BD43" i="126"/>
  <c r="BF43" i="126" s="1"/>
  <c r="BB43" i="126"/>
  <c r="AZ43" i="126"/>
  <c r="AJ43" i="126" s="1"/>
  <c r="AS43" i="126"/>
  <c r="AU43" i="126" s="1"/>
  <c r="AO43" i="126"/>
  <c r="AK43" i="126" s="1"/>
  <c r="AM43" i="126"/>
  <c r="AB43" i="126"/>
  <c r="AA43" i="126"/>
  <c r="O43" i="126"/>
  <c r="BN42" i="126"/>
  <c r="BM42" i="126"/>
  <c r="BL42" i="126"/>
  <c r="BH42" i="126"/>
  <c r="BD42" i="126"/>
  <c r="BF42" i="126" s="1"/>
  <c r="BB42" i="126"/>
  <c r="AZ42" i="126"/>
  <c r="AS42" i="126"/>
  <c r="AU42" i="126" s="1"/>
  <c r="AO42" i="126"/>
  <c r="AK42" i="126" s="1"/>
  <c r="AM42" i="126"/>
  <c r="AJ42" i="126"/>
  <c r="AB42" i="126"/>
  <c r="AA42" i="126"/>
  <c r="O42" i="126"/>
  <c r="BM41" i="126"/>
  <c r="BL41" i="126"/>
  <c r="BO42" i="126" s="1"/>
  <c r="BH41" i="126"/>
  <c r="BK41" i="126" s="1"/>
  <c r="V41" i="126" s="1"/>
  <c r="BD41" i="126"/>
  <c r="BF41" i="126" s="1"/>
  <c r="AZ41" i="126"/>
  <c r="AU41" i="126"/>
  <c r="AS41" i="126"/>
  <c r="AO41" i="126"/>
  <c r="AM41" i="126"/>
  <c r="AK41" i="126"/>
  <c r="AB41" i="126"/>
  <c r="AA41" i="126"/>
  <c r="O41" i="126"/>
  <c r="BN40" i="126"/>
  <c r="BM40" i="126"/>
  <c r="BP40" i="126" s="1"/>
  <c r="BL40" i="126"/>
  <c r="BJ40" i="126"/>
  <c r="U40" i="126" s="1"/>
  <c r="BH40" i="126"/>
  <c r="BK40" i="126" s="1"/>
  <c r="V40" i="126" s="1"/>
  <c r="BD40" i="126"/>
  <c r="BF40" i="126" s="1"/>
  <c r="AZ40" i="126"/>
  <c r="AJ40" i="126" s="1"/>
  <c r="AU40" i="126"/>
  <c r="AS40" i="126"/>
  <c r="AO40" i="126"/>
  <c r="AK40" i="126" s="1"/>
  <c r="AM40" i="126"/>
  <c r="AB40" i="126"/>
  <c r="AA40" i="126"/>
  <c r="O40" i="126"/>
  <c r="BN39" i="126"/>
  <c r="BM39" i="126"/>
  <c r="BP39" i="126" s="1"/>
  <c r="BL39" i="126"/>
  <c r="BK39" i="126"/>
  <c r="V39" i="126" s="1"/>
  <c r="BH39" i="126"/>
  <c r="BD39" i="126"/>
  <c r="BF39" i="126" s="1"/>
  <c r="BB39" i="126"/>
  <c r="AZ39" i="126"/>
  <c r="AJ39" i="126" s="1"/>
  <c r="AS39" i="126"/>
  <c r="AU39" i="126" s="1"/>
  <c r="AO39" i="126"/>
  <c r="AK39" i="126" s="1"/>
  <c r="AM39" i="126"/>
  <c r="AB39" i="126"/>
  <c r="AA39" i="126"/>
  <c r="O39" i="126"/>
  <c r="BO38" i="126"/>
  <c r="BN38" i="126"/>
  <c r="BM38" i="126"/>
  <c r="BL38" i="126"/>
  <c r="BJ39" i="126" s="1"/>
  <c r="BH38" i="126"/>
  <c r="BD38" i="126"/>
  <c r="BF38" i="126" s="1"/>
  <c r="BB38" i="126"/>
  <c r="AZ38" i="126"/>
  <c r="AU38" i="126"/>
  <c r="AS38" i="126"/>
  <c r="AO38" i="126"/>
  <c r="AM38" i="126"/>
  <c r="AK38" i="126"/>
  <c r="AJ38" i="126"/>
  <c r="AH38" i="126"/>
  <c r="AB38" i="126"/>
  <c r="AA38" i="126"/>
  <c r="O38" i="126"/>
  <c r="O45" i="126" s="1"/>
  <c r="AI37" i="126"/>
  <c r="Q37" i="126"/>
  <c r="N37" i="126"/>
  <c r="M37" i="126"/>
  <c r="L37" i="126"/>
  <c r="K37" i="126"/>
  <c r="I37" i="126"/>
  <c r="H37" i="126"/>
  <c r="G37" i="126"/>
  <c r="F37" i="126"/>
  <c r="E37" i="126"/>
  <c r="S37" i="126" s="1"/>
  <c r="BN36" i="126"/>
  <c r="BM36" i="126"/>
  <c r="BL36" i="126"/>
  <c r="BK36" i="126" s="1"/>
  <c r="V36" i="126" s="1"/>
  <c r="BH36" i="126"/>
  <c r="BD36" i="126"/>
  <c r="BF36" i="126" s="1"/>
  <c r="BB36" i="126"/>
  <c r="AZ36" i="126"/>
  <c r="AJ36" i="126" s="1"/>
  <c r="AS36" i="126"/>
  <c r="AU36" i="126" s="1"/>
  <c r="AO36" i="126"/>
  <c r="AK36" i="126" s="1"/>
  <c r="AM36" i="126"/>
  <c r="AB36" i="126"/>
  <c r="AA36" i="126"/>
  <c r="O36" i="126"/>
  <c r="BM35" i="126"/>
  <c r="BN35" i="126" s="1"/>
  <c r="BL35" i="126"/>
  <c r="BJ36" i="126" s="1"/>
  <c r="BH35" i="126"/>
  <c r="BD35" i="126"/>
  <c r="BF35" i="126" s="1"/>
  <c r="BB35" i="126"/>
  <c r="AZ35" i="126"/>
  <c r="AS35" i="126"/>
  <c r="AU35" i="126" s="1"/>
  <c r="AO35" i="126"/>
  <c r="AK35" i="126" s="1"/>
  <c r="AM35" i="126"/>
  <c r="AJ35" i="126"/>
  <c r="AB35" i="126"/>
  <c r="AA35" i="126"/>
  <c r="O35" i="126"/>
  <c r="BM34" i="126"/>
  <c r="BL34" i="126"/>
  <c r="BH34" i="126"/>
  <c r="BD34" i="126"/>
  <c r="BF34" i="126" s="1"/>
  <c r="AZ34" i="126"/>
  <c r="AS34" i="126"/>
  <c r="AU34" i="126" s="1"/>
  <c r="AO34" i="126"/>
  <c r="AM34" i="126"/>
  <c r="AK34" i="126"/>
  <c r="AB34" i="126"/>
  <c r="AA34" i="126"/>
  <c r="O34" i="126"/>
  <c r="BM33" i="126"/>
  <c r="BL33" i="126"/>
  <c r="BK33" i="126" s="1"/>
  <c r="V33" i="126" s="1"/>
  <c r="BH33" i="126"/>
  <c r="BD33" i="126"/>
  <c r="BF33" i="126" s="1"/>
  <c r="BB33" i="126"/>
  <c r="AZ33" i="126"/>
  <c r="AJ33" i="126" s="1"/>
  <c r="AS33" i="126"/>
  <c r="AU33" i="126" s="1"/>
  <c r="AO33" i="126"/>
  <c r="AK33" i="126" s="1"/>
  <c r="AM33" i="126"/>
  <c r="AB33" i="126"/>
  <c r="AA33" i="126"/>
  <c r="O33" i="126"/>
  <c r="BM32" i="126"/>
  <c r="BN32" i="126" s="1"/>
  <c r="BL32" i="126"/>
  <c r="BJ33" i="126" s="1"/>
  <c r="BH32" i="126"/>
  <c r="BD32" i="126"/>
  <c r="BF32" i="126" s="1"/>
  <c r="AZ32" i="126"/>
  <c r="AJ32" i="126" s="1"/>
  <c r="AS32" i="126"/>
  <c r="AU32" i="126" s="1"/>
  <c r="AO32" i="126"/>
  <c r="AK32" i="126" s="1"/>
  <c r="AM32" i="126"/>
  <c r="AB32" i="126"/>
  <c r="AA32" i="126"/>
  <c r="O32" i="126"/>
  <c r="BM31" i="126"/>
  <c r="BL31" i="126"/>
  <c r="BO32" i="126" s="1"/>
  <c r="BH31" i="126"/>
  <c r="BD31" i="126"/>
  <c r="BF31" i="126" s="1"/>
  <c r="AZ31" i="126"/>
  <c r="AS31" i="126"/>
  <c r="AU31" i="126" s="1"/>
  <c r="AO31" i="126"/>
  <c r="AK31" i="126" s="1"/>
  <c r="AM31" i="126"/>
  <c r="AB31" i="126"/>
  <c r="AA31" i="126"/>
  <c r="O31" i="126"/>
  <c r="BM30" i="126"/>
  <c r="BO30" i="126" s="1"/>
  <c r="BL30" i="126"/>
  <c r="BH30" i="126"/>
  <c r="BJ30" i="126" s="1"/>
  <c r="AZ30" i="126"/>
  <c r="BB30" i="126" s="1"/>
  <c r="AS30" i="126"/>
  <c r="AU30" i="126" s="1"/>
  <c r="AO30" i="126"/>
  <c r="AM30" i="126"/>
  <c r="AH30" i="126"/>
  <c r="AT31" i="126" s="1"/>
  <c r="AB30" i="126"/>
  <c r="AA30" i="126"/>
  <c r="O30" i="126"/>
  <c r="AI29" i="126"/>
  <c r="Q29" i="126"/>
  <c r="N29" i="126"/>
  <c r="M29" i="126"/>
  <c r="L29" i="126"/>
  <c r="K29" i="126"/>
  <c r="I29" i="126"/>
  <c r="H29" i="126"/>
  <c r="G29" i="126"/>
  <c r="F29" i="126"/>
  <c r="E29" i="126"/>
  <c r="BM28" i="126"/>
  <c r="BN28" i="126" s="1"/>
  <c r="BL28" i="126"/>
  <c r="BH28" i="126"/>
  <c r="BD28" i="126"/>
  <c r="BF28" i="126" s="1"/>
  <c r="BB28" i="126"/>
  <c r="AZ28" i="126"/>
  <c r="AS28" i="126"/>
  <c r="AU28" i="126" s="1"/>
  <c r="AO28" i="126"/>
  <c r="AK28" i="126" s="1"/>
  <c r="AM28" i="126"/>
  <c r="AJ28" i="126"/>
  <c r="AB28" i="126"/>
  <c r="AA28" i="126"/>
  <c r="O28" i="126"/>
  <c r="BM27" i="126"/>
  <c r="BL27" i="126"/>
  <c r="BH27" i="126"/>
  <c r="BD27" i="126"/>
  <c r="BF27" i="126" s="1"/>
  <c r="AZ27" i="126"/>
  <c r="AU27" i="126"/>
  <c r="AS27" i="126"/>
  <c r="AO27" i="126"/>
  <c r="AM27" i="126"/>
  <c r="AK27" i="126"/>
  <c r="AB27" i="126"/>
  <c r="AA27" i="126"/>
  <c r="O27" i="126"/>
  <c r="BM26" i="126"/>
  <c r="BN26" i="126" s="1"/>
  <c r="BL26" i="126"/>
  <c r="BP26" i="126" s="1"/>
  <c r="BH26" i="126"/>
  <c r="BD26" i="126"/>
  <c r="BF26" i="126" s="1"/>
  <c r="AZ26" i="126"/>
  <c r="BB26" i="126" s="1"/>
  <c r="AS26" i="126"/>
  <c r="AU26" i="126" s="1"/>
  <c r="AO26" i="126"/>
  <c r="AK26" i="126" s="1"/>
  <c r="AM26" i="126"/>
  <c r="AB26" i="126"/>
  <c r="AA26" i="126"/>
  <c r="O26" i="126"/>
  <c r="BM25" i="126"/>
  <c r="BL25" i="126"/>
  <c r="BH25" i="126"/>
  <c r="BD25" i="126"/>
  <c r="BF25" i="126" s="1"/>
  <c r="BB25" i="126"/>
  <c r="AZ25" i="126"/>
  <c r="AJ25" i="126" s="1"/>
  <c r="AS25" i="126"/>
  <c r="AU25" i="126" s="1"/>
  <c r="AO25" i="126"/>
  <c r="AK25" i="126" s="1"/>
  <c r="AM25" i="126"/>
  <c r="AB25" i="126"/>
  <c r="AA25" i="126"/>
  <c r="O25" i="126"/>
  <c r="BM24" i="126"/>
  <c r="BN24" i="126" s="1"/>
  <c r="BL24" i="126"/>
  <c r="BH24" i="126"/>
  <c r="BD24" i="126"/>
  <c r="BF24" i="126" s="1"/>
  <c r="AZ24" i="126"/>
  <c r="BB24" i="126" s="1"/>
  <c r="AS24" i="126"/>
  <c r="AU24" i="126" s="1"/>
  <c r="AO24" i="126"/>
  <c r="AK24" i="126" s="1"/>
  <c r="AM24" i="126"/>
  <c r="AJ24" i="126"/>
  <c r="AB24" i="126"/>
  <c r="AA24" i="126"/>
  <c r="O24" i="126"/>
  <c r="BM23" i="126"/>
  <c r="BN23" i="126" s="1"/>
  <c r="BL23" i="126"/>
  <c r="BH23" i="126"/>
  <c r="BD23" i="126"/>
  <c r="BF23" i="126" s="1"/>
  <c r="AZ23" i="126"/>
  <c r="AS23" i="126"/>
  <c r="AU23" i="126" s="1"/>
  <c r="AO23" i="126"/>
  <c r="AK23" i="126" s="1"/>
  <c r="AM23" i="126"/>
  <c r="AB23" i="126"/>
  <c r="AA23" i="126"/>
  <c r="O23" i="126"/>
  <c r="BM22" i="126"/>
  <c r="BL22" i="126"/>
  <c r="BH22" i="126"/>
  <c r="BJ22" i="126" s="1"/>
  <c r="BD22" i="126"/>
  <c r="BF22" i="126" s="1"/>
  <c r="BB22" i="126"/>
  <c r="AZ22" i="126"/>
  <c r="AS22" i="126"/>
  <c r="AU22" i="126" s="1"/>
  <c r="AO22" i="126"/>
  <c r="AK22" i="126" s="1"/>
  <c r="AM22" i="126"/>
  <c r="AJ22" i="126"/>
  <c r="AH22" i="126"/>
  <c r="BC22" i="126" s="1"/>
  <c r="AB22" i="126"/>
  <c r="AA22" i="126"/>
  <c r="O22" i="126"/>
  <c r="AI21" i="126"/>
  <c r="Q21" i="126"/>
  <c r="N21" i="126"/>
  <c r="M21" i="126"/>
  <c r="L21" i="126"/>
  <c r="K21" i="126"/>
  <c r="I21" i="126"/>
  <c r="H21" i="126"/>
  <c r="G21" i="126"/>
  <c r="F21" i="126"/>
  <c r="E21" i="126"/>
  <c r="BM20" i="126"/>
  <c r="BN20" i="126" s="1"/>
  <c r="BL20" i="126"/>
  <c r="BH20" i="126"/>
  <c r="BD20" i="126"/>
  <c r="BF20" i="126" s="1"/>
  <c r="AZ20" i="126"/>
  <c r="BB20" i="126" s="1"/>
  <c r="AS20" i="126"/>
  <c r="AU20" i="126" s="1"/>
  <c r="AO20" i="126"/>
  <c r="AK20" i="126" s="1"/>
  <c r="AM20" i="126"/>
  <c r="AJ20" i="126"/>
  <c r="AB20" i="126"/>
  <c r="AA20" i="126"/>
  <c r="O20" i="126"/>
  <c r="BM19" i="126"/>
  <c r="BN19" i="126" s="1"/>
  <c r="BL19" i="126"/>
  <c r="BH19" i="126"/>
  <c r="AZ19" i="126"/>
  <c r="BB19" i="126" s="1"/>
  <c r="AS19" i="126"/>
  <c r="AU19" i="126" s="1"/>
  <c r="AO19" i="126"/>
  <c r="AM19" i="126"/>
  <c r="AB19" i="126"/>
  <c r="AA19" i="126"/>
  <c r="O19" i="126"/>
  <c r="BM18" i="126"/>
  <c r="BN18" i="126" s="1"/>
  <c r="BL18" i="126"/>
  <c r="BH18" i="126"/>
  <c r="BD18" i="126"/>
  <c r="BF18" i="126" s="1"/>
  <c r="AZ18" i="126"/>
  <c r="BB18" i="126" s="1"/>
  <c r="AS18" i="126"/>
  <c r="AU18" i="126" s="1"/>
  <c r="AO18" i="126"/>
  <c r="AK18" i="126" s="1"/>
  <c r="AM18" i="126"/>
  <c r="AJ18" i="126"/>
  <c r="AB18" i="126"/>
  <c r="AA18" i="126"/>
  <c r="O18" i="126"/>
  <c r="BM17" i="126"/>
  <c r="BN17" i="126" s="1"/>
  <c r="BL17" i="126"/>
  <c r="BH17" i="126"/>
  <c r="BD17" i="126"/>
  <c r="BF17" i="126" s="1"/>
  <c r="AZ17" i="126"/>
  <c r="AJ17" i="126" s="1"/>
  <c r="AS17" i="126"/>
  <c r="AU17" i="126" s="1"/>
  <c r="AO17" i="126"/>
  <c r="AK17" i="126" s="1"/>
  <c r="AM17" i="126"/>
  <c r="AB17" i="126"/>
  <c r="AA17" i="126"/>
  <c r="O17" i="126"/>
  <c r="BM16" i="126"/>
  <c r="BN16" i="126" s="1"/>
  <c r="BL16" i="126"/>
  <c r="BH16" i="126"/>
  <c r="BD16" i="126"/>
  <c r="BF16" i="126" s="1"/>
  <c r="AZ16" i="126"/>
  <c r="BB16" i="126" s="1"/>
  <c r="AS16" i="126"/>
  <c r="AU16" i="126" s="1"/>
  <c r="AO16" i="126"/>
  <c r="AK16" i="126" s="1"/>
  <c r="AM16" i="126"/>
  <c r="AB16" i="126"/>
  <c r="AA16" i="126"/>
  <c r="O16" i="126"/>
  <c r="BM15" i="126"/>
  <c r="BL15" i="126"/>
  <c r="BH15" i="126"/>
  <c r="AZ15" i="126"/>
  <c r="AO15" i="126"/>
  <c r="AM15" i="126"/>
  <c r="AB15" i="126"/>
  <c r="AA15" i="126"/>
  <c r="O15" i="126"/>
  <c r="BM14" i="126"/>
  <c r="BN14" i="126" s="1"/>
  <c r="BL14" i="126"/>
  <c r="BH14" i="126"/>
  <c r="AZ14" i="126"/>
  <c r="BB14" i="126" s="1"/>
  <c r="AS14" i="126"/>
  <c r="AU14" i="126" s="1"/>
  <c r="AO14" i="126"/>
  <c r="AM14" i="126"/>
  <c r="AH14" i="126"/>
  <c r="AR14" i="126" s="1"/>
  <c r="AB14" i="126"/>
  <c r="AA14" i="126"/>
  <c r="O14" i="126"/>
  <c r="AM13" i="126"/>
  <c r="AJ13" i="126" s="1"/>
  <c r="AK13" i="126"/>
  <c r="W11" i="126"/>
  <c r="AF21" i="126" s="1"/>
  <c r="E11" i="126"/>
  <c r="AG37" i="126" s="1"/>
  <c r="C8" i="126"/>
  <c r="C7" i="126"/>
  <c r="C6" i="126"/>
  <c r="O7" i="125"/>
  <c r="X46" i="125"/>
  <c r="AI45" i="125"/>
  <c r="Q45" i="125"/>
  <c r="N45" i="125"/>
  <c r="M45" i="125"/>
  <c r="L45" i="125"/>
  <c r="K45" i="125"/>
  <c r="I45" i="125"/>
  <c r="H45" i="125"/>
  <c r="G45" i="125"/>
  <c r="F45" i="125"/>
  <c r="E45" i="125"/>
  <c r="S45" i="125" s="1"/>
  <c r="BM44" i="125"/>
  <c r="BL44" i="125"/>
  <c r="BH44" i="125"/>
  <c r="BD44" i="125"/>
  <c r="BF44" i="125" s="1"/>
  <c r="AZ44" i="125"/>
  <c r="BB44" i="125" s="1"/>
  <c r="AS44" i="125"/>
  <c r="AU44" i="125" s="1"/>
  <c r="AO44" i="125"/>
  <c r="AM44" i="125"/>
  <c r="AK44" i="125"/>
  <c r="AJ44" i="125"/>
  <c r="AB44" i="125"/>
  <c r="AA44" i="125"/>
  <c r="O44" i="125"/>
  <c r="BN43" i="125"/>
  <c r="BM43" i="125"/>
  <c r="BO43" i="125" s="1"/>
  <c r="BL43" i="125"/>
  <c r="BJ44" i="125" s="1"/>
  <c r="BK43" i="125"/>
  <c r="V43" i="125" s="1"/>
  <c r="BH43" i="125"/>
  <c r="BD43" i="125"/>
  <c r="BF43" i="125" s="1"/>
  <c r="AZ43" i="125"/>
  <c r="AJ43" i="125" s="1"/>
  <c r="AS43" i="125"/>
  <c r="AU43" i="125" s="1"/>
  <c r="AO43" i="125"/>
  <c r="AK43" i="125" s="1"/>
  <c r="AM43" i="125"/>
  <c r="AB43" i="125"/>
  <c r="AA43" i="125"/>
  <c r="O43" i="125"/>
  <c r="BN42" i="125"/>
  <c r="BM42" i="125"/>
  <c r="BL42" i="125"/>
  <c r="BH42" i="125"/>
  <c r="BD42" i="125"/>
  <c r="BF42" i="125" s="1"/>
  <c r="BB42" i="125"/>
  <c r="AZ42" i="125"/>
  <c r="AS42" i="125"/>
  <c r="AU42" i="125" s="1"/>
  <c r="AO42" i="125"/>
  <c r="AK42" i="125" s="1"/>
  <c r="AM42" i="125"/>
  <c r="AJ42" i="125"/>
  <c r="AB42" i="125"/>
  <c r="AA42" i="125"/>
  <c r="O42" i="125"/>
  <c r="BM41" i="125"/>
  <c r="BL41" i="125"/>
  <c r="BO42" i="125" s="1"/>
  <c r="BH41" i="125"/>
  <c r="BK41" i="125" s="1"/>
  <c r="V41" i="125" s="1"/>
  <c r="BD41" i="125"/>
  <c r="BF41" i="125" s="1"/>
  <c r="AZ41" i="125"/>
  <c r="AU41" i="125"/>
  <c r="AS41" i="125"/>
  <c r="AO41" i="125"/>
  <c r="AM41" i="125"/>
  <c r="AK41" i="125"/>
  <c r="AB41" i="125"/>
  <c r="AA41" i="125"/>
  <c r="O41" i="125"/>
  <c r="BN40" i="125"/>
  <c r="BM40" i="125"/>
  <c r="BP40" i="125" s="1"/>
  <c r="BL40" i="125"/>
  <c r="BJ40" i="125"/>
  <c r="U40" i="125" s="1"/>
  <c r="BH40" i="125"/>
  <c r="BK40" i="125" s="1"/>
  <c r="V40" i="125" s="1"/>
  <c r="BD40" i="125"/>
  <c r="BF40" i="125" s="1"/>
  <c r="AZ40" i="125"/>
  <c r="AJ40" i="125" s="1"/>
  <c r="AU40" i="125"/>
  <c r="AS40" i="125"/>
  <c r="AO40" i="125"/>
  <c r="AK40" i="125" s="1"/>
  <c r="AM40" i="125"/>
  <c r="AB40" i="125"/>
  <c r="AA40" i="125"/>
  <c r="O40" i="125"/>
  <c r="BN39" i="125"/>
  <c r="BM39" i="125"/>
  <c r="BL39" i="125"/>
  <c r="BK39" i="125"/>
  <c r="V39" i="125" s="1"/>
  <c r="BH39" i="125"/>
  <c r="BD39" i="125"/>
  <c r="BF39" i="125" s="1"/>
  <c r="AZ39" i="125"/>
  <c r="AJ39" i="125" s="1"/>
  <c r="AS39" i="125"/>
  <c r="AU39" i="125" s="1"/>
  <c r="AO39" i="125"/>
  <c r="AK39" i="125" s="1"/>
  <c r="AM39" i="125"/>
  <c r="AB39" i="125"/>
  <c r="AA39" i="125"/>
  <c r="O39" i="125"/>
  <c r="BO38" i="125"/>
  <c r="BN38" i="125"/>
  <c r="BM38" i="125"/>
  <c r="BL38" i="125"/>
  <c r="BJ39" i="125" s="1"/>
  <c r="BH38" i="125"/>
  <c r="BD38" i="125"/>
  <c r="BF38" i="125" s="1"/>
  <c r="BB38" i="125"/>
  <c r="AZ38" i="125"/>
  <c r="AU38" i="125"/>
  <c r="AS38" i="125"/>
  <c r="AO38" i="125"/>
  <c r="AM38" i="125"/>
  <c r="AK38" i="125"/>
  <c r="AJ38" i="125"/>
  <c r="AH38" i="125"/>
  <c r="AB38" i="125"/>
  <c r="AA38" i="125"/>
  <c r="O38" i="125"/>
  <c r="AI37" i="125"/>
  <c r="Q37" i="125"/>
  <c r="N37" i="125"/>
  <c r="M37" i="125"/>
  <c r="L37" i="125"/>
  <c r="K37" i="125"/>
  <c r="I37" i="125"/>
  <c r="H37" i="125"/>
  <c r="G37" i="125"/>
  <c r="F37" i="125"/>
  <c r="E37" i="125"/>
  <c r="S37" i="125" s="1"/>
  <c r="BN36" i="125"/>
  <c r="BM36" i="125"/>
  <c r="BL36" i="125"/>
  <c r="BH36" i="125"/>
  <c r="BD36" i="125"/>
  <c r="BF36" i="125" s="1"/>
  <c r="BB36" i="125"/>
  <c r="AZ36" i="125"/>
  <c r="AJ36" i="125" s="1"/>
  <c r="AS36" i="125"/>
  <c r="AU36" i="125" s="1"/>
  <c r="AO36" i="125"/>
  <c r="AK36" i="125" s="1"/>
  <c r="AM36" i="125"/>
  <c r="AB36" i="125"/>
  <c r="AA36" i="125"/>
  <c r="O36" i="125"/>
  <c r="BM35" i="125"/>
  <c r="BN35" i="125" s="1"/>
  <c r="BL35" i="125"/>
  <c r="BO36" i="125" s="1"/>
  <c r="BH35" i="125"/>
  <c r="BD35" i="125"/>
  <c r="BF35" i="125" s="1"/>
  <c r="AZ35" i="125"/>
  <c r="AJ35" i="125" s="1"/>
  <c r="AS35" i="125"/>
  <c r="AU35" i="125" s="1"/>
  <c r="AO35" i="125"/>
  <c r="AK35" i="125" s="1"/>
  <c r="AM35" i="125"/>
  <c r="AB35" i="125"/>
  <c r="AA35" i="125"/>
  <c r="O35" i="125"/>
  <c r="BM34" i="125"/>
  <c r="BN34" i="125" s="1"/>
  <c r="BL34" i="125"/>
  <c r="BH34" i="125"/>
  <c r="BD34" i="125"/>
  <c r="BF34" i="125" s="1"/>
  <c r="AZ34" i="125"/>
  <c r="AS34" i="125"/>
  <c r="AU34" i="125" s="1"/>
  <c r="AO34" i="125"/>
  <c r="AK34" i="125" s="1"/>
  <c r="AM34" i="125"/>
  <c r="AB34" i="125"/>
  <c r="AA34" i="125"/>
  <c r="O34" i="125"/>
  <c r="BM33" i="125"/>
  <c r="BN33" i="125" s="1"/>
  <c r="BL33" i="125"/>
  <c r="BH33" i="125"/>
  <c r="BD33" i="125"/>
  <c r="BF33" i="125" s="1"/>
  <c r="AZ33" i="125"/>
  <c r="AS33" i="125"/>
  <c r="AU33" i="125" s="1"/>
  <c r="AO33" i="125"/>
  <c r="AK33" i="125" s="1"/>
  <c r="AM33" i="125"/>
  <c r="AB33" i="125"/>
  <c r="AA33" i="125"/>
  <c r="O33" i="125"/>
  <c r="BM32" i="125"/>
  <c r="BL32" i="125"/>
  <c r="BH32" i="125"/>
  <c r="BD32" i="125"/>
  <c r="BF32" i="125" s="1"/>
  <c r="AZ32" i="125"/>
  <c r="AS32" i="125"/>
  <c r="AU32" i="125" s="1"/>
  <c r="AO32" i="125"/>
  <c r="AM32" i="125"/>
  <c r="AK32" i="125"/>
  <c r="AB32" i="125"/>
  <c r="AA32" i="125"/>
  <c r="O32" i="125"/>
  <c r="BM31" i="125"/>
  <c r="BL31" i="125"/>
  <c r="BH31" i="125"/>
  <c r="AZ31" i="125"/>
  <c r="AS31" i="125"/>
  <c r="AU31" i="125" s="1"/>
  <c r="AO31" i="125"/>
  <c r="AM31" i="125"/>
  <c r="AB31" i="125"/>
  <c r="AA31" i="125"/>
  <c r="O31" i="125"/>
  <c r="BM30" i="125"/>
  <c r="BN30" i="125" s="1"/>
  <c r="BL30" i="125"/>
  <c r="BH30" i="125"/>
  <c r="AZ30" i="125"/>
  <c r="BB30" i="125" s="1"/>
  <c r="AS30" i="125"/>
  <c r="AU30" i="125" s="1"/>
  <c r="AO30" i="125"/>
  <c r="AM30" i="125"/>
  <c r="AH30" i="125"/>
  <c r="AR30" i="125" s="1"/>
  <c r="AB30" i="125"/>
  <c r="AA30" i="125"/>
  <c r="O30" i="125"/>
  <c r="AI29" i="125"/>
  <c r="Q29" i="125"/>
  <c r="N29" i="125"/>
  <c r="M29" i="125"/>
  <c r="L29" i="125"/>
  <c r="K29" i="125"/>
  <c r="I29" i="125"/>
  <c r="H29" i="125"/>
  <c r="G29" i="125"/>
  <c r="F29" i="125"/>
  <c r="E29" i="125"/>
  <c r="BM28" i="125"/>
  <c r="BL28" i="125"/>
  <c r="BH28" i="125"/>
  <c r="BD28" i="125"/>
  <c r="BF28" i="125" s="1"/>
  <c r="AZ28" i="125"/>
  <c r="AS28" i="125"/>
  <c r="AU28" i="125" s="1"/>
  <c r="AO28" i="125"/>
  <c r="AM28" i="125"/>
  <c r="AK28" i="125"/>
  <c r="AB28" i="125"/>
  <c r="AA28" i="125"/>
  <c r="O28" i="125"/>
  <c r="BM27" i="125"/>
  <c r="BL27" i="125"/>
  <c r="BH27" i="125"/>
  <c r="BD27" i="125"/>
  <c r="BF27" i="125" s="1"/>
  <c r="AZ27" i="125"/>
  <c r="BB27" i="125" s="1"/>
  <c r="AS27" i="125"/>
  <c r="AU27" i="125" s="1"/>
  <c r="AO27" i="125"/>
  <c r="AK27" i="125" s="1"/>
  <c r="AM27" i="125"/>
  <c r="AB27" i="125"/>
  <c r="AA27" i="125"/>
  <c r="O27" i="125"/>
  <c r="BM26" i="125"/>
  <c r="BN26" i="125" s="1"/>
  <c r="BL26" i="125"/>
  <c r="BH26" i="125"/>
  <c r="BD26" i="125"/>
  <c r="BF26" i="125" s="1"/>
  <c r="AZ26" i="125"/>
  <c r="AJ26" i="125" s="1"/>
  <c r="AS26" i="125"/>
  <c r="AU26" i="125" s="1"/>
  <c r="AO26" i="125"/>
  <c r="AK26" i="125" s="1"/>
  <c r="AM26" i="125"/>
  <c r="AB26" i="125"/>
  <c r="AA26" i="125"/>
  <c r="O26" i="125"/>
  <c r="BM25" i="125"/>
  <c r="BN25" i="125" s="1"/>
  <c r="BL25" i="125"/>
  <c r="BH25" i="125"/>
  <c r="BD25" i="125"/>
  <c r="BF25" i="125" s="1"/>
  <c r="AZ25" i="125"/>
  <c r="AJ25" i="125" s="1"/>
  <c r="AS25" i="125"/>
  <c r="AU25" i="125" s="1"/>
  <c r="AO25" i="125"/>
  <c r="AK25" i="125" s="1"/>
  <c r="AM25" i="125"/>
  <c r="AB25" i="125"/>
  <c r="AA25" i="125"/>
  <c r="O25" i="125"/>
  <c r="BM24" i="125"/>
  <c r="BL24" i="125"/>
  <c r="BH24" i="125"/>
  <c r="BK24" i="125" s="1"/>
  <c r="V24" i="125" s="1"/>
  <c r="BD24" i="125"/>
  <c r="BF24" i="125" s="1"/>
  <c r="AZ24" i="125"/>
  <c r="BB24" i="125" s="1"/>
  <c r="AS24" i="125"/>
  <c r="AU24" i="125" s="1"/>
  <c r="AO24" i="125"/>
  <c r="AK24" i="125" s="1"/>
  <c r="AM24" i="125"/>
  <c r="AJ24" i="125"/>
  <c r="AB24" i="125"/>
  <c r="AA24" i="125"/>
  <c r="O24" i="125"/>
  <c r="BM23" i="125"/>
  <c r="BL23" i="125"/>
  <c r="BH23" i="125"/>
  <c r="BD23" i="125"/>
  <c r="BF23" i="125" s="1"/>
  <c r="AZ23" i="125"/>
  <c r="BB23" i="125" s="1"/>
  <c r="AS23" i="125"/>
  <c r="AU23" i="125" s="1"/>
  <c r="AO23" i="125"/>
  <c r="AK23" i="125" s="1"/>
  <c r="AM23" i="125"/>
  <c r="AJ23" i="125"/>
  <c r="AB23" i="125"/>
  <c r="AA23" i="125"/>
  <c r="O23" i="125"/>
  <c r="BM22" i="125"/>
  <c r="BN22" i="125" s="1"/>
  <c r="BL22" i="125"/>
  <c r="BH22" i="125"/>
  <c r="BJ22" i="125" s="1"/>
  <c r="BD22" i="125"/>
  <c r="BF22" i="125" s="1"/>
  <c r="AZ22" i="125"/>
  <c r="BB22" i="125" s="1"/>
  <c r="AS22" i="125"/>
  <c r="AU22" i="125" s="1"/>
  <c r="AO22" i="125"/>
  <c r="AK22" i="125" s="1"/>
  <c r="AM22" i="125"/>
  <c r="AJ22" i="125"/>
  <c r="AH22" i="125"/>
  <c r="AR22" i="125" s="1"/>
  <c r="AB22" i="125"/>
  <c r="AA22" i="125"/>
  <c r="O22" i="125"/>
  <c r="AI21" i="125"/>
  <c r="Q21" i="125"/>
  <c r="N21" i="125"/>
  <c r="M21" i="125"/>
  <c r="L21" i="125"/>
  <c r="K21" i="125"/>
  <c r="I21" i="125"/>
  <c r="H21" i="125"/>
  <c r="G21" i="125"/>
  <c r="F21" i="125"/>
  <c r="E21" i="125"/>
  <c r="BM20" i="125"/>
  <c r="BN20" i="125" s="1"/>
  <c r="BL20" i="125"/>
  <c r="BH20" i="125"/>
  <c r="BD20" i="125"/>
  <c r="BF20" i="125" s="1"/>
  <c r="BB20" i="125"/>
  <c r="AZ20" i="125"/>
  <c r="AS20" i="125"/>
  <c r="AU20" i="125" s="1"/>
  <c r="AO20" i="125"/>
  <c r="AK20" i="125" s="1"/>
  <c r="AM20" i="125"/>
  <c r="AJ20" i="125"/>
  <c r="AB20" i="125"/>
  <c r="AA20" i="125"/>
  <c r="O20" i="125"/>
  <c r="BM19" i="125"/>
  <c r="BL19" i="125"/>
  <c r="BH19" i="125"/>
  <c r="BD19" i="125"/>
  <c r="BF19" i="125" s="1"/>
  <c r="AZ19" i="125"/>
  <c r="BB19" i="125" s="1"/>
  <c r="AS19" i="125"/>
  <c r="AU19" i="125" s="1"/>
  <c r="AO19" i="125"/>
  <c r="AK19" i="125" s="1"/>
  <c r="AM19" i="125"/>
  <c r="AJ19" i="125"/>
  <c r="AB19" i="125"/>
  <c r="AA19" i="125"/>
  <c r="O19" i="125"/>
  <c r="BM18" i="125"/>
  <c r="BN18" i="125" s="1"/>
  <c r="BL18" i="125"/>
  <c r="BH18" i="125"/>
  <c r="BD18" i="125"/>
  <c r="BF18" i="125" s="1"/>
  <c r="AZ18" i="125"/>
  <c r="AJ18" i="125" s="1"/>
  <c r="AS18" i="125"/>
  <c r="AU18" i="125" s="1"/>
  <c r="AO18" i="125"/>
  <c r="AK18" i="125" s="1"/>
  <c r="AM18" i="125"/>
  <c r="AB18" i="125"/>
  <c r="AA18" i="125"/>
  <c r="O18" i="125"/>
  <c r="BM17" i="125"/>
  <c r="BN17" i="125" s="1"/>
  <c r="BL17" i="125"/>
  <c r="BH17" i="125"/>
  <c r="BD17" i="125"/>
  <c r="BF17" i="125" s="1"/>
  <c r="AZ17" i="125"/>
  <c r="BB17" i="125" s="1"/>
  <c r="AS17" i="125"/>
  <c r="AU17" i="125" s="1"/>
  <c r="AO17" i="125"/>
  <c r="AK17" i="125" s="1"/>
  <c r="AM17" i="125"/>
  <c r="AJ17" i="125"/>
  <c r="AB17" i="125"/>
  <c r="AA17" i="125"/>
  <c r="O17" i="125"/>
  <c r="BM16" i="125"/>
  <c r="BN16" i="125" s="1"/>
  <c r="BL16" i="125"/>
  <c r="BH16" i="125"/>
  <c r="BD16" i="125"/>
  <c r="BF16" i="125" s="1"/>
  <c r="BB16" i="125"/>
  <c r="AZ16" i="125"/>
  <c r="AS16" i="125"/>
  <c r="AU16" i="125" s="1"/>
  <c r="AO16" i="125"/>
  <c r="AK16" i="125" s="1"/>
  <c r="AM16" i="125"/>
  <c r="AJ16" i="125"/>
  <c r="AB16" i="125"/>
  <c r="AA16" i="125"/>
  <c r="O16" i="125"/>
  <c r="BM15" i="125"/>
  <c r="BL15" i="125"/>
  <c r="BH15" i="125"/>
  <c r="BD15" i="125"/>
  <c r="BF15" i="125" s="1"/>
  <c r="AZ15" i="125"/>
  <c r="AJ15" i="125" s="1"/>
  <c r="AS15" i="125"/>
  <c r="AU15" i="125" s="1"/>
  <c r="AO15" i="125"/>
  <c r="AK15" i="125" s="1"/>
  <c r="AM15" i="125"/>
  <c r="AB15" i="125"/>
  <c r="AA15" i="125"/>
  <c r="O15" i="125"/>
  <c r="BM14" i="125"/>
  <c r="BL14" i="125"/>
  <c r="BH14" i="125"/>
  <c r="AZ14" i="125"/>
  <c r="BB14" i="125" s="1"/>
  <c r="AS14" i="125"/>
  <c r="AU14" i="125" s="1"/>
  <c r="AO14" i="125"/>
  <c r="AM14" i="125"/>
  <c r="AH14" i="125"/>
  <c r="AR14" i="125" s="1"/>
  <c r="AB14" i="125"/>
  <c r="AA14" i="125"/>
  <c r="O14" i="125"/>
  <c r="AM13" i="125"/>
  <c r="AJ13" i="125" s="1"/>
  <c r="AK13" i="125"/>
  <c r="W11" i="125"/>
  <c r="E11" i="125"/>
  <c r="AG21" i="125" s="1"/>
  <c r="C8" i="125"/>
  <c r="C7" i="125"/>
  <c r="C6" i="125"/>
  <c r="O8" i="122"/>
  <c r="O7" i="124"/>
  <c r="X46" i="124"/>
  <c r="AI45" i="124"/>
  <c r="S45" i="124"/>
  <c r="Q45" i="124"/>
  <c r="N45" i="124"/>
  <c r="M45" i="124"/>
  <c r="L45" i="124"/>
  <c r="K45" i="124"/>
  <c r="I45" i="124"/>
  <c r="H45" i="124"/>
  <c r="G45" i="124"/>
  <c r="F45" i="124"/>
  <c r="E45" i="124"/>
  <c r="BM44" i="124"/>
  <c r="BL44" i="124"/>
  <c r="BH44" i="124"/>
  <c r="BK44" i="124" s="1"/>
  <c r="V44" i="124" s="1"/>
  <c r="BD44" i="124"/>
  <c r="BF44" i="124" s="1"/>
  <c r="AZ44" i="124"/>
  <c r="AJ44" i="124" s="1"/>
  <c r="AU44" i="124"/>
  <c r="AS44" i="124"/>
  <c r="AO44" i="124"/>
  <c r="AM44" i="124"/>
  <c r="AK44" i="124"/>
  <c r="AB44" i="124"/>
  <c r="AA44" i="124"/>
  <c r="O44" i="124"/>
  <c r="BM43" i="124"/>
  <c r="BP43" i="124" s="1"/>
  <c r="BL43" i="124"/>
  <c r="BH43" i="124"/>
  <c r="BK43" i="124" s="1"/>
  <c r="V43" i="124" s="1"/>
  <c r="BD43" i="124"/>
  <c r="BF43" i="124" s="1"/>
  <c r="BB43" i="124"/>
  <c r="AZ43" i="124"/>
  <c r="AJ43" i="124" s="1"/>
  <c r="AS43" i="124"/>
  <c r="AU43" i="124" s="1"/>
  <c r="AO43" i="124"/>
  <c r="AK43" i="124" s="1"/>
  <c r="AM43" i="124"/>
  <c r="AB43" i="124"/>
  <c r="AA43" i="124"/>
  <c r="O43" i="124"/>
  <c r="BM42" i="124"/>
  <c r="BN42" i="124" s="1"/>
  <c r="BL42" i="124"/>
  <c r="BH42" i="124"/>
  <c r="BF42" i="124"/>
  <c r="BD42" i="124"/>
  <c r="AZ42" i="124"/>
  <c r="AS42" i="124"/>
  <c r="AU42" i="124" s="1"/>
  <c r="AO42" i="124"/>
  <c r="AK42" i="124" s="1"/>
  <c r="AM42" i="124"/>
  <c r="AB42" i="124"/>
  <c r="AA42" i="124"/>
  <c r="O42" i="124"/>
  <c r="BM41" i="124"/>
  <c r="BL41" i="124"/>
  <c r="BH41" i="124"/>
  <c r="BD41" i="124"/>
  <c r="BF41" i="124" s="1"/>
  <c r="AZ41" i="124"/>
  <c r="BB41" i="124" s="1"/>
  <c r="AS41" i="124"/>
  <c r="AU41" i="124" s="1"/>
  <c r="AO41" i="124"/>
  <c r="AK41" i="124" s="1"/>
  <c r="AM41" i="124"/>
  <c r="AB41" i="124"/>
  <c r="AA41" i="124"/>
  <c r="O41" i="124"/>
  <c r="BN40" i="124"/>
  <c r="BM40" i="124"/>
  <c r="BL40" i="124"/>
  <c r="BJ40" i="124"/>
  <c r="U40" i="124" s="1"/>
  <c r="BH40" i="124"/>
  <c r="BK40" i="124" s="1"/>
  <c r="V40" i="124" s="1"/>
  <c r="BD40" i="124"/>
  <c r="BF40" i="124" s="1"/>
  <c r="AZ40" i="124"/>
  <c r="AS40" i="124"/>
  <c r="AU40" i="124" s="1"/>
  <c r="AO40" i="124"/>
  <c r="AK40" i="124" s="1"/>
  <c r="AM40" i="124"/>
  <c r="AB40" i="124"/>
  <c r="AA40" i="124"/>
  <c r="O40" i="124"/>
  <c r="O45" i="124" s="1"/>
  <c r="BM39" i="124"/>
  <c r="BL39" i="124"/>
  <c r="BH39" i="124"/>
  <c r="BD39" i="124"/>
  <c r="BF39" i="124" s="1"/>
  <c r="BB39" i="124"/>
  <c r="AZ39" i="124"/>
  <c r="AJ39" i="124" s="1"/>
  <c r="AS39" i="124"/>
  <c r="AU39" i="124" s="1"/>
  <c r="AO39" i="124"/>
  <c r="AK39" i="124" s="1"/>
  <c r="AM39" i="124"/>
  <c r="AB39" i="124"/>
  <c r="AA39" i="124"/>
  <c r="O39" i="124"/>
  <c r="BN38" i="124"/>
  <c r="BM38" i="124"/>
  <c r="BO38" i="124" s="1"/>
  <c r="BL38" i="124"/>
  <c r="BO39" i="124" s="1"/>
  <c r="BK38" i="124"/>
  <c r="V38" i="124" s="1"/>
  <c r="BH38" i="124"/>
  <c r="BJ38" i="124" s="1"/>
  <c r="BD38" i="124"/>
  <c r="BF38" i="124" s="1"/>
  <c r="AZ38" i="124"/>
  <c r="BB38" i="124" s="1"/>
  <c r="AU38" i="124"/>
  <c r="AS38" i="124"/>
  <c r="AO38" i="124"/>
  <c r="AK38" i="124" s="1"/>
  <c r="AM38" i="124"/>
  <c r="AJ38" i="124"/>
  <c r="AH38" i="124"/>
  <c r="BE39" i="124" s="1"/>
  <c r="AB38" i="124"/>
  <c r="AA38" i="124"/>
  <c r="O38" i="124"/>
  <c r="AI37" i="124"/>
  <c r="Q37" i="124"/>
  <c r="N37" i="124"/>
  <c r="M37" i="124"/>
  <c r="L37" i="124"/>
  <c r="K37" i="124"/>
  <c r="I37" i="124"/>
  <c r="H37" i="124"/>
  <c r="G37" i="124"/>
  <c r="F37" i="124"/>
  <c r="E37" i="124"/>
  <c r="S37" i="124" s="1"/>
  <c r="BM36" i="124"/>
  <c r="BL36" i="124"/>
  <c r="BH36" i="124"/>
  <c r="BD36" i="124"/>
  <c r="BF36" i="124" s="1"/>
  <c r="AZ36" i="124"/>
  <c r="AS36" i="124"/>
  <c r="AU36" i="124" s="1"/>
  <c r="AO36" i="124"/>
  <c r="AK36" i="124" s="1"/>
  <c r="AM36" i="124"/>
  <c r="AB36" i="124"/>
  <c r="AA36" i="124"/>
  <c r="O36" i="124"/>
  <c r="BM35" i="124"/>
  <c r="BL35" i="124"/>
  <c r="BO36" i="124" s="1"/>
  <c r="BH35" i="124"/>
  <c r="BD35" i="124"/>
  <c r="BF35" i="124" s="1"/>
  <c r="BB35" i="124"/>
  <c r="AZ35" i="124"/>
  <c r="AJ35" i="124" s="1"/>
  <c r="AS35" i="124"/>
  <c r="AU35" i="124" s="1"/>
  <c r="AO35" i="124"/>
  <c r="AK35" i="124" s="1"/>
  <c r="AM35" i="124"/>
  <c r="AB35" i="124"/>
  <c r="AA35" i="124"/>
  <c r="O35" i="124"/>
  <c r="BM34" i="124"/>
  <c r="BL34" i="124"/>
  <c r="BH34" i="124"/>
  <c r="BD34" i="124"/>
  <c r="BF34" i="124" s="1"/>
  <c r="AZ34" i="124"/>
  <c r="BB34" i="124" s="1"/>
  <c r="AS34" i="124"/>
  <c r="AU34" i="124" s="1"/>
  <c r="AO34" i="124"/>
  <c r="AM34" i="124"/>
  <c r="AK34" i="124"/>
  <c r="AB34" i="124"/>
  <c r="AA34" i="124"/>
  <c r="O34" i="124"/>
  <c r="BM33" i="124"/>
  <c r="BL33" i="124"/>
  <c r="BH33" i="124"/>
  <c r="BD33" i="124"/>
  <c r="BF33" i="124" s="1"/>
  <c r="AZ33" i="124"/>
  <c r="BB33" i="124" s="1"/>
  <c r="AS33" i="124"/>
  <c r="AU33" i="124" s="1"/>
  <c r="AO33" i="124"/>
  <c r="AK33" i="124" s="1"/>
  <c r="AM33" i="124"/>
  <c r="AJ33" i="124"/>
  <c r="AB33" i="124"/>
  <c r="AA33" i="124"/>
  <c r="O33" i="124"/>
  <c r="BM32" i="124"/>
  <c r="BN32" i="124" s="1"/>
  <c r="BL32" i="124"/>
  <c r="BH32" i="124"/>
  <c r="BD32" i="124"/>
  <c r="BF32" i="124" s="1"/>
  <c r="AZ32" i="124"/>
  <c r="AJ32" i="124" s="1"/>
  <c r="AS32" i="124"/>
  <c r="AU32" i="124" s="1"/>
  <c r="AO32" i="124"/>
  <c r="AK32" i="124" s="1"/>
  <c r="AM32" i="124"/>
  <c r="AB32" i="124"/>
  <c r="AA32" i="124"/>
  <c r="O32" i="124"/>
  <c r="BM31" i="124"/>
  <c r="BN31" i="124" s="1"/>
  <c r="BL31" i="124"/>
  <c r="BH31" i="124"/>
  <c r="BD31" i="124"/>
  <c r="BF31" i="124" s="1"/>
  <c r="AZ31" i="124"/>
  <c r="BB31" i="124" s="1"/>
  <c r="AS31" i="124"/>
  <c r="AU31" i="124" s="1"/>
  <c r="AO31" i="124"/>
  <c r="AK31" i="124" s="1"/>
  <c r="AM31" i="124"/>
  <c r="AB31" i="124"/>
  <c r="AA31" i="124"/>
  <c r="O31" i="124"/>
  <c r="BM30" i="124"/>
  <c r="BL30" i="124"/>
  <c r="BO31" i="124" s="1"/>
  <c r="BH30" i="124"/>
  <c r="AZ30" i="124"/>
  <c r="AS30" i="124"/>
  <c r="AU30" i="124" s="1"/>
  <c r="AO30" i="124"/>
  <c r="AM30" i="124"/>
  <c r="AH30" i="124"/>
  <c r="AR30" i="124" s="1"/>
  <c r="AB30" i="124"/>
  <c r="AA30" i="124"/>
  <c r="O30" i="124"/>
  <c r="AI29" i="124"/>
  <c r="Q29" i="124"/>
  <c r="N29" i="124"/>
  <c r="M29" i="124"/>
  <c r="L29" i="124"/>
  <c r="K29" i="124"/>
  <c r="I29" i="124"/>
  <c r="H29" i="124"/>
  <c r="G29" i="124"/>
  <c r="F29" i="124"/>
  <c r="E29" i="124"/>
  <c r="BM28" i="124"/>
  <c r="BN28" i="124" s="1"/>
  <c r="BL28" i="124"/>
  <c r="BH28" i="124"/>
  <c r="BD28" i="124"/>
  <c r="BF28" i="124" s="1"/>
  <c r="BB28" i="124"/>
  <c r="AZ28" i="124"/>
  <c r="AJ28" i="124" s="1"/>
  <c r="AS28" i="124"/>
  <c r="AU28" i="124" s="1"/>
  <c r="AO28" i="124"/>
  <c r="AK28" i="124" s="1"/>
  <c r="AM28" i="124"/>
  <c r="AB28" i="124"/>
  <c r="AA28" i="124"/>
  <c r="O28" i="124"/>
  <c r="BM27" i="124"/>
  <c r="BN27" i="124" s="1"/>
  <c r="BL27" i="124"/>
  <c r="BH27" i="124"/>
  <c r="AZ27" i="124"/>
  <c r="BB27" i="124" s="1"/>
  <c r="AS27" i="124"/>
  <c r="AU27" i="124" s="1"/>
  <c r="AO27" i="124"/>
  <c r="AM27" i="124"/>
  <c r="AB27" i="124"/>
  <c r="AA27" i="124"/>
  <c r="O27" i="124"/>
  <c r="BM26" i="124"/>
  <c r="BL26" i="124"/>
  <c r="BH26" i="124"/>
  <c r="BD26" i="124"/>
  <c r="BF26" i="124" s="1"/>
  <c r="AZ26" i="124"/>
  <c r="AJ26" i="124" s="1"/>
  <c r="AS26" i="124"/>
  <c r="AU26" i="124" s="1"/>
  <c r="AO26" i="124"/>
  <c r="AK26" i="124" s="1"/>
  <c r="AM26" i="124"/>
  <c r="AB26" i="124"/>
  <c r="AA26" i="124"/>
  <c r="O26" i="124"/>
  <c r="BM25" i="124"/>
  <c r="BL25" i="124"/>
  <c r="BO26" i="124" s="1"/>
  <c r="BH25" i="124"/>
  <c r="BD25" i="124"/>
  <c r="BF25" i="124" s="1"/>
  <c r="AZ25" i="124"/>
  <c r="BB25" i="124" s="1"/>
  <c r="AS25" i="124"/>
  <c r="AU25" i="124" s="1"/>
  <c r="AO25" i="124"/>
  <c r="AK25" i="124" s="1"/>
  <c r="AM25" i="124"/>
  <c r="AB25" i="124"/>
  <c r="AA25" i="124"/>
  <c r="O25" i="124"/>
  <c r="BM24" i="124"/>
  <c r="BN24" i="124" s="1"/>
  <c r="BL24" i="124"/>
  <c r="BH24" i="124"/>
  <c r="BD24" i="124"/>
  <c r="BF24" i="124" s="1"/>
  <c r="AZ24" i="124"/>
  <c r="AS24" i="124"/>
  <c r="AU24" i="124" s="1"/>
  <c r="AO24" i="124"/>
  <c r="AK24" i="124" s="1"/>
  <c r="AM24" i="124"/>
  <c r="AB24" i="124"/>
  <c r="AA24" i="124"/>
  <c r="O24" i="124"/>
  <c r="BM23" i="124"/>
  <c r="BN23" i="124" s="1"/>
  <c r="BL23" i="124"/>
  <c r="BO24" i="124" s="1"/>
  <c r="BH23" i="124"/>
  <c r="BD23" i="124"/>
  <c r="BF23" i="124" s="1"/>
  <c r="AZ23" i="124"/>
  <c r="AJ23" i="124" s="1"/>
  <c r="AS23" i="124"/>
  <c r="AU23" i="124" s="1"/>
  <c r="AO23" i="124"/>
  <c r="AK23" i="124" s="1"/>
  <c r="AM23" i="124"/>
  <c r="AB23" i="124"/>
  <c r="AA23" i="124"/>
  <c r="O23" i="124"/>
  <c r="BM22" i="124"/>
  <c r="BL22" i="124"/>
  <c r="BO23" i="124" s="1"/>
  <c r="BH22" i="124"/>
  <c r="BF22" i="124"/>
  <c r="BD22" i="124"/>
  <c r="AZ22" i="124"/>
  <c r="BB22" i="124" s="1"/>
  <c r="AS22" i="124"/>
  <c r="AU22" i="124" s="1"/>
  <c r="AO22" i="124"/>
  <c r="AK22" i="124" s="1"/>
  <c r="AM22" i="124"/>
  <c r="AJ22" i="124"/>
  <c r="AH22" i="124"/>
  <c r="AB22" i="124"/>
  <c r="AA22" i="124"/>
  <c r="O22" i="124"/>
  <c r="AI21" i="124"/>
  <c r="Q21" i="124"/>
  <c r="N21" i="124"/>
  <c r="M21" i="124"/>
  <c r="L21" i="124"/>
  <c r="K21" i="124"/>
  <c r="I21" i="124"/>
  <c r="H21" i="124"/>
  <c r="G21" i="124"/>
  <c r="F21" i="124"/>
  <c r="E21" i="124"/>
  <c r="BM20" i="124"/>
  <c r="BN20" i="124" s="1"/>
  <c r="BL20" i="124"/>
  <c r="BH20" i="124"/>
  <c r="BD20" i="124"/>
  <c r="BF20" i="124" s="1"/>
  <c r="AZ20" i="124"/>
  <c r="AS20" i="124"/>
  <c r="AU20" i="124" s="1"/>
  <c r="AO20" i="124"/>
  <c r="AK20" i="124" s="1"/>
  <c r="AM20" i="124"/>
  <c r="AB20" i="124"/>
  <c r="AA20" i="124"/>
  <c r="O20" i="124"/>
  <c r="BM19" i="124"/>
  <c r="BL19" i="124"/>
  <c r="BH19" i="124"/>
  <c r="BD19" i="124"/>
  <c r="BF19" i="124" s="1"/>
  <c r="AZ19" i="124"/>
  <c r="AS19" i="124"/>
  <c r="AU19" i="124" s="1"/>
  <c r="AO19" i="124"/>
  <c r="AK19" i="124" s="1"/>
  <c r="AM19" i="124"/>
  <c r="AB19" i="124"/>
  <c r="AA19" i="124"/>
  <c r="O19" i="124"/>
  <c r="BM18" i="124"/>
  <c r="BL18" i="124"/>
  <c r="BH18" i="124"/>
  <c r="BD18" i="124"/>
  <c r="BF18" i="124" s="1"/>
  <c r="AZ18" i="124"/>
  <c r="AJ18" i="124" s="1"/>
  <c r="AS18" i="124"/>
  <c r="AU18" i="124" s="1"/>
  <c r="AO18" i="124"/>
  <c r="AK18" i="124" s="1"/>
  <c r="AM18" i="124"/>
  <c r="AB18" i="124"/>
  <c r="AA18" i="124"/>
  <c r="O18" i="124"/>
  <c r="BM17" i="124"/>
  <c r="BL17" i="124"/>
  <c r="BH17" i="124"/>
  <c r="BD17" i="124"/>
  <c r="BF17" i="124" s="1"/>
  <c r="AZ17" i="124"/>
  <c r="AJ17" i="124" s="1"/>
  <c r="AS17" i="124"/>
  <c r="AU17" i="124" s="1"/>
  <c r="AO17" i="124"/>
  <c r="AK17" i="124" s="1"/>
  <c r="AM17" i="124"/>
  <c r="AB17" i="124"/>
  <c r="AA17" i="124"/>
  <c r="O17" i="124"/>
  <c r="BM16" i="124"/>
  <c r="BN16" i="124" s="1"/>
  <c r="BL16" i="124"/>
  <c r="BH16" i="124"/>
  <c r="BD16" i="124"/>
  <c r="BF16" i="124" s="1"/>
  <c r="AZ16" i="124"/>
  <c r="BB16" i="124" s="1"/>
  <c r="AS16" i="124"/>
  <c r="AU16" i="124" s="1"/>
  <c r="AO16" i="124"/>
  <c r="AK16" i="124" s="1"/>
  <c r="AM16" i="124"/>
  <c r="AB16" i="124"/>
  <c r="AA16" i="124"/>
  <c r="O16" i="124"/>
  <c r="BM15" i="124"/>
  <c r="BN15" i="124" s="1"/>
  <c r="BL15" i="124"/>
  <c r="BH15" i="124"/>
  <c r="BD15" i="124"/>
  <c r="BF15" i="124" s="1"/>
  <c r="AZ15" i="124"/>
  <c r="AJ15" i="124" s="1"/>
  <c r="AS15" i="124"/>
  <c r="AU15" i="124" s="1"/>
  <c r="AO15" i="124"/>
  <c r="AK15" i="124" s="1"/>
  <c r="AM15" i="124"/>
  <c r="AB15" i="124"/>
  <c r="AA15" i="124"/>
  <c r="O15" i="124"/>
  <c r="BM14" i="124"/>
  <c r="BO14" i="124" s="1"/>
  <c r="BL14" i="124"/>
  <c r="BH14" i="124"/>
  <c r="AZ14" i="124"/>
  <c r="AS14" i="124"/>
  <c r="AU14" i="124" s="1"/>
  <c r="AO14" i="124"/>
  <c r="AM14" i="124"/>
  <c r="AH14" i="124"/>
  <c r="AB14" i="124"/>
  <c r="AA14" i="124"/>
  <c r="O14" i="124"/>
  <c r="AM13" i="124"/>
  <c r="AJ13" i="124" s="1"/>
  <c r="W11" i="124"/>
  <c r="AF21" i="124" s="1"/>
  <c r="E11" i="124"/>
  <c r="C8" i="124"/>
  <c r="C7" i="124"/>
  <c r="C6" i="124"/>
  <c r="O7" i="123"/>
  <c r="X46" i="123"/>
  <c r="AI45" i="123"/>
  <c r="Q45" i="123"/>
  <c r="N45" i="123"/>
  <c r="M45" i="123"/>
  <c r="L45" i="123"/>
  <c r="K45" i="123"/>
  <c r="I45" i="123"/>
  <c r="H45" i="123"/>
  <c r="G45" i="123"/>
  <c r="F45" i="123"/>
  <c r="AC45" i="123" s="1"/>
  <c r="E45" i="123"/>
  <c r="S45" i="123" s="1"/>
  <c r="BM44" i="123"/>
  <c r="BL44" i="123"/>
  <c r="BH44" i="123"/>
  <c r="BD44" i="123"/>
  <c r="BF44" i="123" s="1"/>
  <c r="AZ44" i="123"/>
  <c r="AJ44" i="123" s="1"/>
  <c r="AS44" i="123"/>
  <c r="AU44" i="123" s="1"/>
  <c r="AO44" i="123"/>
  <c r="AK44" i="123" s="1"/>
  <c r="AM44" i="123"/>
  <c r="AB44" i="123"/>
  <c r="AA44" i="123"/>
  <c r="O44" i="123"/>
  <c r="BM43" i="123"/>
  <c r="BL43" i="123"/>
  <c r="BJ44" i="123" s="1"/>
  <c r="BH43" i="123"/>
  <c r="BD43" i="123"/>
  <c r="BF43" i="123" s="1"/>
  <c r="BB43" i="123"/>
  <c r="AZ43" i="123"/>
  <c r="AJ43" i="123" s="1"/>
  <c r="AS43" i="123"/>
  <c r="AU43" i="123" s="1"/>
  <c r="AO43" i="123"/>
  <c r="AK43" i="123" s="1"/>
  <c r="AM43" i="123"/>
  <c r="AB43" i="123"/>
  <c r="AA43" i="123"/>
  <c r="O43" i="123"/>
  <c r="BM42" i="123"/>
  <c r="BL42" i="123"/>
  <c r="BH42" i="123"/>
  <c r="BD42" i="123"/>
  <c r="BF42" i="123" s="1"/>
  <c r="AZ42" i="123"/>
  <c r="BB42" i="123" s="1"/>
  <c r="AS42" i="123"/>
  <c r="AU42" i="123" s="1"/>
  <c r="AO42" i="123"/>
  <c r="AK42" i="123" s="1"/>
  <c r="AM42" i="123"/>
  <c r="AB42" i="123"/>
  <c r="AA42" i="123"/>
  <c r="O42" i="123"/>
  <c r="BM41" i="123"/>
  <c r="BL41" i="123"/>
  <c r="BH41" i="123"/>
  <c r="BD41" i="123"/>
  <c r="BF41" i="123" s="1"/>
  <c r="AZ41" i="123"/>
  <c r="AS41" i="123"/>
  <c r="AU41" i="123" s="1"/>
  <c r="AO41" i="123"/>
  <c r="AM41" i="123"/>
  <c r="AK41" i="123"/>
  <c r="AB41" i="123"/>
  <c r="AA41" i="123"/>
  <c r="O41" i="123"/>
  <c r="BM40" i="123"/>
  <c r="BL40" i="123"/>
  <c r="BJ41" i="123" s="1"/>
  <c r="BH40" i="123"/>
  <c r="BD40" i="123"/>
  <c r="BF40" i="123" s="1"/>
  <c r="BB40" i="123"/>
  <c r="AZ40" i="123"/>
  <c r="AJ40" i="123" s="1"/>
  <c r="AS40" i="123"/>
  <c r="AU40" i="123" s="1"/>
  <c r="AO40" i="123"/>
  <c r="AK40" i="123" s="1"/>
  <c r="AM40" i="123"/>
  <c r="AB40" i="123"/>
  <c r="AA40" i="123"/>
  <c r="O40" i="123"/>
  <c r="BM39" i="123"/>
  <c r="BL39" i="123"/>
  <c r="BJ40" i="123" s="1"/>
  <c r="BH39" i="123"/>
  <c r="BD39" i="123"/>
  <c r="BF39" i="123" s="1"/>
  <c r="BB39" i="123"/>
  <c r="AZ39" i="123"/>
  <c r="AJ39" i="123" s="1"/>
  <c r="AS39" i="123"/>
  <c r="AU39" i="123" s="1"/>
  <c r="AO39" i="123"/>
  <c r="AK39" i="123" s="1"/>
  <c r="AM39" i="123"/>
  <c r="AB39" i="123"/>
  <c r="AA39" i="123"/>
  <c r="O39" i="123"/>
  <c r="BM38" i="123"/>
  <c r="BO38" i="123" s="1"/>
  <c r="BL38" i="123"/>
  <c r="BH38" i="123"/>
  <c r="BD38" i="123"/>
  <c r="BF38" i="123" s="1"/>
  <c r="BB38" i="123"/>
  <c r="AZ38" i="123"/>
  <c r="AJ38" i="123" s="1"/>
  <c r="AS38" i="123"/>
  <c r="AU38" i="123" s="1"/>
  <c r="AO38" i="123"/>
  <c r="AK38" i="123" s="1"/>
  <c r="AM38" i="123"/>
  <c r="AH38" i="123"/>
  <c r="AB38" i="123"/>
  <c r="AA38" i="123"/>
  <c r="O38" i="123"/>
  <c r="AI37" i="123"/>
  <c r="Q37" i="123"/>
  <c r="N37" i="123"/>
  <c r="M37" i="123"/>
  <c r="L37" i="123"/>
  <c r="K37" i="123"/>
  <c r="I37" i="123"/>
  <c r="H37" i="123"/>
  <c r="G37" i="123"/>
  <c r="F37" i="123"/>
  <c r="E37" i="123"/>
  <c r="BM36" i="123"/>
  <c r="BN36" i="123" s="1"/>
  <c r="BL36" i="123"/>
  <c r="BH36" i="123"/>
  <c r="BD36" i="123"/>
  <c r="BF36" i="123" s="1"/>
  <c r="AZ36" i="123"/>
  <c r="AS36" i="123"/>
  <c r="AU36" i="123" s="1"/>
  <c r="AO36" i="123"/>
  <c r="AK36" i="123" s="1"/>
  <c r="AM36" i="123"/>
  <c r="AB36" i="123"/>
  <c r="AA36" i="123"/>
  <c r="O36" i="123"/>
  <c r="BM35" i="123"/>
  <c r="BL35" i="123"/>
  <c r="BO36" i="123" s="1"/>
  <c r="BH35" i="123"/>
  <c r="BD35" i="123"/>
  <c r="BF35" i="123" s="1"/>
  <c r="AZ35" i="123"/>
  <c r="AS35" i="123"/>
  <c r="AU35" i="123" s="1"/>
  <c r="AO35" i="123"/>
  <c r="AM35" i="123"/>
  <c r="AK35" i="123"/>
  <c r="AB35" i="123"/>
  <c r="AA35" i="123"/>
  <c r="O35" i="123"/>
  <c r="BM34" i="123"/>
  <c r="BN34" i="123" s="1"/>
  <c r="BL34" i="123"/>
  <c r="BH34" i="123"/>
  <c r="BD34" i="123"/>
  <c r="BF34" i="123" s="1"/>
  <c r="AZ34" i="123"/>
  <c r="AS34" i="123"/>
  <c r="AU34" i="123" s="1"/>
  <c r="AO34" i="123"/>
  <c r="AK34" i="123" s="1"/>
  <c r="AM34" i="123"/>
  <c r="AB34" i="123"/>
  <c r="AA34" i="123"/>
  <c r="O34" i="123"/>
  <c r="BM33" i="123"/>
  <c r="BN33" i="123" s="1"/>
  <c r="BL33" i="123"/>
  <c r="BH33" i="123"/>
  <c r="BD33" i="123"/>
  <c r="BF33" i="123" s="1"/>
  <c r="BB33" i="123"/>
  <c r="AZ33" i="123"/>
  <c r="AS33" i="123"/>
  <c r="AU33" i="123" s="1"/>
  <c r="AO33" i="123"/>
  <c r="AM33" i="123"/>
  <c r="AK33" i="123"/>
  <c r="AJ33" i="123"/>
  <c r="AB33" i="123"/>
  <c r="AA33" i="123"/>
  <c r="O33" i="123"/>
  <c r="BM32" i="123"/>
  <c r="BN32" i="123" s="1"/>
  <c r="BL32" i="123"/>
  <c r="BH32" i="123"/>
  <c r="BD32" i="123"/>
  <c r="BF32" i="123" s="1"/>
  <c r="AZ32" i="123"/>
  <c r="AS32" i="123"/>
  <c r="AU32" i="123" s="1"/>
  <c r="AO32" i="123"/>
  <c r="AM32" i="123"/>
  <c r="AK32" i="123"/>
  <c r="AB32" i="123"/>
  <c r="AA32" i="123"/>
  <c r="O32" i="123"/>
  <c r="BM31" i="123"/>
  <c r="BL31" i="123"/>
  <c r="BH31" i="123"/>
  <c r="BD31" i="123"/>
  <c r="BF31" i="123" s="1"/>
  <c r="AZ31" i="123"/>
  <c r="AJ31" i="123" s="1"/>
  <c r="AS31" i="123"/>
  <c r="AU31" i="123" s="1"/>
  <c r="AO31" i="123"/>
  <c r="AK31" i="123" s="1"/>
  <c r="AM31" i="123"/>
  <c r="AB31" i="123"/>
  <c r="AA31" i="123"/>
  <c r="O31" i="123"/>
  <c r="BM30" i="123"/>
  <c r="BN30" i="123" s="1"/>
  <c r="BL30" i="123"/>
  <c r="BH30" i="123"/>
  <c r="AZ30" i="123"/>
  <c r="BB30" i="123" s="1"/>
  <c r="AS30" i="123"/>
  <c r="AU30" i="123" s="1"/>
  <c r="AO30" i="123"/>
  <c r="AM30" i="123"/>
  <c r="AH30" i="123"/>
  <c r="AB30" i="123"/>
  <c r="AA30" i="123"/>
  <c r="O30" i="123"/>
  <c r="AI29" i="123"/>
  <c r="Q29" i="123"/>
  <c r="N29" i="123"/>
  <c r="M29" i="123"/>
  <c r="L29" i="123"/>
  <c r="K29" i="123"/>
  <c r="I29" i="123"/>
  <c r="H29" i="123"/>
  <c r="G29" i="123"/>
  <c r="F29" i="123"/>
  <c r="E29" i="123"/>
  <c r="BM28" i="123"/>
  <c r="BN28" i="123" s="1"/>
  <c r="BL28" i="123"/>
  <c r="BH28" i="123"/>
  <c r="BD28" i="123"/>
  <c r="BF28" i="123" s="1"/>
  <c r="AZ28" i="123"/>
  <c r="BB28" i="123" s="1"/>
  <c r="AS28" i="123"/>
  <c r="AU28" i="123" s="1"/>
  <c r="AO28" i="123"/>
  <c r="AM28" i="123"/>
  <c r="AK28" i="123"/>
  <c r="AJ28" i="123"/>
  <c r="AB28" i="123"/>
  <c r="AA28" i="123"/>
  <c r="O28" i="123"/>
  <c r="BM27" i="123"/>
  <c r="BL27" i="123"/>
  <c r="BJ28" i="123" s="1"/>
  <c r="BH27" i="123"/>
  <c r="AZ27" i="123"/>
  <c r="AS27" i="123"/>
  <c r="AU27" i="123" s="1"/>
  <c r="AO27" i="123"/>
  <c r="AM27" i="123"/>
  <c r="AB27" i="123"/>
  <c r="AA27" i="123"/>
  <c r="O27" i="123"/>
  <c r="BM26" i="123"/>
  <c r="BN26" i="123" s="1"/>
  <c r="BL26" i="123"/>
  <c r="BH26" i="123"/>
  <c r="BD26" i="123"/>
  <c r="BF26" i="123" s="1"/>
  <c r="AZ26" i="123"/>
  <c r="AS26" i="123"/>
  <c r="AU26" i="123" s="1"/>
  <c r="AO26" i="123"/>
  <c r="AK26" i="123" s="1"/>
  <c r="AM26" i="123"/>
  <c r="AB26" i="123"/>
  <c r="AA26" i="123"/>
  <c r="O26" i="123"/>
  <c r="BM25" i="123"/>
  <c r="BL25" i="123"/>
  <c r="BH25" i="123"/>
  <c r="BD25" i="123"/>
  <c r="BF25" i="123" s="1"/>
  <c r="AZ25" i="123"/>
  <c r="BB25" i="123" s="1"/>
  <c r="AS25" i="123"/>
  <c r="AU25" i="123" s="1"/>
  <c r="AO25" i="123"/>
  <c r="AK25" i="123" s="1"/>
  <c r="AM25" i="123"/>
  <c r="AB25" i="123"/>
  <c r="AA25" i="123"/>
  <c r="O25" i="123"/>
  <c r="BM24" i="123"/>
  <c r="BL24" i="123"/>
  <c r="BH24" i="123"/>
  <c r="BD24" i="123"/>
  <c r="BF24" i="123" s="1"/>
  <c r="AZ24" i="123"/>
  <c r="AS24" i="123"/>
  <c r="AU24" i="123" s="1"/>
  <c r="AO24" i="123"/>
  <c r="AK24" i="123" s="1"/>
  <c r="AM24" i="123"/>
  <c r="AB24" i="123"/>
  <c r="AA24" i="123"/>
  <c r="O24" i="123"/>
  <c r="BM23" i="123"/>
  <c r="BL23" i="123"/>
  <c r="BH23" i="123"/>
  <c r="BD23" i="123"/>
  <c r="BF23" i="123" s="1"/>
  <c r="AZ23" i="123"/>
  <c r="AJ23" i="123" s="1"/>
  <c r="AS23" i="123"/>
  <c r="AU23" i="123" s="1"/>
  <c r="AO23" i="123"/>
  <c r="AK23" i="123" s="1"/>
  <c r="AM23" i="123"/>
  <c r="AB23" i="123"/>
  <c r="AA23" i="123"/>
  <c r="O23" i="123"/>
  <c r="BM22" i="123"/>
  <c r="BN22" i="123" s="1"/>
  <c r="BL22" i="123"/>
  <c r="BO23" i="123" s="1"/>
  <c r="BH22" i="123"/>
  <c r="BJ22" i="123" s="1"/>
  <c r="BD22" i="123"/>
  <c r="BF22" i="123" s="1"/>
  <c r="BB22" i="123"/>
  <c r="AZ22" i="123"/>
  <c r="AS22" i="123"/>
  <c r="AU22" i="123" s="1"/>
  <c r="AO22" i="123"/>
  <c r="AK22" i="123" s="1"/>
  <c r="AM22" i="123"/>
  <c r="AJ22" i="123"/>
  <c r="AH22" i="123"/>
  <c r="AP22" i="123" s="1"/>
  <c r="AB22" i="123"/>
  <c r="AA22" i="123"/>
  <c r="O22" i="123"/>
  <c r="AI21" i="123"/>
  <c r="Q21" i="123"/>
  <c r="Q46" i="123" s="1"/>
  <c r="N21" i="123"/>
  <c r="M21" i="123"/>
  <c r="L21" i="123"/>
  <c r="K21" i="123"/>
  <c r="I21" i="123"/>
  <c r="H21" i="123"/>
  <c r="G21" i="123"/>
  <c r="F21" i="123"/>
  <c r="E21" i="123"/>
  <c r="BM20" i="123"/>
  <c r="BL20" i="123"/>
  <c r="BH20" i="123"/>
  <c r="BD20" i="123"/>
  <c r="BF20" i="123" s="1"/>
  <c r="AZ20" i="123"/>
  <c r="AS20" i="123"/>
  <c r="AU20" i="123" s="1"/>
  <c r="AO20" i="123"/>
  <c r="AK20" i="123" s="1"/>
  <c r="AM20" i="123"/>
  <c r="AB20" i="123"/>
  <c r="AA20" i="123"/>
  <c r="O20" i="123"/>
  <c r="BM19" i="123"/>
  <c r="BN19" i="123" s="1"/>
  <c r="BL19" i="123"/>
  <c r="BH19" i="123"/>
  <c r="BD19" i="123"/>
  <c r="BF19" i="123" s="1"/>
  <c r="AZ19" i="123"/>
  <c r="AJ19" i="123" s="1"/>
  <c r="AS19" i="123"/>
  <c r="AU19" i="123" s="1"/>
  <c r="AO19" i="123"/>
  <c r="AK19" i="123" s="1"/>
  <c r="AM19" i="123"/>
  <c r="AB19" i="123"/>
  <c r="AA19" i="123"/>
  <c r="O19" i="123"/>
  <c r="BM18" i="123"/>
  <c r="BN18" i="123" s="1"/>
  <c r="BL18" i="123"/>
  <c r="BH18" i="123"/>
  <c r="BD18" i="123"/>
  <c r="BF18" i="123" s="1"/>
  <c r="AZ18" i="123"/>
  <c r="AJ18" i="123" s="1"/>
  <c r="AS18" i="123"/>
  <c r="AU18" i="123" s="1"/>
  <c r="AO18" i="123"/>
  <c r="AK18" i="123" s="1"/>
  <c r="AM18" i="123"/>
  <c r="AB18" i="123"/>
  <c r="AA18" i="123"/>
  <c r="O18" i="123"/>
  <c r="BM17" i="123"/>
  <c r="BL17" i="123"/>
  <c r="BH17" i="123"/>
  <c r="BD17" i="123"/>
  <c r="BF17" i="123" s="1"/>
  <c r="AZ17" i="123"/>
  <c r="BB17" i="123" s="1"/>
  <c r="AS17" i="123"/>
  <c r="AU17" i="123" s="1"/>
  <c r="AO17" i="123"/>
  <c r="AK17" i="123" s="1"/>
  <c r="AM17" i="123"/>
  <c r="AB17" i="123"/>
  <c r="AA17" i="123"/>
  <c r="O17" i="123"/>
  <c r="BM16" i="123"/>
  <c r="BN16" i="123" s="1"/>
  <c r="BL16" i="123"/>
  <c r="BH16" i="123"/>
  <c r="BD16" i="123"/>
  <c r="BF16" i="123" s="1"/>
  <c r="AZ16" i="123"/>
  <c r="AS16" i="123"/>
  <c r="AU16" i="123" s="1"/>
  <c r="AO16" i="123"/>
  <c r="AK16" i="123" s="1"/>
  <c r="AM16" i="123"/>
  <c r="AB16" i="123"/>
  <c r="AA16" i="123"/>
  <c r="O16" i="123"/>
  <c r="BM15" i="123"/>
  <c r="BL15" i="123"/>
  <c r="BH15" i="123"/>
  <c r="BD15" i="123"/>
  <c r="BF15" i="123" s="1"/>
  <c r="AZ15" i="123"/>
  <c r="AJ15" i="123" s="1"/>
  <c r="AS15" i="123"/>
  <c r="AU15" i="123" s="1"/>
  <c r="AO15" i="123"/>
  <c r="AK15" i="123" s="1"/>
  <c r="AM15" i="123"/>
  <c r="AB15" i="123"/>
  <c r="AA15" i="123"/>
  <c r="O15" i="123"/>
  <c r="BM14" i="123"/>
  <c r="BO14" i="123" s="1"/>
  <c r="BL14" i="123"/>
  <c r="BH14" i="123"/>
  <c r="BJ14" i="123" s="1"/>
  <c r="AZ14" i="123"/>
  <c r="BB14" i="123" s="1"/>
  <c r="AS14" i="123"/>
  <c r="AU14" i="123" s="1"/>
  <c r="AO14" i="123"/>
  <c r="AM14" i="123"/>
  <c r="AH14" i="123"/>
  <c r="AB14" i="123"/>
  <c r="AA14" i="123"/>
  <c r="O14" i="123"/>
  <c r="AM13" i="123"/>
  <c r="AJ13" i="123" s="1"/>
  <c r="AK13" i="123"/>
  <c r="W11" i="123"/>
  <c r="AF21" i="123" s="1"/>
  <c r="E11" i="123"/>
  <c r="C8" i="123"/>
  <c r="C7" i="123"/>
  <c r="C6" i="123"/>
  <c r="O7" i="122"/>
  <c r="X46" i="122"/>
  <c r="AI45" i="122"/>
  <c r="Q45" i="122"/>
  <c r="N45" i="122"/>
  <c r="M45" i="122"/>
  <c r="L45" i="122"/>
  <c r="K45" i="122"/>
  <c r="I45" i="122"/>
  <c r="H45" i="122"/>
  <c r="G45" i="122"/>
  <c r="F45" i="122"/>
  <c r="E45" i="122"/>
  <c r="S45" i="122" s="1"/>
  <c r="BM44" i="122"/>
  <c r="BP44" i="122" s="1"/>
  <c r="BL44" i="122"/>
  <c r="BH44" i="122"/>
  <c r="BK44" i="122" s="1"/>
  <c r="V44" i="122" s="1"/>
  <c r="BF44" i="122"/>
  <c r="BD44" i="122"/>
  <c r="AZ44" i="122"/>
  <c r="AS44" i="122"/>
  <c r="AU44" i="122" s="1"/>
  <c r="AO44" i="122"/>
  <c r="AK44" i="122" s="1"/>
  <c r="AM44" i="122"/>
  <c r="AB44" i="122"/>
  <c r="AA44" i="122"/>
  <c r="O44" i="122"/>
  <c r="BM43" i="122"/>
  <c r="BN43" i="122" s="1"/>
  <c r="BL43" i="122"/>
  <c r="BJ44" i="122" s="1"/>
  <c r="BH43" i="122"/>
  <c r="BF43" i="122"/>
  <c r="BD43" i="122"/>
  <c r="AZ43" i="122"/>
  <c r="BB43" i="122" s="1"/>
  <c r="AS43" i="122"/>
  <c r="AU43" i="122" s="1"/>
  <c r="AO43" i="122"/>
  <c r="AK43" i="122" s="1"/>
  <c r="AM43" i="122"/>
  <c r="AB43" i="122"/>
  <c r="AA43" i="122"/>
  <c r="O43" i="122"/>
  <c r="BM42" i="122"/>
  <c r="BN42" i="122" s="1"/>
  <c r="BL42" i="122"/>
  <c r="BH42" i="122"/>
  <c r="BK42" i="122" s="1"/>
  <c r="V42" i="122" s="1"/>
  <c r="BF42" i="122"/>
  <c r="BD42" i="122"/>
  <c r="AZ42" i="122"/>
  <c r="AS42" i="122"/>
  <c r="AU42" i="122" s="1"/>
  <c r="AO42" i="122"/>
  <c r="AK42" i="122" s="1"/>
  <c r="AM42" i="122"/>
  <c r="AB42" i="122"/>
  <c r="AA42" i="122"/>
  <c r="O42" i="122"/>
  <c r="BM41" i="122"/>
  <c r="BO41" i="122" s="1"/>
  <c r="BL41" i="122"/>
  <c r="BJ41" i="122"/>
  <c r="BH41" i="122"/>
  <c r="BD41" i="122"/>
  <c r="BF41" i="122" s="1"/>
  <c r="AZ41" i="122"/>
  <c r="AU41" i="122"/>
  <c r="AS41" i="122"/>
  <c r="AO41" i="122"/>
  <c r="AK41" i="122" s="1"/>
  <c r="AM41" i="122"/>
  <c r="AB41" i="122"/>
  <c r="AA41" i="122"/>
  <c r="O41" i="122"/>
  <c r="BM40" i="122"/>
  <c r="BL40" i="122"/>
  <c r="BH40" i="122"/>
  <c r="BK40" i="122" s="1"/>
  <c r="V40" i="122" s="1"/>
  <c r="BD40" i="122"/>
  <c r="BF40" i="122" s="1"/>
  <c r="AZ40" i="122"/>
  <c r="AJ40" i="122" s="1"/>
  <c r="AS40" i="122"/>
  <c r="AU40" i="122" s="1"/>
  <c r="AO40" i="122"/>
  <c r="AK40" i="122" s="1"/>
  <c r="AM40" i="122"/>
  <c r="AB40" i="122"/>
  <c r="AA40" i="122"/>
  <c r="O40" i="122"/>
  <c r="BO39" i="122"/>
  <c r="BN39" i="122"/>
  <c r="BM39" i="122"/>
  <c r="BL39" i="122"/>
  <c r="BJ40" i="122" s="1"/>
  <c r="BH39" i="122"/>
  <c r="BJ39" i="122" s="1"/>
  <c r="U39" i="122" s="1"/>
  <c r="BF39" i="122"/>
  <c r="BD39" i="122"/>
  <c r="AZ39" i="122"/>
  <c r="BB39" i="122" s="1"/>
  <c r="AT39" i="122"/>
  <c r="AS39" i="122"/>
  <c r="AU39" i="122" s="1"/>
  <c r="AO39" i="122"/>
  <c r="AK39" i="122" s="1"/>
  <c r="AM39" i="122"/>
  <c r="AJ39" i="122"/>
  <c r="AB39" i="122"/>
  <c r="AA39" i="122"/>
  <c r="O39" i="122"/>
  <c r="BM38" i="122"/>
  <c r="BO38" i="122" s="1"/>
  <c r="BL38" i="122"/>
  <c r="BI38" i="122"/>
  <c r="BH38" i="122"/>
  <c r="BD38" i="122"/>
  <c r="BF38" i="122" s="1"/>
  <c r="BC38" i="122"/>
  <c r="BB38" i="122"/>
  <c r="BA38" i="122"/>
  <c r="AZ38" i="122"/>
  <c r="AS38" i="122"/>
  <c r="AU38" i="122" s="1"/>
  <c r="AR38" i="122"/>
  <c r="AO38" i="122"/>
  <c r="AK38" i="122" s="1"/>
  <c r="AM38" i="122"/>
  <c r="AJ38" i="122"/>
  <c r="AI38" i="122"/>
  <c r="AV38" i="122" s="1"/>
  <c r="AW38" i="122" s="1"/>
  <c r="AH38" i="122"/>
  <c r="AP38" i="122" s="1"/>
  <c r="AB38" i="122"/>
  <c r="AA38" i="122"/>
  <c r="O38" i="122"/>
  <c r="AI37" i="122"/>
  <c r="Q37" i="122"/>
  <c r="N37" i="122"/>
  <c r="M37" i="122"/>
  <c r="L37" i="122"/>
  <c r="K37" i="122"/>
  <c r="I37" i="122"/>
  <c r="H37" i="122"/>
  <c r="G37" i="122"/>
  <c r="F37" i="122"/>
  <c r="E37" i="122"/>
  <c r="BM36" i="122"/>
  <c r="BN36" i="122" s="1"/>
  <c r="BL36" i="122"/>
  <c r="BH36" i="122"/>
  <c r="BD36" i="122"/>
  <c r="BF36" i="122" s="1"/>
  <c r="AZ36" i="122"/>
  <c r="BB36" i="122" s="1"/>
  <c r="AS36" i="122"/>
  <c r="AU36" i="122" s="1"/>
  <c r="AO36" i="122"/>
  <c r="AK36" i="122" s="1"/>
  <c r="AM36" i="122"/>
  <c r="AJ36" i="122"/>
  <c r="AB36" i="122"/>
  <c r="AA36" i="122"/>
  <c r="O36" i="122"/>
  <c r="BM35" i="122"/>
  <c r="BN35" i="122" s="1"/>
  <c r="BL35" i="122"/>
  <c r="BH35" i="122"/>
  <c r="BD35" i="122"/>
  <c r="BF35" i="122" s="1"/>
  <c r="AZ35" i="122"/>
  <c r="BB35" i="122" s="1"/>
  <c r="AS35" i="122"/>
  <c r="AU35" i="122" s="1"/>
  <c r="AO35" i="122"/>
  <c r="AK35" i="122" s="1"/>
  <c r="AM35" i="122"/>
  <c r="AB35" i="122"/>
  <c r="AA35" i="122"/>
  <c r="O35" i="122"/>
  <c r="BM34" i="122"/>
  <c r="BN34" i="122" s="1"/>
  <c r="BL34" i="122"/>
  <c r="BH34" i="122"/>
  <c r="BD34" i="122"/>
  <c r="BF34" i="122" s="1"/>
  <c r="AZ34" i="122"/>
  <c r="BB34" i="122" s="1"/>
  <c r="AS34" i="122"/>
  <c r="AU34" i="122" s="1"/>
  <c r="AO34" i="122"/>
  <c r="AK34" i="122" s="1"/>
  <c r="AM34" i="122"/>
  <c r="AB34" i="122"/>
  <c r="AA34" i="122"/>
  <c r="O34" i="122"/>
  <c r="BM33" i="122"/>
  <c r="BN33" i="122" s="1"/>
  <c r="BL33" i="122"/>
  <c r="BH33" i="122"/>
  <c r="BD33" i="122"/>
  <c r="BF33" i="122" s="1"/>
  <c r="AZ33" i="122"/>
  <c r="BB33" i="122" s="1"/>
  <c r="AS33" i="122"/>
  <c r="AU33" i="122" s="1"/>
  <c r="AO33" i="122"/>
  <c r="AK33" i="122" s="1"/>
  <c r="AM33" i="122"/>
  <c r="AB33" i="122"/>
  <c r="AA33" i="122"/>
  <c r="O33" i="122"/>
  <c r="BM32" i="122"/>
  <c r="BL32" i="122"/>
  <c r="BH32" i="122"/>
  <c r="BD32" i="122"/>
  <c r="BF32" i="122" s="1"/>
  <c r="AZ32" i="122"/>
  <c r="BB32" i="122" s="1"/>
  <c r="AS32" i="122"/>
  <c r="AU32" i="122" s="1"/>
  <c r="AO32" i="122"/>
  <c r="AK32" i="122" s="1"/>
  <c r="AM32" i="122"/>
  <c r="AB32" i="122"/>
  <c r="AA32" i="122"/>
  <c r="O32" i="122"/>
  <c r="BM31" i="122"/>
  <c r="BN31" i="122" s="1"/>
  <c r="BL31" i="122"/>
  <c r="BH31" i="122"/>
  <c r="BD31" i="122"/>
  <c r="BF31" i="122" s="1"/>
  <c r="AZ31" i="122"/>
  <c r="AS31" i="122"/>
  <c r="AU31" i="122" s="1"/>
  <c r="AO31" i="122"/>
  <c r="AK31" i="122" s="1"/>
  <c r="AM31" i="122"/>
  <c r="AB31" i="122"/>
  <c r="AA31" i="122"/>
  <c r="O31" i="122"/>
  <c r="BM30" i="122"/>
  <c r="BO30" i="122" s="1"/>
  <c r="BL30" i="122"/>
  <c r="BH30" i="122"/>
  <c r="BJ30" i="122" s="1"/>
  <c r="AZ30" i="122"/>
  <c r="BB30" i="122" s="1"/>
  <c r="AS30" i="122"/>
  <c r="AU30" i="122" s="1"/>
  <c r="AO30" i="122"/>
  <c r="AM30" i="122"/>
  <c r="AH30" i="122"/>
  <c r="AR30" i="122" s="1"/>
  <c r="AB30" i="122"/>
  <c r="AA30" i="122"/>
  <c r="O30" i="122"/>
  <c r="AI29" i="122"/>
  <c r="Q29" i="122"/>
  <c r="N29" i="122"/>
  <c r="M29" i="122"/>
  <c r="L29" i="122"/>
  <c r="K29" i="122"/>
  <c r="I29" i="122"/>
  <c r="H29" i="122"/>
  <c r="G29" i="122"/>
  <c r="F29" i="122"/>
  <c r="E29" i="122"/>
  <c r="BM28" i="122"/>
  <c r="BN28" i="122" s="1"/>
  <c r="BL28" i="122"/>
  <c r="BH28" i="122"/>
  <c r="BD28" i="122"/>
  <c r="BF28" i="122" s="1"/>
  <c r="AZ28" i="122"/>
  <c r="AS28" i="122"/>
  <c r="AU28" i="122" s="1"/>
  <c r="AO28" i="122"/>
  <c r="AK28" i="122" s="1"/>
  <c r="AM28" i="122"/>
  <c r="AB28" i="122"/>
  <c r="AA28" i="122"/>
  <c r="O28" i="122"/>
  <c r="BM27" i="122"/>
  <c r="BL27" i="122"/>
  <c r="BH27" i="122"/>
  <c r="BD27" i="122"/>
  <c r="BF27" i="122" s="1"/>
  <c r="AZ27" i="122"/>
  <c r="BB27" i="122" s="1"/>
  <c r="AS27" i="122"/>
  <c r="AU27" i="122" s="1"/>
  <c r="AO27" i="122"/>
  <c r="AM27" i="122"/>
  <c r="AK27" i="122"/>
  <c r="AB27" i="122"/>
  <c r="AA27" i="122"/>
  <c r="O27" i="122"/>
  <c r="BM26" i="122"/>
  <c r="BL26" i="122"/>
  <c r="BH26" i="122"/>
  <c r="BD26" i="122"/>
  <c r="BF26" i="122" s="1"/>
  <c r="AZ26" i="122"/>
  <c r="AJ26" i="122" s="1"/>
  <c r="AS26" i="122"/>
  <c r="AU26" i="122" s="1"/>
  <c r="AO26" i="122"/>
  <c r="AM26" i="122"/>
  <c r="AK26" i="122"/>
  <c r="AB26" i="122"/>
  <c r="AA26" i="122"/>
  <c r="O26" i="122"/>
  <c r="BM25" i="122"/>
  <c r="BN25" i="122" s="1"/>
  <c r="BL25" i="122"/>
  <c r="BH25" i="122"/>
  <c r="BD25" i="122"/>
  <c r="BF25" i="122" s="1"/>
  <c r="BB25" i="122"/>
  <c r="AZ25" i="122"/>
  <c r="AS25" i="122"/>
  <c r="AU25" i="122" s="1"/>
  <c r="AO25" i="122"/>
  <c r="AK25" i="122" s="1"/>
  <c r="AM25" i="122"/>
  <c r="AJ25" i="122"/>
  <c r="AB25" i="122"/>
  <c r="AA25" i="122"/>
  <c r="O25" i="122"/>
  <c r="BM24" i="122"/>
  <c r="BN24" i="122" s="1"/>
  <c r="BL24" i="122"/>
  <c r="BH24" i="122"/>
  <c r="BD24" i="122"/>
  <c r="BF24" i="122" s="1"/>
  <c r="BB24" i="122"/>
  <c r="AZ24" i="122"/>
  <c r="AS24" i="122"/>
  <c r="AU24" i="122" s="1"/>
  <c r="AO24" i="122"/>
  <c r="AM24" i="122"/>
  <c r="AK24" i="122"/>
  <c r="AJ24" i="122"/>
  <c r="AB24" i="122"/>
  <c r="AA24" i="122"/>
  <c r="O24" i="122"/>
  <c r="BM23" i="122"/>
  <c r="BL23" i="122"/>
  <c r="BO24" i="122" s="1"/>
  <c r="BH23" i="122"/>
  <c r="BD23" i="122"/>
  <c r="BF23" i="122" s="1"/>
  <c r="BB23" i="122"/>
  <c r="AZ23" i="122"/>
  <c r="AJ23" i="122" s="1"/>
  <c r="AS23" i="122"/>
  <c r="AU23" i="122" s="1"/>
  <c r="AO23" i="122"/>
  <c r="AM23" i="122"/>
  <c r="AB23" i="122"/>
  <c r="AA23" i="122"/>
  <c r="O23" i="122"/>
  <c r="BM22" i="122"/>
  <c r="BO22" i="122" s="1"/>
  <c r="BL22" i="122"/>
  <c r="BH22" i="122"/>
  <c r="BJ22" i="122" s="1"/>
  <c r="BD22" i="122"/>
  <c r="BF22" i="122" s="1"/>
  <c r="AZ22" i="122"/>
  <c r="BB22" i="122" s="1"/>
  <c r="AS22" i="122"/>
  <c r="AU22" i="122" s="1"/>
  <c r="AO22" i="122"/>
  <c r="AM22" i="122"/>
  <c r="AK22" i="122"/>
  <c r="AJ22" i="122"/>
  <c r="AH22" i="122"/>
  <c r="AP22" i="122" s="1"/>
  <c r="AB22" i="122"/>
  <c r="AA22" i="122"/>
  <c r="O22" i="122"/>
  <c r="AI21" i="122"/>
  <c r="Q21" i="122"/>
  <c r="N21" i="122"/>
  <c r="M21" i="122"/>
  <c r="L21" i="122"/>
  <c r="K21" i="122"/>
  <c r="I21" i="122"/>
  <c r="H21" i="122"/>
  <c r="G21" i="122"/>
  <c r="F21" i="122"/>
  <c r="E21" i="122"/>
  <c r="BM20" i="122"/>
  <c r="BL20" i="122"/>
  <c r="BH20" i="122"/>
  <c r="BD20" i="122"/>
  <c r="BF20" i="122" s="1"/>
  <c r="AZ20" i="122"/>
  <c r="AS20" i="122"/>
  <c r="AU20" i="122" s="1"/>
  <c r="AO20" i="122"/>
  <c r="AK20" i="122" s="1"/>
  <c r="AM20" i="122"/>
  <c r="AB20" i="122"/>
  <c r="AA20" i="122"/>
  <c r="O20" i="122"/>
  <c r="BM19" i="122"/>
  <c r="BN19" i="122" s="1"/>
  <c r="BL19" i="122"/>
  <c r="BJ20" i="122" s="1"/>
  <c r="BH19" i="122"/>
  <c r="BD19" i="122"/>
  <c r="BF19" i="122" s="1"/>
  <c r="AZ19" i="122"/>
  <c r="AJ19" i="122" s="1"/>
  <c r="AS19" i="122"/>
  <c r="AU19" i="122" s="1"/>
  <c r="AO19" i="122"/>
  <c r="AK19" i="122" s="1"/>
  <c r="AM19" i="122"/>
  <c r="AB19" i="122"/>
  <c r="AA19" i="122"/>
  <c r="O19" i="122"/>
  <c r="BM18" i="122"/>
  <c r="BN18" i="122" s="1"/>
  <c r="BL18" i="122"/>
  <c r="BH18" i="122"/>
  <c r="BD18" i="122"/>
  <c r="BF18" i="122" s="1"/>
  <c r="BB18" i="122"/>
  <c r="AZ18" i="122"/>
  <c r="AJ18" i="122" s="1"/>
  <c r="AS18" i="122"/>
  <c r="AU18" i="122" s="1"/>
  <c r="AO18" i="122"/>
  <c r="AK18" i="122" s="1"/>
  <c r="AM18" i="122"/>
  <c r="AB18" i="122"/>
  <c r="AA18" i="122"/>
  <c r="O18" i="122"/>
  <c r="BM17" i="122"/>
  <c r="BL17" i="122"/>
  <c r="BH17" i="122"/>
  <c r="BD17" i="122"/>
  <c r="BF17" i="122" s="1"/>
  <c r="AZ17" i="122"/>
  <c r="BB17" i="122" s="1"/>
  <c r="AS17" i="122"/>
  <c r="AU17" i="122" s="1"/>
  <c r="AO17" i="122"/>
  <c r="AK17" i="122" s="1"/>
  <c r="AM17" i="122"/>
  <c r="AB17" i="122"/>
  <c r="AA17" i="122"/>
  <c r="O17" i="122"/>
  <c r="BM16" i="122"/>
  <c r="BN16" i="122" s="1"/>
  <c r="BL16" i="122"/>
  <c r="BH16" i="122"/>
  <c r="BD16" i="122"/>
  <c r="BF16" i="122" s="1"/>
  <c r="AZ16" i="122"/>
  <c r="AS16" i="122"/>
  <c r="AU16" i="122" s="1"/>
  <c r="AO16" i="122"/>
  <c r="AK16" i="122" s="1"/>
  <c r="AM16" i="122"/>
  <c r="AB16" i="122"/>
  <c r="AA16" i="122"/>
  <c r="O16" i="122"/>
  <c r="BM15" i="122"/>
  <c r="BL15" i="122"/>
  <c r="BH15" i="122"/>
  <c r="BD15" i="122"/>
  <c r="BF15" i="122" s="1"/>
  <c r="AZ15" i="122"/>
  <c r="AJ15" i="122" s="1"/>
  <c r="AS15" i="122"/>
  <c r="AU15" i="122" s="1"/>
  <c r="AO15" i="122"/>
  <c r="AK15" i="122" s="1"/>
  <c r="AM15" i="122"/>
  <c r="AB15" i="122"/>
  <c r="AA15" i="122"/>
  <c r="O15" i="122"/>
  <c r="BM14" i="122"/>
  <c r="BN14" i="122" s="1"/>
  <c r="BL14" i="122"/>
  <c r="BH14" i="122"/>
  <c r="BJ14" i="122" s="1"/>
  <c r="AZ14" i="122"/>
  <c r="BB14" i="122" s="1"/>
  <c r="AS14" i="122"/>
  <c r="AU14" i="122" s="1"/>
  <c r="AO14" i="122"/>
  <c r="AM14" i="122"/>
  <c r="AH14" i="122"/>
  <c r="BE15" i="122" s="1"/>
  <c r="AB14" i="122"/>
  <c r="AA14" i="122"/>
  <c r="O14" i="122"/>
  <c r="AM13" i="122"/>
  <c r="AJ13" i="122" s="1"/>
  <c r="W11" i="122"/>
  <c r="AF37" i="122" s="1"/>
  <c r="E11" i="122"/>
  <c r="AG37" i="122" s="1"/>
  <c r="C8" i="122"/>
  <c r="C7" i="122"/>
  <c r="C6" i="122"/>
  <c r="O7" i="121"/>
  <c r="X46" i="121"/>
  <c r="AI45" i="121"/>
  <c r="Q45" i="121"/>
  <c r="N45" i="121"/>
  <c r="M45" i="121"/>
  <c r="L45" i="121"/>
  <c r="K45" i="121"/>
  <c r="I45" i="121"/>
  <c r="H45" i="121"/>
  <c r="G45" i="121"/>
  <c r="F45" i="121"/>
  <c r="E45" i="121"/>
  <c r="S45" i="121" s="1"/>
  <c r="BN44" i="121"/>
  <c r="BM44" i="121"/>
  <c r="BL44" i="121"/>
  <c r="BH44" i="121"/>
  <c r="BJ44" i="121" s="1"/>
  <c r="U44" i="121" s="1"/>
  <c r="BD44" i="121"/>
  <c r="BF44" i="121" s="1"/>
  <c r="AZ44" i="121"/>
  <c r="AJ44" i="121" s="1"/>
  <c r="AS44" i="121"/>
  <c r="AU44" i="121" s="1"/>
  <c r="AO44" i="121"/>
  <c r="AK44" i="121" s="1"/>
  <c r="AM44" i="121"/>
  <c r="AB44" i="121"/>
  <c r="AA44" i="121"/>
  <c r="O44" i="121"/>
  <c r="BN43" i="121"/>
  <c r="BM43" i="121"/>
  <c r="BL43" i="121"/>
  <c r="BP43" i="121" s="1"/>
  <c r="BH43" i="121"/>
  <c r="BK43" i="121" s="1"/>
  <c r="V43" i="121" s="1"/>
  <c r="BD43" i="121"/>
  <c r="BF43" i="121" s="1"/>
  <c r="AZ43" i="121"/>
  <c r="BB43" i="121" s="1"/>
  <c r="AS43" i="121"/>
  <c r="AU43" i="121" s="1"/>
  <c r="AO43" i="121"/>
  <c r="AK43" i="121" s="1"/>
  <c r="AM43" i="121"/>
  <c r="AJ43" i="121"/>
  <c r="AB43" i="121"/>
  <c r="AA43" i="121"/>
  <c r="O43" i="121"/>
  <c r="BM42" i="121"/>
  <c r="BO42" i="121" s="1"/>
  <c r="BL42" i="121"/>
  <c r="BH42" i="121"/>
  <c r="BD42" i="121"/>
  <c r="BF42" i="121" s="1"/>
  <c r="AZ42" i="121"/>
  <c r="BB42" i="121" s="1"/>
  <c r="AS42" i="121"/>
  <c r="AU42" i="121" s="1"/>
  <c r="AO42" i="121"/>
  <c r="AM42" i="121"/>
  <c r="AK42" i="121"/>
  <c r="AJ42" i="121"/>
  <c r="AB42" i="121"/>
  <c r="AA42" i="121"/>
  <c r="O42" i="121"/>
  <c r="BM41" i="121"/>
  <c r="BL41" i="121"/>
  <c r="BH41" i="121"/>
  <c r="BK41" i="121" s="1"/>
  <c r="V41" i="121" s="1"/>
  <c r="BD41" i="121"/>
  <c r="BF41" i="121" s="1"/>
  <c r="AZ41" i="121"/>
  <c r="AU41" i="121"/>
  <c r="AS41" i="121"/>
  <c r="AO41" i="121"/>
  <c r="AM41" i="121"/>
  <c r="AK41" i="121"/>
  <c r="AB41" i="121"/>
  <c r="AA41" i="121"/>
  <c r="O41" i="121"/>
  <c r="BM40" i="121"/>
  <c r="BL40" i="121"/>
  <c r="BJ41" i="121" s="1"/>
  <c r="BJ40" i="121"/>
  <c r="BH40" i="121"/>
  <c r="BK40" i="121" s="1"/>
  <c r="V40" i="121" s="1"/>
  <c r="BD40" i="121"/>
  <c r="BF40" i="121" s="1"/>
  <c r="BB40" i="121"/>
  <c r="AZ40" i="121"/>
  <c r="AJ40" i="121" s="1"/>
  <c r="AS40" i="121"/>
  <c r="AU40" i="121" s="1"/>
  <c r="AO40" i="121"/>
  <c r="AK40" i="121" s="1"/>
  <c r="AM40" i="121"/>
  <c r="AB40" i="121"/>
  <c r="AA40" i="121"/>
  <c r="O40" i="121"/>
  <c r="BO39" i="121"/>
  <c r="BM39" i="121"/>
  <c r="BN39" i="121" s="1"/>
  <c r="BL39" i="121"/>
  <c r="BO40" i="121" s="1"/>
  <c r="BK39" i="121"/>
  <c r="V39" i="121" s="1"/>
  <c r="BH39" i="121"/>
  <c r="BF39" i="121"/>
  <c r="BD39" i="121"/>
  <c r="AZ39" i="121"/>
  <c r="BB39" i="121" s="1"/>
  <c r="AS39" i="121"/>
  <c r="AU39" i="121" s="1"/>
  <c r="AO39" i="121"/>
  <c r="AK39" i="121" s="1"/>
  <c r="AM39" i="121"/>
  <c r="AB39" i="121"/>
  <c r="AA39" i="121"/>
  <c r="O39" i="121"/>
  <c r="BM38" i="121"/>
  <c r="BO38" i="121" s="1"/>
  <c r="BL38" i="121"/>
  <c r="BH38" i="121"/>
  <c r="BD38" i="121"/>
  <c r="BF38" i="121" s="1"/>
  <c r="AZ38" i="121"/>
  <c r="BB38" i="121" s="1"/>
  <c r="AS38" i="121"/>
  <c r="AU38" i="121" s="1"/>
  <c r="AO38" i="121"/>
  <c r="AK38" i="121" s="1"/>
  <c r="AM38" i="121"/>
  <c r="AJ38" i="121"/>
  <c r="AH38" i="121"/>
  <c r="AB38" i="121"/>
  <c r="AA38" i="121"/>
  <c r="O38" i="121"/>
  <c r="AI37" i="121"/>
  <c r="Q37" i="121"/>
  <c r="N37" i="121"/>
  <c r="M37" i="121"/>
  <c r="L37" i="121"/>
  <c r="K37" i="121"/>
  <c r="I37" i="121"/>
  <c r="H37" i="121"/>
  <c r="G37" i="121"/>
  <c r="F37" i="121"/>
  <c r="E37" i="121"/>
  <c r="BM36" i="121"/>
  <c r="BN36" i="121" s="1"/>
  <c r="BL36" i="121"/>
  <c r="BP36" i="121" s="1"/>
  <c r="BH36" i="121"/>
  <c r="BD36" i="121"/>
  <c r="BF36" i="121" s="1"/>
  <c r="BB36" i="121"/>
  <c r="AZ36" i="121"/>
  <c r="AS36" i="121"/>
  <c r="AU36" i="121" s="1"/>
  <c r="AO36" i="121"/>
  <c r="AK36" i="121" s="1"/>
  <c r="AM36" i="121"/>
  <c r="AJ36" i="121"/>
  <c r="AB36" i="121"/>
  <c r="AA36" i="121"/>
  <c r="O36" i="121"/>
  <c r="BM35" i="121"/>
  <c r="BL35" i="121"/>
  <c r="BH35" i="121"/>
  <c r="BD35" i="121"/>
  <c r="BF35" i="121" s="1"/>
  <c r="AZ35" i="121"/>
  <c r="AS35" i="121"/>
  <c r="AU35" i="121" s="1"/>
  <c r="AO35" i="121"/>
  <c r="AK35" i="121" s="1"/>
  <c r="AM35" i="121"/>
  <c r="AB35" i="121"/>
  <c r="AA35" i="121"/>
  <c r="O35" i="121"/>
  <c r="BM34" i="121"/>
  <c r="BN34" i="121" s="1"/>
  <c r="BL34" i="121"/>
  <c r="BH34" i="121"/>
  <c r="BD34" i="121"/>
  <c r="BF34" i="121" s="1"/>
  <c r="AZ34" i="121"/>
  <c r="AS34" i="121"/>
  <c r="AU34" i="121" s="1"/>
  <c r="AO34" i="121"/>
  <c r="AK34" i="121" s="1"/>
  <c r="AM34" i="121"/>
  <c r="AB34" i="121"/>
  <c r="AA34" i="121"/>
  <c r="O34" i="121"/>
  <c r="BM33" i="121"/>
  <c r="BN33" i="121" s="1"/>
  <c r="BL33" i="121"/>
  <c r="BH33" i="121"/>
  <c r="BD33" i="121"/>
  <c r="BF33" i="121" s="1"/>
  <c r="AZ33" i="121"/>
  <c r="AS33" i="121"/>
  <c r="AU33" i="121" s="1"/>
  <c r="AO33" i="121"/>
  <c r="AK33" i="121" s="1"/>
  <c r="AM33" i="121"/>
  <c r="AB33" i="121"/>
  <c r="AA33" i="121"/>
  <c r="O33" i="121"/>
  <c r="BM32" i="121"/>
  <c r="BN32" i="121" s="1"/>
  <c r="BL32" i="121"/>
  <c r="BO33" i="121" s="1"/>
  <c r="BH32" i="121"/>
  <c r="BD32" i="121"/>
  <c r="BF32" i="121" s="1"/>
  <c r="AZ32" i="121"/>
  <c r="AJ32" i="121" s="1"/>
  <c r="AS32" i="121"/>
  <c r="AU32" i="121" s="1"/>
  <c r="AO32" i="121"/>
  <c r="AK32" i="121" s="1"/>
  <c r="AM32" i="121"/>
  <c r="AB32" i="121"/>
  <c r="AA32" i="121"/>
  <c r="O32" i="121"/>
  <c r="BM31" i="121"/>
  <c r="BL31" i="121"/>
  <c r="BH31" i="121"/>
  <c r="BD31" i="121"/>
  <c r="BF31" i="121" s="1"/>
  <c r="AZ31" i="121"/>
  <c r="AS31" i="121"/>
  <c r="AU31" i="121" s="1"/>
  <c r="AO31" i="121"/>
  <c r="AK31" i="121" s="1"/>
  <c r="AM31" i="121"/>
  <c r="AB31" i="121"/>
  <c r="AA31" i="121"/>
  <c r="O31" i="121"/>
  <c r="BM30" i="121"/>
  <c r="BL30" i="121"/>
  <c r="BH30" i="121"/>
  <c r="BJ30" i="121" s="1"/>
  <c r="AZ30" i="121"/>
  <c r="BB30" i="121" s="1"/>
  <c r="AS30" i="121"/>
  <c r="AU30" i="121" s="1"/>
  <c r="AO30" i="121"/>
  <c r="AM30" i="121"/>
  <c r="AH30" i="121"/>
  <c r="AR30" i="121" s="1"/>
  <c r="AB30" i="121"/>
  <c r="AA30" i="121"/>
  <c r="O30" i="121"/>
  <c r="AI29" i="121"/>
  <c r="Q29" i="121"/>
  <c r="N29" i="121"/>
  <c r="M29" i="121"/>
  <c r="L29" i="121"/>
  <c r="K29" i="121"/>
  <c r="I29" i="121"/>
  <c r="H29" i="121"/>
  <c r="G29" i="121"/>
  <c r="F29" i="121"/>
  <c r="E29" i="121"/>
  <c r="BM28" i="121"/>
  <c r="BN28" i="121" s="1"/>
  <c r="BL28" i="121"/>
  <c r="BH28" i="121"/>
  <c r="BD28" i="121"/>
  <c r="BF28" i="121" s="1"/>
  <c r="BB28" i="121"/>
  <c r="AZ28" i="121"/>
  <c r="AS28" i="121"/>
  <c r="AU28" i="121" s="1"/>
  <c r="AO28" i="121"/>
  <c r="AK28" i="121" s="1"/>
  <c r="AM28" i="121"/>
  <c r="AJ28" i="121"/>
  <c r="AB28" i="121"/>
  <c r="AA28" i="121"/>
  <c r="O28" i="121"/>
  <c r="BM27" i="121"/>
  <c r="BL27" i="121"/>
  <c r="BH27" i="121"/>
  <c r="AZ27" i="121"/>
  <c r="BB27" i="121" s="1"/>
  <c r="AS27" i="121"/>
  <c r="AU27" i="121" s="1"/>
  <c r="AO27" i="121"/>
  <c r="AM27" i="121"/>
  <c r="AB27" i="121"/>
  <c r="AA27" i="121"/>
  <c r="O27" i="121"/>
  <c r="BM26" i="121"/>
  <c r="BL26" i="121"/>
  <c r="BH26" i="121"/>
  <c r="BD26" i="121"/>
  <c r="BF26" i="121" s="1"/>
  <c r="AZ26" i="121"/>
  <c r="BB26" i="121" s="1"/>
  <c r="AS26" i="121"/>
  <c r="AU26" i="121" s="1"/>
  <c r="AO26" i="121"/>
  <c r="AK26" i="121" s="1"/>
  <c r="AM26" i="121"/>
  <c r="AB26" i="121"/>
  <c r="AA26" i="121"/>
  <c r="O26" i="121"/>
  <c r="BM25" i="121"/>
  <c r="BL25" i="121"/>
  <c r="BH25" i="121"/>
  <c r="BD25" i="121"/>
  <c r="BF25" i="121" s="1"/>
  <c r="AZ25" i="121"/>
  <c r="AS25" i="121"/>
  <c r="AU25" i="121" s="1"/>
  <c r="AO25" i="121"/>
  <c r="AK25" i="121" s="1"/>
  <c r="AM25" i="121"/>
  <c r="AB25" i="121"/>
  <c r="AA25" i="121"/>
  <c r="O25" i="121"/>
  <c r="BM24" i="121"/>
  <c r="BN24" i="121" s="1"/>
  <c r="BL24" i="121"/>
  <c r="BH24" i="121"/>
  <c r="BD24" i="121"/>
  <c r="BF24" i="121" s="1"/>
  <c r="AZ24" i="121"/>
  <c r="AJ24" i="121" s="1"/>
  <c r="AS24" i="121"/>
  <c r="AU24" i="121" s="1"/>
  <c r="AO24" i="121"/>
  <c r="AK24" i="121" s="1"/>
  <c r="AM24" i="121"/>
  <c r="AB24" i="121"/>
  <c r="AA24" i="121"/>
  <c r="O24" i="121"/>
  <c r="BM23" i="121"/>
  <c r="BN23" i="121" s="1"/>
  <c r="BL23" i="121"/>
  <c r="BH23" i="121"/>
  <c r="BK23" i="121" s="1"/>
  <c r="V23" i="121" s="1"/>
  <c r="BD23" i="121"/>
  <c r="BF23" i="121" s="1"/>
  <c r="AZ23" i="121"/>
  <c r="BB23" i="121" s="1"/>
  <c r="AS23" i="121"/>
  <c r="AU23" i="121" s="1"/>
  <c r="AO23" i="121"/>
  <c r="AK23" i="121" s="1"/>
  <c r="AM23" i="121"/>
  <c r="AJ23" i="121"/>
  <c r="AB23" i="121"/>
  <c r="AA23" i="121"/>
  <c r="O23" i="121"/>
  <c r="BM22" i="121"/>
  <c r="BO22" i="121" s="1"/>
  <c r="BL22" i="121"/>
  <c r="BH22" i="121"/>
  <c r="BD22" i="121"/>
  <c r="BF22" i="121" s="1"/>
  <c r="AZ22" i="121"/>
  <c r="AJ22" i="121" s="1"/>
  <c r="AS22" i="121"/>
  <c r="AU22" i="121" s="1"/>
  <c r="AO22" i="121"/>
  <c r="AK22" i="121" s="1"/>
  <c r="AM22" i="121"/>
  <c r="AH22" i="121"/>
  <c r="AB22" i="121"/>
  <c r="AA22" i="121"/>
  <c r="O22" i="121"/>
  <c r="AI21" i="121"/>
  <c r="Q21" i="121"/>
  <c r="N21" i="121"/>
  <c r="M21" i="121"/>
  <c r="L21" i="121"/>
  <c r="K21" i="121"/>
  <c r="I21" i="121"/>
  <c r="H21" i="121"/>
  <c r="G21" i="121"/>
  <c r="F21" i="121"/>
  <c r="E21" i="121"/>
  <c r="BM20" i="121"/>
  <c r="BN20" i="121" s="1"/>
  <c r="BL20" i="121"/>
  <c r="BH20" i="121"/>
  <c r="BD20" i="121"/>
  <c r="BF20" i="121" s="1"/>
  <c r="BB20" i="121"/>
  <c r="AZ20" i="121"/>
  <c r="AS20" i="121"/>
  <c r="AU20" i="121" s="1"/>
  <c r="AO20" i="121"/>
  <c r="AK20" i="121" s="1"/>
  <c r="AM20" i="121"/>
  <c r="AJ20" i="121"/>
  <c r="AB20" i="121"/>
  <c r="AA20" i="121"/>
  <c r="O20" i="121"/>
  <c r="BM19" i="121"/>
  <c r="BN19" i="121" s="1"/>
  <c r="BL19" i="121"/>
  <c r="BH19" i="121"/>
  <c r="BD19" i="121"/>
  <c r="BF19" i="121" s="1"/>
  <c r="BB19" i="121"/>
  <c r="AZ19" i="121"/>
  <c r="AS19" i="121"/>
  <c r="AU19" i="121" s="1"/>
  <c r="AO19" i="121"/>
  <c r="AK19" i="121" s="1"/>
  <c r="AM19" i="121"/>
  <c r="AJ19" i="121"/>
  <c r="AB19" i="121"/>
  <c r="AA19" i="121"/>
  <c r="O19" i="121"/>
  <c r="BM18" i="121"/>
  <c r="BL18" i="121"/>
  <c r="BO19" i="121" s="1"/>
  <c r="BH18" i="121"/>
  <c r="BD18" i="121"/>
  <c r="BF18" i="121" s="1"/>
  <c r="AZ18" i="121"/>
  <c r="BB18" i="121" s="1"/>
  <c r="AS18" i="121"/>
  <c r="AU18" i="121" s="1"/>
  <c r="AO18" i="121"/>
  <c r="AK18" i="121" s="1"/>
  <c r="AM18" i="121"/>
  <c r="AJ18" i="121"/>
  <c r="AB18" i="121"/>
  <c r="AA18" i="121"/>
  <c r="O18" i="121"/>
  <c r="BM17" i="121"/>
  <c r="BL17" i="121"/>
  <c r="BH17" i="121"/>
  <c r="BD17" i="121"/>
  <c r="BF17" i="121" s="1"/>
  <c r="AZ17" i="121"/>
  <c r="AS17" i="121"/>
  <c r="AU17" i="121" s="1"/>
  <c r="AO17" i="121"/>
  <c r="AK17" i="121" s="1"/>
  <c r="AM17" i="121"/>
  <c r="AB17" i="121"/>
  <c r="AA17" i="121"/>
  <c r="O17" i="121"/>
  <c r="BM16" i="121"/>
  <c r="BN16" i="121" s="1"/>
  <c r="BL16" i="121"/>
  <c r="BH16" i="121"/>
  <c r="BD16" i="121"/>
  <c r="BF16" i="121" s="1"/>
  <c r="AZ16" i="121"/>
  <c r="AJ16" i="121" s="1"/>
  <c r="AS16" i="121"/>
  <c r="AU16" i="121" s="1"/>
  <c r="AO16" i="121"/>
  <c r="AK16" i="121" s="1"/>
  <c r="AM16" i="121"/>
  <c r="AB16" i="121"/>
  <c r="AA16" i="121"/>
  <c r="O16" i="121"/>
  <c r="BM15" i="121"/>
  <c r="BN15" i="121" s="1"/>
  <c r="BL15" i="121"/>
  <c r="BO16" i="121" s="1"/>
  <c r="BH15" i="121"/>
  <c r="BD15" i="121"/>
  <c r="BF15" i="121" s="1"/>
  <c r="BB15" i="121"/>
  <c r="AZ15" i="121"/>
  <c r="AJ15" i="121" s="1"/>
  <c r="AS15" i="121"/>
  <c r="AU15" i="121" s="1"/>
  <c r="AO15" i="121"/>
  <c r="AK15" i="121" s="1"/>
  <c r="AM15" i="121"/>
  <c r="AB15" i="121"/>
  <c r="AA15" i="121"/>
  <c r="O15" i="121"/>
  <c r="BM14" i="121"/>
  <c r="BL14" i="121"/>
  <c r="BH14" i="121"/>
  <c r="AZ14" i="121"/>
  <c r="BB14" i="121" s="1"/>
  <c r="AO14" i="121"/>
  <c r="AM14" i="121"/>
  <c r="AH14" i="121"/>
  <c r="AB14" i="121"/>
  <c r="AA14" i="121"/>
  <c r="O14" i="121"/>
  <c r="AM13" i="121"/>
  <c r="AJ13" i="121" s="1"/>
  <c r="AK13" i="121"/>
  <c r="W11" i="121"/>
  <c r="AF21" i="121" s="1"/>
  <c r="E11" i="121"/>
  <c r="AG29" i="121" s="1"/>
  <c r="C8" i="121"/>
  <c r="C7" i="121"/>
  <c r="C6" i="121"/>
  <c r="O7" i="120"/>
  <c r="X46" i="120"/>
  <c r="AI45" i="120"/>
  <c r="Q45" i="120"/>
  <c r="N45" i="120"/>
  <c r="M45" i="120"/>
  <c r="L45" i="120"/>
  <c r="K45" i="120"/>
  <c r="I45" i="120"/>
  <c r="H45" i="120"/>
  <c r="G45" i="120"/>
  <c r="F45" i="120"/>
  <c r="E45" i="120"/>
  <c r="S45" i="120" s="1"/>
  <c r="BM44" i="120"/>
  <c r="BL44" i="120"/>
  <c r="BH44" i="120"/>
  <c r="BD44" i="120"/>
  <c r="BF44" i="120" s="1"/>
  <c r="AZ44" i="120"/>
  <c r="AJ44" i="120" s="1"/>
  <c r="AS44" i="120"/>
  <c r="AU44" i="120" s="1"/>
  <c r="AO44" i="120"/>
  <c r="AK44" i="120" s="1"/>
  <c r="AM44" i="120"/>
  <c r="AB44" i="120"/>
  <c r="AA44" i="120"/>
  <c r="O44" i="120"/>
  <c r="BM43" i="120"/>
  <c r="BP43" i="120" s="1"/>
  <c r="BL43" i="120"/>
  <c r="BH43" i="120"/>
  <c r="BK43" i="120" s="1"/>
  <c r="V43" i="120" s="1"/>
  <c r="BF43" i="120"/>
  <c r="BD43" i="120"/>
  <c r="BB43" i="120"/>
  <c r="AZ43" i="120"/>
  <c r="AJ43" i="120" s="1"/>
  <c r="AS43" i="120"/>
  <c r="AU43" i="120" s="1"/>
  <c r="AO43" i="120"/>
  <c r="AK43" i="120" s="1"/>
  <c r="AM43" i="120"/>
  <c r="AB43" i="120"/>
  <c r="AA43" i="120"/>
  <c r="O43" i="120"/>
  <c r="BM42" i="120"/>
  <c r="BN42" i="120" s="1"/>
  <c r="BL42" i="120"/>
  <c r="BJ43" i="120" s="1"/>
  <c r="BH42" i="120"/>
  <c r="BF42" i="120"/>
  <c r="BD42" i="120"/>
  <c r="AZ42" i="120"/>
  <c r="BB42" i="120" s="1"/>
  <c r="AS42" i="120"/>
  <c r="AU42" i="120" s="1"/>
  <c r="AO42" i="120"/>
  <c r="AK42" i="120" s="1"/>
  <c r="AM42" i="120"/>
  <c r="AB42" i="120"/>
  <c r="AA42" i="120"/>
  <c r="O42" i="120"/>
  <c r="BM41" i="120"/>
  <c r="BL41" i="120"/>
  <c r="BO42" i="120" s="1"/>
  <c r="BH41" i="120"/>
  <c r="BK41" i="120" s="1"/>
  <c r="V41" i="120" s="1"/>
  <c r="BD41" i="120"/>
  <c r="BF41" i="120" s="1"/>
  <c r="AZ41" i="120"/>
  <c r="AU41" i="120"/>
  <c r="AS41" i="120"/>
  <c r="AO41" i="120"/>
  <c r="AK41" i="120" s="1"/>
  <c r="AM41" i="120"/>
  <c r="AB41" i="120"/>
  <c r="AA41" i="120"/>
  <c r="O41" i="120"/>
  <c r="BM40" i="120"/>
  <c r="BP40" i="120" s="1"/>
  <c r="BL40" i="120"/>
  <c r="BH40" i="120"/>
  <c r="BK40" i="120" s="1"/>
  <c r="V40" i="120" s="1"/>
  <c r="BD40" i="120"/>
  <c r="BF40" i="120" s="1"/>
  <c r="AZ40" i="120"/>
  <c r="AJ40" i="120" s="1"/>
  <c r="AU40" i="120"/>
  <c r="AS40" i="120"/>
  <c r="AO40" i="120"/>
  <c r="AM40" i="120"/>
  <c r="AK40" i="120"/>
  <c r="AB40" i="120"/>
  <c r="AA40" i="120"/>
  <c r="O40" i="120"/>
  <c r="BM39" i="120"/>
  <c r="BP39" i="120" s="1"/>
  <c r="BL39" i="120"/>
  <c r="BH39" i="120"/>
  <c r="BK39" i="120" s="1"/>
  <c r="V39" i="120" s="1"/>
  <c r="BD39" i="120"/>
  <c r="BF39" i="120" s="1"/>
  <c r="BB39" i="120"/>
  <c r="AZ39" i="120"/>
  <c r="AJ39" i="120" s="1"/>
  <c r="AS39" i="120"/>
  <c r="AU39" i="120" s="1"/>
  <c r="AO39" i="120"/>
  <c r="AK39" i="120" s="1"/>
  <c r="AM39" i="120"/>
  <c r="AB39" i="120"/>
  <c r="AA39" i="120"/>
  <c r="O39" i="120"/>
  <c r="BO38" i="120"/>
  <c r="BN38" i="120"/>
  <c r="BM38" i="120"/>
  <c r="BL38" i="120"/>
  <c r="BH38" i="120"/>
  <c r="BD38" i="120"/>
  <c r="BF38" i="120" s="1"/>
  <c r="BB38" i="120"/>
  <c r="AZ38" i="120"/>
  <c r="AS38" i="120"/>
  <c r="AU38" i="120" s="1"/>
  <c r="AO38" i="120"/>
  <c r="AM38" i="120"/>
  <c r="AK38" i="120"/>
  <c r="AJ38" i="120"/>
  <c r="AH38" i="120"/>
  <c r="AB38" i="120"/>
  <c r="AA38" i="120"/>
  <c r="O38" i="120"/>
  <c r="AI37" i="120"/>
  <c r="Q37" i="120"/>
  <c r="N37" i="120"/>
  <c r="M37" i="120"/>
  <c r="L37" i="120"/>
  <c r="K37" i="120"/>
  <c r="I37" i="120"/>
  <c r="H37" i="120"/>
  <c r="G37" i="120"/>
  <c r="F37" i="120"/>
  <c r="E37" i="120"/>
  <c r="S37" i="120" s="1"/>
  <c r="BM36" i="120"/>
  <c r="BN36" i="120" s="1"/>
  <c r="BL36" i="120"/>
  <c r="BH36" i="120"/>
  <c r="BD36" i="120"/>
  <c r="BF36" i="120" s="1"/>
  <c r="BB36" i="120"/>
  <c r="AZ36" i="120"/>
  <c r="AJ36" i="120" s="1"/>
  <c r="AS36" i="120"/>
  <c r="AU36" i="120" s="1"/>
  <c r="AO36" i="120"/>
  <c r="AK36" i="120" s="1"/>
  <c r="AM36" i="120"/>
  <c r="AB36" i="120"/>
  <c r="AA36" i="120"/>
  <c r="O36" i="120"/>
  <c r="BN35" i="120"/>
  <c r="BM35" i="120"/>
  <c r="BL35" i="120"/>
  <c r="BH35" i="120"/>
  <c r="BD35" i="120"/>
  <c r="BF35" i="120" s="1"/>
  <c r="AZ35" i="120"/>
  <c r="BB35" i="120" s="1"/>
  <c r="AS35" i="120"/>
  <c r="AU35" i="120" s="1"/>
  <c r="AO35" i="120"/>
  <c r="AK35" i="120" s="1"/>
  <c r="AM35" i="120"/>
  <c r="AJ35" i="120"/>
  <c r="AB35" i="120"/>
  <c r="AA35" i="120"/>
  <c r="O35" i="120"/>
  <c r="BM34" i="120"/>
  <c r="BL34" i="120"/>
  <c r="BO35" i="120" s="1"/>
  <c r="BH34" i="120"/>
  <c r="BD34" i="120"/>
  <c r="BF34" i="120" s="1"/>
  <c r="BB34" i="120"/>
  <c r="AZ34" i="120"/>
  <c r="AS34" i="120"/>
  <c r="AU34" i="120" s="1"/>
  <c r="AO34" i="120"/>
  <c r="AK34" i="120" s="1"/>
  <c r="AM34" i="120"/>
  <c r="AJ34" i="120"/>
  <c r="AB34" i="120"/>
  <c r="AA34" i="120"/>
  <c r="O34" i="120"/>
  <c r="BM33" i="120"/>
  <c r="BL33" i="120"/>
  <c r="BH33" i="120"/>
  <c r="BD33" i="120"/>
  <c r="BF33" i="120" s="1"/>
  <c r="AZ33" i="120"/>
  <c r="AS33" i="120"/>
  <c r="AU33" i="120" s="1"/>
  <c r="AO33" i="120"/>
  <c r="AK33" i="120" s="1"/>
  <c r="AM33" i="120"/>
  <c r="AB33" i="120"/>
  <c r="AA33" i="120"/>
  <c r="O33" i="120"/>
  <c r="BM32" i="120"/>
  <c r="BN32" i="120" s="1"/>
  <c r="BL32" i="120"/>
  <c r="BH32" i="120"/>
  <c r="BD32" i="120"/>
  <c r="BF32" i="120" s="1"/>
  <c r="AZ32" i="120"/>
  <c r="AJ32" i="120" s="1"/>
  <c r="AS32" i="120"/>
  <c r="AU32" i="120" s="1"/>
  <c r="AO32" i="120"/>
  <c r="AK32" i="120" s="1"/>
  <c r="AM32" i="120"/>
  <c r="AB32" i="120"/>
  <c r="AA32" i="120"/>
  <c r="O32" i="120"/>
  <c r="BM31" i="120"/>
  <c r="BN31" i="120" s="1"/>
  <c r="BL31" i="120"/>
  <c r="BH31" i="120"/>
  <c r="BD31" i="120"/>
  <c r="BF31" i="120" s="1"/>
  <c r="BB31" i="120"/>
  <c r="AZ31" i="120"/>
  <c r="AJ31" i="120" s="1"/>
  <c r="AS31" i="120"/>
  <c r="AU31" i="120" s="1"/>
  <c r="AO31" i="120"/>
  <c r="AK31" i="120" s="1"/>
  <c r="AM31" i="120"/>
  <c r="AB31" i="120"/>
  <c r="AA31" i="120"/>
  <c r="O31" i="120"/>
  <c r="BM30" i="120"/>
  <c r="BO30" i="120" s="1"/>
  <c r="BL30" i="120"/>
  <c r="BH30" i="120"/>
  <c r="AZ30" i="120"/>
  <c r="AO30" i="120"/>
  <c r="AM30" i="120"/>
  <c r="AH30" i="120"/>
  <c r="AR30" i="120" s="1"/>
  <c r="AB30" i="120"/>
  <c r="AA30" i="120"/>
  <c r="AI29" i="120"/>
  <c r="Q29" i="120"/>
  <c r="N29" i="120"/>
  <c r="M29" i="120"/>
  <c r="L29" i="120"/>
  <c r="K29" i="120"/>
  <c r="I29" i="120"/>
  <c r="H29" i="120"/>
  <c r="G29" i="120"/>
  <c r="F29" i="120"/>
  <c r="E29" i="120"/>
  <c r="BM28" i="120"/>
  <c r="BL28" i="120"/>
  <c r="BH28" i="120"/>
  <c r="BD28" i="120"/>
  <c r="BF28" i="120" s="1"/>
  <c r="AZ28" i="120"/>
  <c r="AS28" i="120"/>
  <c r="AU28" i="120" s="1"/>
  <c r="AO28" i="120"/>
  <c r="AK28" i="120" s="1"/>
  <c r="AM28" i="120"/>
  <c r="AB28" i="120"/>
  <c r="AA28" i="120"/>
  <c r="O28" i="120"/>
  <c r="BM27" i="120"/>
  <c r="BL27" i="120"/>
  <c r="BH27" i="120"/>
  <c r="AZ27" i="120"/>
  <c r="BB27" i="120" s="1"/>
  <c r="AS27" i="120"/>
  <c r="AU27" i="120" s="1"/>
  <c r="AO27" i="120"/>
  <c r="AM27" i="120"/>
  <c r="AB27" i="120"/>
  <c r="AA27" i="120"/>
  <c r="O27" i="120"/>
  <c r="BM26" i="120"/>
  <c r="BN26" i="120" s="1"/>
  <c r="BL26" i="120"/>
  <c r="BH26" i="120"/>
  <c r="BD26" i="120"/>
  <c r="BF26" i="120" s="1"/>
  <c r="AZ26" i="120"/>
  <c r="BB26" i="120" s="1"/>
  <c r="AS26" i="120"/>
  <c r="AU26" i="120" s="1"/>
  <c r="AO26" i="120"/>
  <c r="AK26" i="120" s="1"/>
  <c r="AM26" i="120"/>
  <c r="AJ26" i="120"/>
  <c r="AB26" i="120"/>
  <c r="AA26" i="120"/>
  <c r="O26" i="120"/>
  <c r="BM25" i="120"/>
  <c r="BL25" i="120"/>
  <c r="BH25" i="120"/>
  <c r="BD25" i="120"/>
  <c r="BF25" i="120" s="1"/>
  <c r="AZ25" i="120"/>
  <c r="BB25" i="120" s="1"/>
  <c r="AS25" i="120"/>
  <c r="AU25" i="120" s="1"/>
  <c r="AO25" i="120"/>
  <c r="AM25" i="120"/>
  <c r="AK25" i="120"/>
  <c r="AJ25" i="120"/>
  <c r="AB25" i="120"/>
  <c r="AA25" i="120"/>
  <c r="O25" i="120"/>
  <c r="BM24" i="120"/>
  <c r="BL24" i="120"/>
  <c r="BH24" i="120"/>
  <c r="BD24" i="120"/>
  <c r="BF24" i="120" s="1"/>
  <c r="AZ24" i="120"/>
  <c r="AS24" i="120"/>
  <c r="AU24" i="120" s="1"/>
  <c r="AO24" i="120"/>
  <c r="AM24" i="120"/>
  <c r="AK24" i="120"/>
  <c r="AB24" i="120"/>
  <c r="AA24" i="120"/>
  <c r="O24" i="120"/>
  <c r="BM23" i="120"/>
  <c r="BL23" i="120"/>
  <c r="BH23" i="120"/>
  <c r="BD23" i="120"/>
  <c r="BF23" i="120" s="1"/>
  <c r="AZ23" i="120"/>
  <c r="AS23" i="120"/>
  <c r="AU23" i="120" s="1"/>
  <c r="AO23" i="120"/>
  <c r="AK23" i="120" s="1"/>
  <c r="AM23" i="120"/>
  <c r="AB23" i="120"/>
  <c r="AA23" i="120"/>
  <c r="O23" i="120"/>
  <c r="BM22" i="120"/>
  <c r="BO22" i="120" s="1"/>
  <c r="BL22" i="120"/>
  <c r="BH22" i="120"/>
  <c r="BD22" i="120"/>
  <c r="BF22" i="120" s="1"/>
  <c r="BB22" i="120"/>
  <c r="AZ22" i="120"/>
  <c r="AS22" i="120"/>
  <c r="AU22" i="120" s="1"/>
  <c r="AO22" i="120"/>
  <c r="AM22" i="120"/>
  <c r="AK22" i="120"/>
  <c r="AJ22" i="120"/>
  <c r="AH22" i="120"/>
  <c r="AR22" i="120" s="1"/>
  <c r="AB22" i="120"/>
  <c r="AA22" i="120"/>
  <c r="O22" i="120"/>
  <c r="AI21" i="120"/>
  <c r="Q21" i="120"/>
  <c r="N21" i="120"/>
  <c r="M21" i="120"/>
  <c r="L21" i="120"/>
  <c r="K21" i="120"/>
  <c r="I21" i="120"/>
  <c r="H21" i="120"/>
  <c r="G21" i="120"/>
  <c r="F21" i="120"/>
  <c r="E21" i="120"/>
  <c r="BM20" i="120"/>
  <c r="BN20" i="120" s="1"/>
  <c r="BL20" i="120"/>
  <c r="BH20" i="120"/>
  <c r="BD20" i="120"/>
  <c r="BF20" i="120" s="1"/>
  <c r="AZ20" i="120"/>
  <c r="AJ20" i="120" s="1"/>
  <c r="AS20" i="120"/>
  <c r="AU20" i="120" s="1"/>
  <c r="AO20" i="120"/>
  <c r="AK20" i="120" s="1"/>
  <c r="AM20" i="120"/>
  <c r="AB20" i="120"/>
  <c r="AA20" i="120"/>
  <c r="O20" i="120"/>
  <c r="BM19" i="120"/>
  <c r="BL19" i="120"/>
  <c r="BH19" i="120"/>
  <c r="BD19" i="120"/>
  <c r="BF19" i="120" s="1"/>
  <c r="AZ19" i="120"/>
  <c r="AJ19" i="120" s="1"/>
  <c r="AS19" i="120"/>
  <c r="AU19" i="120" s="1"/>
  <c r="AO19" i="120"/>
  <c r="AK19" i="120" s="1"/>
  <c r="AM19" i="120"/>
  <c r="AB19" i="120"/>
  <c r="AA19" i="120"/>
  <c r="O19" i="120"/>
  <c r="BM18" i="120"/>
  <c r="BN18" i="120" s="1"/>
  <c r="BL18" i="120"/>
  <c r="BH18" i="120"/>
  <c r="BD18" i="120"/>
  <c r="BF18" i="120" s="1"/>
  <c r="AZ18" i="120"/>
  <c r="AJ18" i="120" s="1"/>
  <c r="AS18" i="120"/>
  <c r="AU18" i="120" s="1"/>
  <c r="AO18" i="120"/>
  <c r="AK18" i="120" s="1"/>
  <c r="AM18" i="120"/>
  <c r="AB18" i="120"/>
  <c r="AA18" i="120"/>
  <c r="O18" i="120"/>
  <c r="BM17" i="120"/>
  <c r="BL17" i="120"/>
  <c r="BH17" i="120"/>
  <c r="BD17" i="120"/>
  <c r="BF17" i="120" s="1"/>
  <c r="AZ17" i="120"/>
  <c r="AS17" i="120"/>
  <c r="AU17" i="120" s="1"/>
  <c r="AO17" i="120"/>
  <c r="AK17" i="120" s="1"/>
  <c r="AM17" i="120"/>
  <c r="AB17" i="120"/>
  <c r="AA17" i="120"/>
  <c r="O17" i="120"/>
  <c r="BM16" i="120"/>
  <c r="BL16" i="120"/>
  <c r="BH16" i="120"/>
  <c r="BD16" i="120"/>
  <c r="BF16" i="120" s="1"/>
  <c r="AZ16" i="120"/>
  <c r="AJ16" i="120" s="1"/>
  <c r="AS16" i="120"/>
  <c r="AU16" i="120" s="1"/>
  <c r="AO16" i="120"/>
  <c r="AK16" i="120" s="1"/>
  <c r="AM16" i="120"/>
  <c r="AB16" i="120"/>
  <c r="AA16" i="120"/>
  <c r="O16" i="120"/>
  <c r="BM15" i="120"/>
  <c r="BL15" i="120"/>
  <c r="BH15" i="120"/>
  <c r="BD15" i="120"/>
  <c r="BF15" i="120" s="1"/>
  <c r="AZ15" i="120"/>
  <c r="AJ15" i="120" s="1"/>
  <c r="AS15" i="120"/>
  <c r="AU15" i="120" s="1"/>
  <c r="AO15" i="120"/>
  <c r="AK15" i="120" s="1"/>
  <c r="AM15" i="120"/>
  <c r="AB15" i="120"/>
  <c r="AA15" i="120"/>
  <c r="O15" i="120"/>
  <c r="BM14" i="120"/>
  <c r="BO14" i="120" s="1"/>
  <c r="BL14" i="120"/>
  <c r="BH14" i="120"/>
  <c r="AZ14" i="120"/>
  <c r="AS14" i="120"/>
  <c r="AU14" i="120" s="1"/>
  <c r="AO14" i="120"/>
  <c r="AM14" i="120"/>
  <c r="AH14" i="120"/>
  <c r="AR14" i="120" s="1"/>
  <c r="AB14" i="120"/>
  <c r="AA14" i="120"/>
  <c r="O14" i="120"/>
  <c r="AM13" i="120"/>
  <c r="AJ13" i="120" s="1"/>
  <c r="AK13" i="120"/>
  <c r="W11" i="120"/>
  <c r="AF21" i="120" s="1"/>
  <c r="C8" i="120"/>
  <c r="C7" i="120"/>
  <c r="C6" i="120"/>
  <c r="O7" i="119"/>
  <c r="X46" i="119"/>
  <c r="AI45" i="119"/>
  <c r="Q45" i="119"/>
  <c r="N45" i="119"/>
  <c r="M45" i="119"/>
  <c r="L45" i="119"/>
  <c r="K45" i="119"/>
  <c r="I45" i="119"/>
  <c r="H45" i="119"/>
  <c r="G45" i="119"/>
  <c r="F45" i="119"/>
  <c r="E45" i="119"/>
  <c r="S45" i="119" s="1"/>
  <c r="BM44" i="119"/>
  <c r="BL44" i="119"/>
  <c r="BH44" i="119"/>
  <c r="BK44" i="119" s="1"/>
  <c r="V44" i="119" s="1"/>
  <c r="BD44" i="119"/>
  <c r="BF44" i="119" s="1"/>
  <c r="AZ44" i="119"/>
  <c r="AJ44" i="119" s="1"/>
  <c r="AU44" i="119"/>
  <c r="AS44" i="119"/>
  <c r="AO44" i="119"/>
  <c r="AM44" i="119"/>
  <c r="AK44" i="119"/>
  <c r="AB44" i="119"/>
  <c r="AA44" i="119"/>
  <c r="O44" i="119"/>
  <c r="BN43" i="119"/>
  <c r="BM43" i="119"/>
  <c r="BL43" i="119"/>
  <c r="BK43" i="119"/>
  <c r="V43" i="119" s="1"/>
  <c r="BH43" i="119"/>
  <c r="BD43" i="119"/>
  <c r="BF43" i="119" s="1"/>
  <c r="AZ43" i="119"/>
  <c r="AJ43" i="119" s="1"/>
  <c r="AS43" i="119"/>
  <c r="AU43" i="119" s="1"/>
  <c r="AO43" i="119"/>
  <c r="AK43" i="119" s="1"/>
  <c r="AM43" i="119"/>
  <c r="AB43" i="119"/>
  <c r="AA43" i="119"/>
  <c r="O43" i="119"/>
  <c r="BN42" i="119"/>
  <c r="BM42" i="119"/>
  <c r="BL42" i="119"/>
  <c r="BJ43" i="119" s="1"/>
  <c r="BH42" i="119"/>
  <c r="BD42" i="119"/>
  <c r="BF42" i="119" s="1"/>
  <c r="BB42" i="119"/>
  <c r="AZ42" i="119"/>
  <c r="AS42" i="119"/>
  <c r="AU42" i="119" s="1"/>
  <c r="AO42" i="119"/>
  <c r="AK42" i="119" s="1"/>
  <c r="AM42" i="119"/>
  <c r="AJ42" i="119"/>
  <c r="AB42" i="119"/>
  <c r="AA42" i="119"/>
  <c r="O42" i="119"/>
  <c r="BM41" i="119"/>
  <c r="BL41" i="119"/>
  <c r="BO42" i="119" s="1"/>
  <c r="BH41" i="119"/>
  <c r="BK41" i="119" s="1"/>
  <c r="BD41" i="119"/>
  <c r="BF41" i="119" s="1"/>
  <c r="AZ41" i="119"/>
  <c r="AS41" i="119"/>
  <c r="AU41" i="119" s="1"/>
  <c r="AO41" i="119"/>
  <c r="AM41" i="119"/>
  <c r="AK41" i="119"/>
  <c r="AB41" i="119"/>
  <c r="AA41" i="119"/>
  <c r="V41" i="119"/>
  <c r="O41" i="119"/>
  <c r="BM40" i="119"/>
  <c r="BP40" i="119" s="1"/>
  <c r="BL40" i="119"/>
  <c r="BH40" i="119"/>
  <c r="BK40" i="119" s="1"/>
  <c r="V40" i="119" s="1"/>
  <c r="BD40" i="119"/>
  <c r="BF40" i="119" s="1"/>
  <c r="AZ40" i="119"/>
  <c r="AJ40" i="119" s="1"/>
  <c r="AU40" i="119"/>
  <c r="AS40" i="119"/>
  <c r="AO40" i="119"/>
  <c r="AM40" i="119"/>
  <c r="AK40" i="119"/>
  <c r="AB40" i="119"/>
  <c r="AA40" i="119"/>
  <c r="O40" i="119"/>
  <c r="BM39" i="119"/>
  <c r="BP39" i="119" s="1"/>
  <c r="BL39" i="119"/>
  <c r="BH39" i="119"/>
  <c r="BK39" i="119" s="1"/>
  <c r="V39" i="119" s="1"/>
  <c r="BD39" i="119"/>
  <c r="BF39" i="119" s="1"/>
  <c r="BB39" i="119"/>
  <c r="AZ39" i="119"/>
  <c r="AJ39" i="119" s="1"/>
  <c r="AS39" i="119"/>
  <c r="AU39" i="119" s="1"/>
  <c r="AO39" i="119"/>
  <c r="AK39" i="119" s="1"/>
  <c r="AM39" i="119"/>
  <c r="AB39" i="119"/>
  <c r="AA39" i="119"/>
  <c r="O39" i="119"/>
  <c r="BO38" i="119"/>
  <c r="BN38" i="119"/>
  <c r="BM38" i="119"/>
  <c r="BL38" i="119"/>
  <c r="BH38" i="119"/>
  <c r="BD38" i="119"/>
  <c r="BF38" i="119" s="1"/>
  <c r="BB38" i="119"/>
  <c r="AZ38" i="119"/>
  <c r="AS38" i="119"/>
  <c r="AU38" i="119" s="1"/>
  <c r="AO38" i="119"/>
  <c r="AM38" i="119"/>
  <c r="AK38" i="119"/>
  <c r="AJ38" i="119"/>
  <c r="AH38" i="119"/>
  <c r="AB38" i="119"/>
  <c r="AA38" i="119"/>
  <c r="O38" i="119"/>
  <c r="AI37" i="119"/>
  <c r="Q37" i="119"/>
  <c r="N37" i="119"/>
  <c r="M37" i="119"/>
  <c r="L37" i="119"/>
  <c r="K37" i="119"/>
  <c r="I37" i="119"/>
  <c r="H37" i="119"/>
  <c r="G37" i="119"/>
  <c r="F37" i="119"/>
  <c r="E37" i="119"/>
  <c r="S37" i="119" s="1"/>
  <c r="BM36" i="119"/>
  <c r="BL36" i="119"/>
  <c r="BH36" i="119"/>
  <c r="BD36" i="119"/>
  <c r="BF36" i="119" s="1"/>
  <c r="AZ36" i="119"/>
  <c r="AJ36" i="119" s="1"/>
  <c r="AS36" i="119"/>
  <c r="AU36" i="119" s="1"/>
  <c r="AO36" i="119"/>
  <c r="AK36" i="119" s="1"/>
  <c r="AM36" i="119"/>
  <c r="AB36" i="119"/>
  <c r="AA36" i="119"/>
  <c r="O36" i="119"/>
  <c r="BM35" i="119"/>
  <c r="BL35" i="119"/>
  <c r="BH35" i="119"/>
  <c r="BD35" i="119"/>
  <c r="BF35" i="119" s="1"/>
  <c r="BB35" i="119"/>
  <c r="AZ35" i="119"/>
  <c r="AS35" i="119"/>
  <c r="AU35" i="119" s="1"/>
  <c r="AO35" i="119"/>
  <c r="AK35" i="119" s="1"/>
  <c r="AM35" i="119"/>
  <c r="AJ35" i="119"/>
  <c r="AB35" i="119"/>
  <c r="AA35" i="119"/>
  <c r="O35" i="119"/>
  <c r="BM34" i="119"/>
  <c r="BL34" i="119"/>
  <c r="BH34" i="119"/>
  <c r="BD34" i="119"/>
  <c r="BF34" i="119" s="1"/>
  <c r="AZ34" i="119"/>
  <c r="AS34" i="119"/>
  <c r="AU34" i="119" s="1"/>
  <c r="AO34" i="119"/>
  <c r="AK34" i="119" s="1"/>
  <c r="AM34" i="119"/>
  <c r="AB34" i="119"/>
  <c r="AA34" i="119"/>
  <c r="O34" i="119"/>
  <c r="BN33" i="119"/>
  <c r="BM33" i="119"/>
  <c r="BL33" i="119"/>
  <c r="BP33" i="119" s="1"/>
  <c r="BH33" i="119"/>
  <c r="BD33" i="119"/>
  <c r="BF33" i="119" s="1"/>
  <c r="AZ33" i="119"/>
  <c r="AJ33" i="119" s="1"/>
  <c r="AS33" i="119"/>
  <c r="AU33" i="119" s="1"/>
  <c r="AO33" i="119"/>
  <c r="AM33" i="119"/>
  <c r="AK33" i="119"/>
  <c r="AB33" i="119"/>
  <c r="AA33" i="119"/>
  <c r="O33" i="119"/>
  <c r="BM32" i="119"/>
  <c r="BL32" i="119"/>
  <c r="BH32" i="119"/>
  <c r="BD32" i="119"/>
  <c r="BF32" i="119" s="1"/>
  <c r="AZ32" i="119"/>
  <c r="BB32" i="119" s="1"/>
  <c r="AS32" i="119"/>
  <c r="AU32" i="119" s="1"/>
  <c r="AO32" i="119"/>
  <c r="AK32" i="119" s="1"/>
  <c r="AM32" i="119"/>
  <c r="AJ32" i="119"/>
  <c r="AB32" i="119"/>
  <c r="AA32" i="119"/>
  <c r="BM31" i="119"/>
  <c r="BN31" i="119" s="1"/>
  <c r="BL31" i="119"/>
  <c r="BH31" i="119"/>
  <c r="BD31" i="119"/>
  <c r="BF31" i="119" s="1"/>
  <c r="AZ31" i="119"/>
  <c r="BB31" i="119" s="1"/>
  <c r="AS31" i="119"/>
  <c r="AU31" i="119" s="1"/>
  <c r="AO31" i="119"/>
  <c r="AK31" i="119" s="1"/>
  <c r="AM31" i="119"/>
  <c r="AB31" i="119"/>
  <c r="AA31" i="119"/>
  <c r="BM30" i="119"/>
  <c r="BO30" i="119" s="1"/>
  <c r="BL30" i="119"/>
  <c r="BH30" i="119"/>
  <c r="AZ30" i="119"/>
  <c r="AS30" i="119"/>
  <c r="AU30" i="119" s="1"/>
  <c r="AO30" i="119"/>
  <c r="AM30" i="119"/>
  <c r="AH30" i="119"/>
  <c r="BI30" i="119" s="1"/>
  <c r="AB30" i="119"/>
  <c r="AA30" i="119"/>
  <c r="AI29" i="119"/>
  <c r="Q29" i="119"/>
  <c r="N29" i="119"/>
  <c r="M29" i="119"/>
  <c r="L29" i="119"/>
  <c r="K29" i="119"/>
  <c r="I29" i="119"/>
  <c r="H29" i="119"/>
  <c r="G29" i="119"/>
  <c r="F29" i="119"/>
  <c r="E29" i="119"/>
  <c r="BM28" i="119"/>
  <c r="BN28" i="119" s="1"/>
  <c r="BL28" i="119"/>
  <c r="BH28" i="119"/>
  <c r="BD28" i="119"/>
  <c r="BF28" i="119" s="1"/>
  <c r="AZ28" i="119"/>
  <c r="AS28" i="119"/>
  <c r="AU28" i="119" s="1"/>
  <c r="AO28" i="119"/>
  <c r="AK28" i="119" s="1"/>
  <c r="AM28" i="119"/>
  <c r="AB28" i="119"/>
  <c r="AA28" i="119"/>
  <c r="O28" i="119"/>
  <c r="BM27" i="119"/>
  <c r="BL27" i="119"/>
  <c r="BH27" i="119"/>
  <c r="AZ27" i="119"/>
  <c r="BB27" i="119" s="1"/>
  <c r="AS27" i="119"/>
  <c r="AU27" i="119" s="1"/>
  <c r="AO27" i="119"/>
  <c r="AK27" i="119" s="1"/>
  <c r="AM27" i="119"/>
  <c r="AB27" i="119"/>
  <c r="AA27" i="119"/>
  <c r="O27" i="119"/>
  <c r="BM26" i="119"/>
  <c r="BL26" i="119"/>
  <c r="BH26" i="119"/>
  <c r="BD26" i="119"/>
  <c r="BF26" i="119" s="1"/>
  <c r="AZ26" i="119"/>
  <c r="BB26" i="119" s="1"/>
  <c r="AS26" i="119"/>
  <c r="AU26" i="119" s="1"/>
  <c r="AO26" i="119"/>
  <c r="AK26" i="119" s="1"/>
  <c r="AM26" i="119"/>
  <c r="AJ26" i="119"/>
  <c r="AB26" i="119"/>
  <c r="AA26" i="119"/>
  <c r="O26" i="119"/>
  <c r="BM25" i="119"/>
  <c r="BN25" i="119" s="1"/>
  <c r="BL25" i="119"/>
  <c r="BH25" i="119"/>
  <c r="BD25" i="119"/>
  <c r="BF25" i="119" s="1"/>
  <c r="AZ25" i="119"/>
  <c r="BB25" i="119" s="1"/>
  <c r="AS25" i="119"/>
  <c r="AU25" i="119" s="1"/>
  <c r="AO25" i="119"/>
  <c r="AK25" i="119" s="1"/>
  <c r="AM25" i="119"/>
  <c r="AJ25" i="119"/>
  <c r="AB25" i="119"/>
  <c r="AA25" i="119"/>
  <c r="O25" i="119"/>
  <c r="BM24" i="119"/>
  <c r="BL24" i="119"/>
  <c r="BH24" i="119"/>
  <c r="BD24" i="119"/>
  <c r="BF24" i="119" s="1"/>
  <c r="AZ24" i="119"/>
  <c r="BB24" i="119" s="1"/>
  <c r="AS24" i="119"/>
  <c r="AU24" i="119" s="1"/>
  <c r="AO24" i="119"/>
  <c r="AK24" i="119" s="1"/>
  <c r="AM24" i="119"/>
  <c r="AB24" i="119"/>
  <c r="AA24" i="119"/>
  <c r="O24" i="119"/>
  <c r="BM23" i="119"/>
  <c r="BL23" i="119"/>
  <c r="BH23" i="119"/>
  <c r="BD23" i="119"/>
  <c r="BF23" i="119" s="1"/>
  <c r="AZ23" i="119"/>
  <c r="AJ23" i="119" s="1"/>
  <c r="AS23" i="119"/>
  <c r="AU23" i="119" s="1"/>
  <c r="AO23" i="119"/>
  <c r="AK23" i="119" s="1"/>
  <c r="AM23" i="119"/>
  <c r="AB23" i="119"/>
  <c r="AA23" i="119"/>
  <c r="O23" i="119"/>
  <c r="BM22" i="119"/>
  <c r="BO22" i="119" s="1"/>
  <c r="BL22" i="119"/>
  <c r="BH22" i="119"/>
  <c r="BK22" i="119" s="1"/>
  <c r="V22" i="119" s="1"/>
  <c r="BD22" i="119"/>
  <c r="BF22" i="119" s="1"/>
  <c r="AZ22" i="119"/>
  <c r="BB22" i="119" s="1"/>
  <c r="AS22" i="119"/>
  <c r="AU22" i="119" s="1"/>
  <c r="AO22" i="119"/>
  <c r="AK22" i="119" s="1"/>
  <c r="AM22" i="119"/>
  <c r="AJ22" i="119"/>
  <c r="AH22" i="119"/>
  <c r="AR22" i="119" s="1"/>
  <c r="AB22" i="119"/>
  <c r="AA22" i="119"/>
  <c r="O22" i="119"/>
  <c r="AI21" i="119"/>
  <c r="Q21" i="119"/>
  <c r="Q46" i="119" s="1"/>
  <c r="N21" i="119"/>
  <c r="M21" i="119"/>
  <c r="L21" i="119"/>
  <c r="K21" i="119"/>
  <c r="I21" i="119"/>
  <c r="H21" i="119"/>
  <c r="G21" i="119"/>
  <c r="F21" i="119"/>
  <c r="E21" i="119"/>
  <c r="BM20" i="119"/>
  <c r="BN20" i="119" s="1"/>
  <c r="BL20" i="119"/>
  <c r="BH20" i="119"/>
  <c r="BD20" i="119"/>
  <c r="BF20" i="119" s="1"/>
  <c r="AZ20" i="119"/>
  <c r="BB20" i="119" s="1"/>
  <c r="AS20" i="119"/>
  <c r="AU20" i="119" s="1"/>
  <c r="AO20" i="119"/>
  <c r="AK20" i="119" s="1"/>
  <c r="AM20" i="119"/>
  <c r="AJ20" i="119"/>
  <c r="AB20" i="119"/>
  <c r="AA20" i="119"/>
  <c r="O20" i="119"/>
  <c r="BM19" i="119"/>
  <c r="BL19" i="119"/>
  <c r="BH19" i="119"/>
  <c r="BD19" i="119"/>
  <c r="BF19" i="119" s="1"/>
  <c r="AZ19" i="119"/>
  <c r="BB19" i="119" s="1"/>
  <c r="AS19" i="119"/>
  <c r="AU19" i="119" s="1"/>
  <c r="AO19" i="119"/>
  <c r="AK19" i="119" s="1"/>
  <c r="AM19" i="119"/>
  <c r="AB19" i="119"/>
  <c r="AA19" i="119"/>
  <c r="O19" i="119"/>
  <c r="BM18" i="119"/>
  <c r="BL18" i="119"/>
  <c r="BH18" i="119"/>
  <c r="BD18" i="119"/>
  <c r="BF18" i="119" s="1"/>
  <c r="AZ18" i="119"/>
  <c r="AJ18" i="119" s="1"/>
  <c r="AS18" i="119"/>
  <c r="AU18" i="119" s="1"/>
  <c r="AO18" i="119"/>
  <c r="AK18" i="119" s="1"/>
  <c r="AM18" i="119"/>
  <c r="AB18" i="119"/>
  <c r="AA18" i="119"/>
  <c r="O18" i="119"/>
  <c r="BM17" i="119"/>
  <c r="BN17" i="119" s="1"/>
  <c r="BL17" i="119"/>
  <c r="BH17" i="119"/>
  <c r="BD17" i="119"/>
  <c r="BF17" i="119" s="1"/>
  <c r="AZ17" i="119"/>
  <c r="AJ17" i="119" s="1"/>
  <c r="AS17" i="119"/>
  <c r="AU17" i="119" s="1"/>
  <c r="AO17" i="119"/>
  <c r="AK17" i="119" s="1"/>
  <c r="AM17" i="119"/>
  <c r="AB17" i="119"/>
  <c r="AA17" i="119"/>
  <c r="O17" i="119"/>
  <c r="BM16" i="119"/>
  <c r="BN16" i="119" s="1"/>
  <c r="BL16" i="119"/>
  <c r="BH16" i="119"/>
  <c r="BD16" i="119"/>
  <c r="BF16" i="119" s="1"/>
  <c r="AZ16" i="119"/>
  <c r="BB16" i="119" s="1"/>
  <c r="AS16" i="119"/>
  <c r="AU16" i="119" s="1"/>
  <c r="AO16" i="119"/>
  <c r="AK16" i="119" s="1"/>
  <c r="AM16" i="119"/>
  <c r="AB16" i="119"/>
  <c r="AA16" i="119"/>
  <c r="O16" i="119"/>
  <c r="BM15" i="119"/>
  <c r="BL15" i="119"/>
  <c r="BH15" i="119"/>
  <c r="BD15" i="119"/>
  <c r="BF15" i="119" s="1"/>
  <c r="AZ15" i="119"/>
  <c r="BB15" i="119" s="1"/>
  <c r="AS15" i="119"/>
  <c r="AU15" i="119" s="1"/>
  <c r="AO15" i="119"/>
  <c r="AK15" i="119" s="1"/>
  <c r="AM15" i="119"/>
  <c r="AB15" i="119"/>
  <c r="AA15" i="119"/>
  <c r="O15" i="119"/>
  <c r="BM14" i="119"/>
  <c r="BL14" i="119"/>
  <c r="BH14" i="119"/>
  <c r="AZ14" i="119"/>
  <c r="BB14" i="119" s="1"/>
  <c r="AO14" i="119"/>
  <c r="AM14" i="119"/>
  <c r="AH14" i="119"/>
  <c r="AR14" i="119" s="1"/>
  <c r="AB14" i="119"/>
  <c r="AA14" i="119"/>
  <c r="O14" i="119"/>
  <c r="AM13" i="119"/>
  <c r="AJ13" i="119" s="1"/>
  <c r="AK13" i="119"/>
  <c r="W11" i="119"/>
  <c r="C8" i="119"/>
  <c r="C7" i="119"/>
  <c r="C6" i="119"/>
  <c r="O7" i="118"/>
  <c r="X46" i="118"/>
  <c r="AI45" i="118"/>
  <c r="Q45" i="118"/>
  <c r="N45" i="118"/>
  <c r="M45" i="118"/>
  <c r="L45" i="118"/>
  <c r="K45" i="118"/>
  <c r="I45" i="118"/>
  <c r="H45" i="118"/>
  <c r="G45" i="118"/>
  <c r="F45" i="118"/>
  <c r="E45" i="118"/>
  <c r="S45" i="118" s="1"/>
  <c r="BN44" i="118"/>
  <c r="BM44" i="118"/>
  <c r="BL44" i="118"/>
  <c r="BK44" i="118"/>
  <c r="BH44" i="118"/>
  <c r="BJ44" i="118" s="1"/>
  <c r="U44" i="118" s="1"/>
  <c r="BF44" i="118"/>
  <c r="BD44" i="118"/>
  <c r="AZ44" i="118"/>
  <c r="AS44" i="118"/>
  <c r="AU44" i="118" s="1"/>
  <c r="AO44" i="118"/>
  <c r="AK44" i="118" s="1"/>
  <c r="AM44" i="118"/>
  <c r="AB44" i="118"/>
  <c r="AA44" i="118"/>
  <c r="V44" i="118"/>
  <c r="O44" i="118"/>
  <c r="BN43" i="118"/>
  <c r="BM43" i="118"/>
  <c r="BO43" i="118" s="1"/>
  <c r="BL43" i="118"/>
  <c r="BO44" i="118" s="1"/>
  <c r="BK43" i="118"/>
  <c r="V43" i="118" s="1"/>
  <c r="BH43" i="118"/>
  <c r="BD43" i="118"/>
  <c r="BF43" i="118" s="1"/>
  <c r="AZ43" i="118"/>
  <c r="BB43" i="118" s="1"/>
  <c r="AS43" i="118"/>
  <c r="AU43" i="118" s="1"/>
  <c r="AO43" i="118"/>
  <c r="AK43" i="118" s="1"/>
  <c r="AM43" i="118"/>
  <c r="AJ43" i="118"/>
  <c r="AB43" i="118"/>
  <c r="AA43" i="118"/>
  <c r="O43" i="118"/>
  <c r="BM42" i="118"/>
  <c r="BL42" i="118"/>
  <c r="BP42" i="118" s="1"/>
  <c r="BH42" i="118"/>
  <c r="BD42" i="118"/>
  <c r="BF42" i="118" s="1"/>
  <c r="AZ42" i="118"/>
  <c r="BB42" i="118" s="1"/>
  <c r="AS42" i="118"/>
  <c r="AU42" i="118" s="1"/>
  <c r="AO42" i="118"/>
  <c r="AK42" i="118" s="1"/>
  <c r="AM42" i="118"/>
  <c r="AJ42" i="118"/>
  <c r="AB42" i="118"/>
  <c r="AA42" i="118"/>
  <c r="O42" i="118"/>
  <c r="BM41" i="118"/>
  <c r="BL41" i="118"/>
  <c r="BJ41" i="118"/>
  <c r="BH41" i="118"/>
  <c r="BD41" i="118"/>
  <c r="BF41" i="118" s="1"/>
  <c r="AZ41" i="118"/>
  <c r="AS41" i="118"/>
  <c r="AU41" i="118" s="1"/>
  <c r="AO41" i="118"/>
  <c r="AK41" i="118" s="1"/>
  <c r="AM41" i="118"/>
  <c r="AB41" i="118"/>
  <c r="AA41" i="118"/>
  <c r="O41" i="118"/>
  <c r="O45" i="118" s="1"/>
  <c r="BN40" i="118"/>
  <c r="BM40" i="118"/>
  <c r="BL40" i="118"/>
  <c r="BH40" i="118"/>
  <c r="BF40" i="118"/>
  <c r="BD40" i="118"/>
  <c r="BB40" i="118"/>
  <c r="AZ40" i="118"/>
  <c r="AJ40" i="118" s="1"/>
  <c r="AS40" i="118"/>
  <c r="AU40" i="118" s="1"/>
  <c r="AO40" i="118"/>
  <c r="AK40" i="118" s="1"/>
  <c r="AM40" i="118"/>
  <c r="AB40" i="118"/>
  <c r="AA40" i="118"/>
  <c r="O40" i="118"/>
  <c r="BM39" i="118"/>
  <c r="BN39" i="118" s="1"/>
  <c r="BL39" i="118"/>
  <c r="BO40" i="118" s="1"/>
  <c r="BH39" i="118"/>
  <c r="BK39" i="118" s="1"/>
  <c r="V39" i="118" s="1"/>
  <c r="BD39" i="118"/>
  <c r="BF39" i="118" s="1"/>
  <c r="BB39" i="118"/>
  <c r="AZ39" i="118"/>
  <c r="AJ39" i="118" s="1"/>
  <c r="AS39" i="118"/>
  <c r="AU39" i="118" s="1"/>
  <c r="AO39" i="118"/>
  <c r="AK39" i="118" s="1"/>
  <c r="AM39" i="118"/>
  <c r="AB39" i="118"/>
  <c r="AA39" i="118"/>
  <c r="O39" i="118"/>
  <c r="BM38" i="118"/>
  <c r="BO38" i="118" s="1"/>
  <c r="BL38" i="118"/>
  <c r="BH38" i="118"/>
  <c r="BF38" i="118"/>
  <c r="BD38" i="118"/>
  <c r="AZ38" i="118"/>
  <c r="AJ38" i="118" s="1"/>
  <c r="AS38" i="118"/>
  <c r="AU38" i="118" s="1"/>
  <c r="AO38" i="118"/>
  <c r="AK38" i="118" s="1"/>
  <c r="AM38" i="118"/>
  <c r="AH38" i="118"/>
  <c r="AB38" i="118"/>
  <c r="AA38" i="118"/>
  <c r="O38" i="118"/>
  <c r="AI37" i="118"/>
  <c r="Q37" i="118"/>
  <c r="N37" i="118"/>
  <c r="M37" i="118"/>
  <c r="L37" i="118"/>
  <c r="K37" i="118"/>
  <c r="I37" i="118"/>
  <c r="H37" i="118"/>
  <c r="G37" i="118"/>
  <c r="F37" i="118"/>
  <c r="E37" i="118"/>
  <c r="BM36" i="118"/>
  <c r="BN36" i="118" s="1"/>
  <c r="BL36" i="118"/>
  <c r="BH36" i="118"/>
  <c r="BD36" i="118"/>
  <c r="BF36" i="118" s="1"/>
  <c r="AZ36" i="118"/>
  <c r="BB36" i="118" s="1"/>
  <c r="AS36" i="118"/>
  <c r="AU36" i="118" s="1"/>
  <c r="AO36" i="118"/>
  <c r="AK36" i="118" s="1"/>
  <c r="AM36" i="118"/>
  <c r="AJ36" i="118"/>
  <c r="AB36" i="118"/>
  <c r="AA36" i="118"/>
  <c r="O36" i="118"/>
  <c r="BM35" i="118"/>
  <c r="BL35" i="118"/>
  <c r="BH35" i="118"/>
  <c r="BD35" i="118"/>
  <c r="BF35" i="118" s="1"/>
  <c r="AZ35" i="118"/>
  <c r="BB35" i="118" s="1"/>
  <c r="AS35" i="118"/>
  <c r="AU35" i="118" s="1"/>
  <c r="AO35" i="118"/>
  <c r="AM35" i="118"/>
  <c r="AK35" i="118"/>
  <c r="AB35" i="118"/>
  <c r="AA35" i="118"/>
  <c r="O35" i="118"/>
  <c r="BM34" i="118"/>
  <c r="BN34" i="118" s="1"/>
  <c r="BL34" i="118"/>
  <c r="BH34" i="118"/>
  <c r="BD34" i="118"/>
  <c r="BF34" i="118" s="1"/>
  <c r="AZ34" i="118"/>
  <c r="AS34" i="118"/>
  <c r="AU34" i="118" s="1"/>
  <c r="AO34" i="118"/>
  <c r="AK34" i="118" s="1"/>
  <c r="AM34" i="118"/>
  <c r="AB34" i="118"/>
  <c r="AA34" i="118"/>
  <c r="O34" i="118"/>
  <c r="BM33" i="118"/>
  <c r="BN33" i="118" s="1"/>
  <c r="BL33" i="118"/>
  <c r="BH33" i="118"/>
  <c r="BD33" i="118"/>
  <c r="BF33" i="118" s="1"/>
  <c r="BB33" i="118"/>
  <c r="AZ33" i="118"/>
  <c r="AS33" i="118"/>
  <c r="AU33" i="118" s="1"/>
  <c r="AO33" i="118"/>
  <c r="AK33" i="118" s="1"/>
  <c r="AM33" i="118"/>
  <c r="AJ33" i="118"/>
  <c r="AB33" i="118"/>
  <c r="AA33" i="118"/>
  <c r="O33" i="118"/>
  <c r="BM32" i="118"/>
  <c r="BN32" i="118" s="1"/>
  <c r="BL32" i="118"/>
  <c r="BH32" i="118"/>
  <c r="BD32" i="118"/>
  <c r="BF32" i="118" s="1"/>
  <c r="AZ32" i="118"/>
  <c r="AS32" i="118"/>
  <c r="AU32" i="118" s="1"/>
  <c r="AO32" i="118"/>
  <c r="AK32" i="118" s="1"/>
  <c r="AM32" i="118"/>
  <c r="AB32" i="118"/>
  <c r="AA32" i="118"/>
  <c r="O32" i="118"/>
  <c r="BM31" i="118"/>
  <c r="BN31" i="118" s="1"/>
  <c r="BL31" i="118"/>
  <c r="BH31" i="118"/>
  <c r="BD31" i="118"/>
  <c r="BF31" i="118" s="1"/>
  <c r="AZ31" i="118"/>
  <c r="BB31" i="118" s="1"/>
  <c r="AS31" i="118"/>
  <c r="AU31" i="118" s="1"/>
  <c r="AO31" i="118"/>
  <c r="AK31" i="118" s="1"/>
  <c r="AM31" i="118"/>
  <c r="AB31" i="118"/>
  <c r="AA31" i="118"/>
  <c r="O31" i="118"/>
  <c r="BM30" i="118"/>
  <c r="BL30" i="118"/>
  <c r="BH30" i="118"/>
  <c r="AZ30" i="118"/>
  <c r="BB30" i="118" s="1"/>
  <c r="AS30" i="118"/>
  <c r="AU30" i="118" s="1"/>
  <c r="AO30" i="118"/>
  <c r="AM30" i="118"/>
  <c r="AH30" i="118"/>
  <c r="AR30" i="118" s="1"/>
  <c r="AB30" i="118"/>
  <c r="AA30" i="118"/>
  <c r="O30" i="118"/>
  <c r="AI29" i="118"/>
  <c r="Q29" i="118"/>
  <c r="N29" i="118"/>
  <c r="M29" i="118"/>
  <c r="L29" i="118"/>
  <c r="K29" i="118"/>
  <c r="I29" i="118"/>
  <c r="H29" i="118"/>
  <c r="G29" i="118"/>
  <c r="F29" i="118"/>
  <c r="E29" i="118"/>
  <c r="BM28" i="118"/>
  <c r="BN28" i="118" s="1"/>
  <c r="BL28" i="118"/>
  <c r="BH28" i="118"/>
  <c r="BD28" i="118"/>
  <c r="BF28" i="118" s="1"/>
  <c r="AZ28" i="118"/>
  <c r="AS28" i="118"/>
  <c r="AU28" i="118" s="1"/>
  <c r="AO28" i="118"/>
  <c r="AK28" i="118" s="1"/>
  <c r="AM28" i="118"/>
  <c r="AB28" i="118"/>
  <c r="AA28" i="118"/>
  <c r="O28" i="118"/>
  <c r="BM27" i="118"/>
  <c r="BN27" i="118" s="1"/>
  <c r="BL27" i="118"/>
  <c r="BH27" i="118"/>
  <c r="BD27" i="118"/>
  <c r="BF27" i="118" s="1"/>
  <c r="AZ27" i="118"/>
  <c r="BB27" i="118" s="1"/>
  <c r="AS27" i="118"/>
  <c r="AU27" i="118" s="1"/>
  <c r="AO27" i="118"/>
  <c r="AK27" i="118" s="1"/>
  <c r="AM27" i="118"/>
  <c r="AB27" i="118"/>
  <c r="AA27" i="118"/>
  <c r="O27" i="118"/>
  <c r="BM26" i="118"/>
  <c r="BL26" i="118"/>
  <c r="BH26" i="118"/>
  <c r="BD26" i="118"/>
  <c r="BF26" i="118" s="1"/>
  <c r="BB26" i="118"/>
  <c r="AZ26" i="118"/>
  <c r="AJ26" i="118" s="1"/>
  <c r="AS26" i="118"/>
  <c r="AU26" i="118" s="1"/>
  <c r="AO26" i="118"/>
  <c r="AM26" i="118"/>
  <c r="AK26" i="118"/>
  <c r="AB26" i="118"/>
  <c r="AA26" i="118"/>
  <c r="O26" i="118"/>
  <c r="BM25" i="118"/>
  <c r="BL25" i="118"/>
  <c r="BJ26" i="118" s="1"/>
  <c r="BH25" i="118"/>
  <c r="BD25" i="118"/>
  <c r="BF25" i="118" s="1"/>
  <c r="AZ25" i="118"/>
  <c r="AJ25" i="118" s="1"/>
  <c r="AS25" i="118"/>
  <c r="AU25" i="118" s="1"/>
  <c r="AO25" i="118"/>
  <c r="AK25" i="118" s="1"/>
  <c r="AM25" i="118"/>
  <c r="AB25" i="118"/>
  <c r="AA25" i="118"/>
  <c r="O25" i="118"/>
  <c r="BM24" i="118"/>
  <c r="BL24" i="118"/>
  <c r="BO25" i="118" s="1"/>
  <c r="BH24" i="118"/>
  <c r="BD24" i="118"/>
  <c r="BF24" i="118" s="1"/>
  <c r="AZ24" i="118"/>
  <c r="AS24" i="118"/>
  <c r="AU24" i="118" s="1"/>
  <c r="AO24" i="118"/>
  <c r="AK24" i="118" s="1"/>
  <c r="AM24" i="118"/>
  <c r="AB24" i="118"/>
  <c r="AA24" i="118"/>
  <c r="O24" i="118"/>
  <c r="BM23" i="118"/>
  <c r="BL23" i="118"/>
  <c r="BH23" i="118"/>
  <c r="BD23" i="118"/>
  <c r="BF23" i="118" s="1"/>
  <c r="AZ23" i="118"/>
  <c r="AJ23" i="118" s="1"/>
  <c r="AS23" i="118"/>
  <c r="AU23" i="118" s="1"/>
  <c r="AO23" i="118"/>
  <c r="AM23" i="118"/>
  <c r="AK23" i="118"/>
  <c r="AB23" i="118"/>
  <c r="AA23" i="118"/>
  <c r="O23" i="118"/>
  <c r="BM22" i="118"/>
  <c r="BN22" i="118" s="1"/>
  <c r="BL22" i="118"/>
  <c r="BH22" i="118"/>
  <c r="BJ22" i="118" s="1"/>
  <c r="BD22" i="118"/>
  <c r="BF22" i="118" s="1"/>
  <c r="AZ22" i="118"/>
  <c r="BB22" i="118" s="1"/>
  <c r="AS22" i="118"/>
  <c r="AU22" i="118" s="1"/>
  <c r="AO22" i="118"/>
  <c r="AM22" i="118"/>
  <c r="AK22" i="118"/>
  <c r="AJ22" i="118"/>
  <c r="AH22" i="118"/>
  <c r="AR22" i="118" s="1"/>
  <c r="AB22" i="118"/>
  <c r="AA22" i="118"/>
  <c r="O22" i="118"/>
  <c r="AI21" i="118"/>
  <c r="Q21" i="118"/>
  <c r="Q46" i="118" s="1"/>
  <c r="N21" i="118"/>
  <c r="M21" i="118"/>
  <c r="L21" i="118"/>
  <c r="K21" i="118"/>
  <c r="I21" i="118"/>
  <c r="H21" i="118"/>
  <c r="G21" i="118"/>
  <c r="F21" i="118"/>
  <c r="E21" i="118"/>
  <c r="BM20" i="118"/>
  <c r="BL20" i="118"/>
  <c r="BH20" i="118"/>
  <c r="BD20" i="118"/>
  <c r="BF20" i="118" s="1"/>
  <c r="AZ20" i="118"/>
  <c r="AS20" i="118"/>
  <c r="AU20" i="118" s="1"/>
  <c r="AO20" i="118"/>
  <c r="AK20" i="118" s="1"/>
  <c r="AM20" i="118"/>
  <c r="AB20" i="118"/>
  <c r="AA20" i="118"/>
  <c r="O20" i="118"/>
  <c r="BM19" i="118"/>
  <c r="BN19" i="118" s="1"/>
  <c r="BL19" i="118"/>
  <c r="BH19" i="118"/>
  <c r="BD19" i="118"/>
  <c r="BF19" i="118" s="1"/>
  <c r="AZ19" i="118"/>
  <c r="AJ19" i="118" s="1"/>
  <c r="AS19" i="118"/>
  <c r="AU19" i="118" s="1"/>
  <c r="AO19" i="118"/>
  <c r="AK19" i="118" s="1"/>
  <c r="AM19" i="118"/>
  <c r="AB19" i="118"/>
  <c r="AA19" i="118"/>
  <c r="O19" i="118"/>
  <c r="BM18" i="118"/>
  <c r="BN18" i="118" s="1"/>
  <c r="BL18" i="118"/>
  <c r="BH18" i="118"/>
  <c r="BD18" i="118"/>
  <c r="BF18" i="118" s="1"/>
  <c r="BB18" i="118"/>
  <c r="AZ18" i="118"/>
  <c r="AJ18" i="118" s="1"/>
  <c r="AS18" i="118"/>
  <c r="AU18" i="118" s="1"/>
  <c r="AO18" i="118"/>
  <c r="AK18" i="118" s="1"/>
  <c r="AM18" i="118"/>
  <c r="AB18" i="118"/>
  <c r="AA18" i="118"/>
  <c r="O18" i="118"/>
  <c r="BM17" i="118"/>
  <c r="BN17" i="118" s="1"/>
  <c r="BL17" i="118"/>
  <c r="BH17" i="118"/>
  <c r="BD17" i="118"/>
  <c r="BF17" i="118" s="1"/>
  <c r="AZ17" i="118"/>
  <c r="BB17" i="118" s="1"/>
  <c r="AS17" i="118"/>
  <c r="AU17" i="118" s="1"/>
  <c r="AO17" i="118"/>
  <c r="AK17" i="118" s="1"/>
  <c r="AM17" i="118"/>
  <c r="AJ17" i="118"/>
  <c r="AB17" i="118"/>
  <c r="AA17" i="118"/>
  <c r="O17" i="118"/>
  <c r="BM16" i="118"/>
  <c r="BL16" i="118"/>
  <c r="BH16" i="118"/>
  <c r="BD16" i="118"/>
  <c r="BF16" i="118" s="1"/>
  <c r="AZ16" i="118"/>
  <c r="BB16" i="118" s="1"/>
  <c r="AS16" i="118"/>
  <c r="AU16" i="118" s="1"/>
  <c r="AO16" i="118"/>
  <c r="AK16" i="118" s="1"/>
  <c r="AM16" i="118"/>
  <c r="AB16" i="118"/>
  <c r="AA16" i="118"/>
  <c r="O16" i="118"/>
  <c r="BM15" i="118"/>
  <c r="BN15" i="118" s="1"/>
  <c r="BL15" i="118"/>
  <c r="BH15" i="118"/>
  <c r="BD15" i="118"/>
  <c r="BF15" i="118" s="1"/>
  <c r="AZ15" i="118"/>
  <c r="AS15" i="118"/>
  <c r="AU15" i="118" s="1"/>
  <c r="AO15" i="118"/>
  <c r="AK15" i="118" s="1"/>
  <c r="AM15" i="118"/>
  <c r="AB15" i="118"/>
  <c r="AA15" i="118"/>
  <c r="O15" i="118"/>
  <c r="BM14" i="118"/>
  <c r="BL14" i="118"/>
  <c r="BH14" i="118"/>
  <c r="BJ14" i="118" s="1"/>
  <c r="AZ14" i="118"/>
  <c r="BB14" i="118" s="1"/>
  <c r="AS14" i="118"/>
  <c r="AU14" i="118" s="1"/>
  <c r="AO14" i="118"/>
  <c r="AM14" i="118"/>
  <c r="AH14" i="118"/>
  <c r="AR14" i="118" s="1"/>
  <c r="AB14" i="118"/>
  <c r="AA14" i="118"/>
  <c r="O14" i="118"/>
  <c r="AM13" i="118"/>
  <c r="AJ13" i="118" s="1"/>
  <c r="AK13" i="118"/>
  <c r="W11" i="118"/>
  <c r="E11" i="118"/>
  <c r="C8" i="118"/>
  <c r="C7" i="118"/>
  <c r="C6" i="118"/>
  <c r="O7" i="117"/>
  <c r="X46" i="117"/>
  <c r="AI45" i="117"/>
  <c r="Q45" i="117"/>
  <c r="N45" i="117"/>
  <c r="M45" i="117"/>
  <c r="L45" i="117"/>
  <c r="K45" i="117"/>
  <c r="I45" i="117"/>
  <c r="H45" i="117"/>
  <c r="G45" i="117"/>
  <c r="F45" i="117"/>
  <c r="E45" i="117"/>
  <c r="S45" i="117" s="1"/>
  <c r="BM44" i="117"/>
  <c r="BL44" i="117"/>
  <c r="BH44" i="117"/>
  <c r="BD44" i="117"/>
  <c r="BF44" i="117" s="1"/>
  <c r="AZ44" i="117"/>
  <c r="AJ44" i="117" s="1"/>
  <c r="AS44" i="117"/>
  <c r="AU44" i="117" s="1"/>
  <c r="AO44" i="117"/>
  <c r="AK44" i="117" s="1"/>
  <c r="AM44" i="117"/>
  <c r="AB44" i="117"/>
  <c r="AA44" i="117"/>
  <c r="O44" i="117"/>
  <c r="BN43" i="117"/>
  <c r="BM43" i="117"/>
  <c r="BL43" i="117"/>
  <c r="BK43" i="117" s="1"/>
  <c r="V43" i="117" s="1"/>
  <c r="BH43" i="117"/>
  <c r="BD43" i="117"/>
  <c r="BF43" i="117" s="1"/>
  <c r="AZ43" i="117"/>
  <c r="AJ43" i="117" s="1"/>
  <c r="AS43" i="117"/>
  <c r="AU43" i="117" s="1"/>
  <c r="AO43" i="117"/>
  <c r="AK43" i="117" s="1"/>
  <c r="AM43" i="117"/>
  <c r="AB43" i="117"/>
  <c r="AA43" i="117"/>
  <c r="O43" i="117"/>
  <c r="BN42" i="117"/>
  <c r="BM42" i="117"/>
  <c r="BL42" i="117"/>
  <c r="BH42" i="117"/>
  <c r="BD42" i="117"/>
  <c r="BF42" i="117" s="1"/>
  <c r="BB42" i="117"/>
  <c r="AZ42" i="117"/>
  <c r="AS42" i="117"/>
  <c r="AU42" i="117" s="1"/>
  <c r="AO42" i="117"/>
  <c r="AK42" i="117" s="1"/>
  <c r="AM42" i="117"/>
  <c r="AJ42" i="117"/>
  <c r="AB42" i="117"/>
  <c r="AA42" i="117"/>
  <c r="O42" i="117"/>
  <c r="BM41" i="117"/>
  <c r="BL41" i="117"/>
  <c r="BO42" i="117" s="1"/>
  <c r="BH41" i="117"/>
  <c r="BD41" i="117"/>
  <c r="BF41" i="117" s="1"/>
  <c r="AZ41" i="117"/>
  <c r="AS41" i="117"/>
  <c r="AU41" i="117" s="1"/>
  <c r="AO41" i="117"/>
  <c r="AK41" i="117" s="1"/>
  <c r="AM41" i="117"/>
  <c r="AB41" i="117"/>
  <c r="AA41" i="117"/>
  <c r="O41" i="117"/>
  <c r="BN40" i="117"/>
  <c r="BM40" i="117"/>
  <c r="BP40" i="117" s="1"/>
  <c r="BL40" i="117"/>
  <c r="BH40" i="117"/>
  <c r="BD40" i="117"/>
  <c r="BF40" i="117" s="1"/>
  <c r="AZ40" i="117"/>
  <c r="AJ40" i="117" s="1"/>
  <c r="AS40" i="117"/>
  <c r="AU40" i="117" s="1"/>
  <c r="AO40" i="117"/>
  <c r="AK40" i="117" s="1"/>
  <c r="AM40" i="117"/>
  <c r="AB40" i="117"/>
  <c r="AA40" i="117"/>
  <c r="O40" i="117"/>
  <c r="BN39" i="117"/>
  <c r="BM39" i="117"/>
  <c r="BL39" i="117"/>
  <c r="BK39" i="117" s="1"/>
  <c r="V39" i="117" s="1"/>
  <c r="BH39" i="117"/>
  <c r="BD39" i="117"/>
  <c r="BF39" i="117" s="1"/>
  <c r="BB39" i="117"/>
  <c r="AZ39" i="117"/>
  <c r="AJ39" i="117" s="1"/>
  <c r="AS39" i="117"/>
  <c r="AU39" i="117" s="1"/>
  <c r="AO39" i="117"/>
  <c r="AK39" i="117" s="1"/>
  <c r="AM39" i="117"/>
  <c r="AB39" i="117"/>
  <c r="AA39" i="117"/>
  <c r="O39" i="117"/>
  <c r="BM38" i="117"/>
  <c r="BO38" i="117" s="1"/>
  <c r="BL38" i="117"/>
  <c r="BJ39" i="117" s="1"/>
  <c r="U39" i="117" s="1"/>
  <c r="BH38" i="117"/>
  <c r="AZ38" i="117"/>
  <c r="AS38" i="117"/>
  <c r="AU38" i="117" s="1"/>
  <c r="AO38" i="117"/>
  <c r="AM38" i="117"/>
  <c r="AH38" i="117"/>
  <c r="AB38" i="117"/>
  <c r="AA38" i="117"/>
  <c r="O38" i="117"/>
  <c r="AI37" i="117"/>
  <c r="Q37" i="117"/>
  <c r="N37" i="117"/>
  <c r="M37" i="117"/>
  <c r="L37" i="117"/>
  <c r="K37" i="117"/>
  <c r="I37" i="117"/>
  <c r="H37" i="117"/>
  <c r="G37" i="117"/>
  <c r="F37" i="117"/>
  <c r="E37" i="117"/>
  <c r="BM36" i="117"/>
  <c r="BN36" i="117" s="1"/>
  <c r="BL36" i="117"/>
  <c r="BH36" i="117"/>
  <c r="BD36" i="117"/>
  <c r="BF36" i="117" s="1"/>
  <c r="AZ36" i="117"/>
  <c r="AJ36" i="117" s="1"/>
  <c r="AS36" i="117"/>
  <c r="AU36" i="117" s="1"/>
  <c r="AO36" i="117"/>
  <c r="AK36" i="117" s="1"/>
  <c r="AM36" i="117"/>
  <c r="AB36" i="117"/>
  <c r="AA36" i="117"/>
  <c r="O36" i="117"/>
  <c r="BM35" i="117"/>
  <c r="BN35" i="117" s="1"/>
  <c r="BL35" i="117"/>
  <c r="BH35" i="117"/>
  <c r="BD35" i="117"/>
  <c r="BF35" i="117" s="1"/>
  <c r="BB35" i="117"/>
  <c r="AZ35" i="117"/>
  <c r="AJ35" i="117" s="1"/>
  <c r="AS35" i="117"/>
  <c r="AU35" i="117" s="1"/>
  <c r="AO35" i="117"/>
  <c r="AK35" i="117" s="1"/>
  <c r="AM35" i="117"/>
  <c r="AB35" i="117"/>
  <c r="AA35" i="117"/>
  <c r="O35" i="117"/>
  <c r="BM34" i="117"/>
  <c r="BL34" i="117"/>
  <c r="BH34" i="117"/>
  <c r="BD34" i="117"/>
  <c r="BF34" i="117" s="1"/>
  <c r="AZ34" i="117"/>
  <c r="AS34" i="117"/>
  <c r="AU34" i="117" s="1"/>
  <c r="AO34" i="117"/>
  <c r="AK34" i="117" s="1"/>
  <c r="AM34" i="117"/>
  <c r="AB34" i="117"/>
  <c r="AA34" i="117"/>
  <c r="O34" i="117"/>
  <c r="BM33" i="117"/>
  <c r="BN33" i="117" s="1"/>
  <c r="BL33" i="117"/>
  <c r="BH33" i="117"/>
  <c r="BD33" i="117"/>
  <c r="BF33" i="117" s="1"/>
  <c r="BB33" i="117"/>
  <c r="AZ33" i="117"/>
  <c r="AS33" i="117"/>
  <c r="AU33" i="117" s="1"/>
  <c r="AO33" i="117"/>
  <c r="AK33" i="117" s="1"/>
  <c r="AM33" i="117"/>
  <c r="AJ33" i="117"/>
  <c r="AB33" i="117"/>
  <c r="AA33" i="117"/>
  <c r="O33" i="117"/>
  <c r="BM32" i="117"/>
  <c r="BL32" i="117"/>
  <c r="BH32" i="117"/>
  <c r="BD32" i="117"/>
  <c r="BF32" i="117" s="1"/>
  <c r="AZ32" i="117"/>
  <c r="AS32" i="117"/>
  <c r="AU32" i="117" s="1"/>
  <c r="AO32" i="117"/>
  <c r="AK32" i="117" s="1"/>
  <c r="AM32" i="117"/>
  <c r="AB32" i="117"/>
  <c r="AA32" i="117"/>
  <c r="O32" i="117"/>
  <c r="BM31" i="117"/>
  <c r="BN31" i="117" s="1"/>
  <c r="BL31" i="117"/>
  <c r="BH31" i="117"/>
  <c r="BD31" i="117"/>
  <c r="BF31" i="117" s="1"/>
  <c r="AZ31" i="117"/>
  <c r="BB31" i="117" s="1"/>
  <c r="AS31" i="117"/>
  <c r="AU31" i="117" s="1"/>
  <c r="AO31" i="117"/>
  <c r="AK31" i="117" s="1"/>
  <c r="AM31" i="117"/>
  <c r="AJ31" i="117"/>
  <c r="AB31" i="117"/>
  <c r="AA31" i="117"/>
  <c r="O31" i="117"/>
  <c r="BM30" i="117"/>
  <c r="BN30" i="117" s="1"/>
  <c r="BL30" i="117"/>
  <c r="BH30" i="117"/>
  <c r="BD30" i="117"/>
  <c r="BF30" i="117" s="1"/>
  <c r="AZ30" i="117"/>
  <c r="BB30" i="117" s="1"/>
  <c r="AS30" i="117"/>
  <c r="AU30" i="117" s="1"/>
  <c r="AO30" i="117"/>
  <c r="AM30" i="117"/>
  <c r="AK30" i="117"/>
  <c r="AJ30" i="117"/>
  <c r="AH30" i="117"/>
  <c r="AR30" i="117" s="1"/>
  <c r="AB30" i="117"/>
  <c r="AA30" i="117"/>
  <c r="O30" i="117"/>
  <c r="AI29" i="117"/>
  <c r="Q29" i="117"/>
  <c r="N29" i="117"/>
  <c r="M29" i="117"/>
  <c r="L29" i="117"/>
  <c r="K29" i="117"/>
  <c r="I29" i="117"/>
  <c r="H29" i="117"/>
  <c r="G29" i="117"/>
  <c r="F29" i="117"/>
  <c r="E29" i="117"/>
  <c r="BM28" i="117"/>
  <c r="BL28" i="117"/>
  <c r="BH28" i="117"/>
  <c r="BD28" i="117"/>
  <c r="BF28" i="117" s="1"/>
  <c r="AZ28" i="117"/>
  <c r="AS28" i="117"/>
  <c r="AU28" i="117" s="1"/>
  <c r="AO28" i="117"/>
  <c r="AM28" i="117"/>
  <c r="AK28" i="117"/>
  <c r="AB28" i="117"/>
  <c r="AA28" i="117"/>
  <c r="O28" i="117"/>
  <c r="BM27" i="117"/>
  <c r="BL27" i="117"/>
  <c r="BH27" i="117"/>
  <c r="BD27" i="117"/>
  <c r="BF27" i="117" s="1"/>
  <c r="AZ27" i="117"/>
  <c r="BB27" i="117" s="1"/>
  <c r="AS27" i="117"/>
  <c r="AU27" i="117" s="1"/>
  <c r="AO27" i="117"/>
  <c r="AM27" i="117"/>
  <c r="AK27" i="117"/>
  <c r="AJ27" i="117"/>
  <c r="AB27" i="117"/>
  <c r="AA27" i="117"/>
  <c r="O27" i="117"/>
  <c r="BM26" i="117"/>
  <c r="BL26" i="117"/>
  <c r="BH26" i="117"/>
  <c r="BD26" i="117"/>
  <c r="BF26" i="117" s="1"/>
  <c r="AZ26" i="117"/>
  <c r="AS26" i="117"/>
  <c r="AU26" i="117" s="1"/>
  <c r="AO26" i="117"/>
  <c r="AK26" i="117" s="1"/>
  <c r="AM26" i="117"/>
  <c r="AB26" i="117"/>
  <c r="AA26" i="117"/>
  <c r="O26" i="117"/>
  <c r="BM25" i="117"/>
  <c r="BN25" i="117" s="1"/>
  <c r="BL25" i="117"/>
  <c r="BH25" i="117"/>
  <c r="BD25" i="117"/>
  <c r="BF25" i="117" s="1"/>
  <c r="AZ25" i="117"/>
  <c r="BB25" i="117" s="1"/>
  <c r="AS25" i="117"/>
  <c r="AU25" i="117" s="1"/>
  <c r="AO25" i="117"/>
  <c r="AK25" i="117" s="1"/>
  <c r="AM25" i="117"/>
  <c r="AJ25" i="117"/>
  <c r="AB25" i="117"/>
  <c r="AA25" i="117"/>
  <c r="O25" i="117"/>
  <c r="BM24" i="117"/>
  <c r="BN24" i="117" s="1"/>
  <c r="BL24" i="117"/>
  <c r="BH24" i="117"/>
  <c r="BD24" i="117"/>
  <c r="BF24" i="117" s="1"/>
  <c r="BB24" i="117"/>
  <c r="AZ24" i="117"/>
  <c r="AS24" i="117"/>
  <c r="AU24" i="117" s="1"/>
  <c r="AO24" i="117"/>
  <c r="AM24" i="117"/>
  <c r="AK24" i="117"/>
  <c r="AJ24" i="117"/>
  <c r="AB24" i="117"/>
  <c r="AA24" i="117"/>
  <c r="O24" i="117"/>
  <c r="BM23" i="117"/>
  <c r="BL23" i="117"/>
  <c r="BH23" i="117"/>
  <c r="BD23" i="117"/>
  <c r="BF23" i="117" s="1"/>
  <c r="AZ23" i="117"/>
  <c r="AS23" i="117"/>
  <c r="AU23" i="117" s="1"/>
  <c r="AO23" i="117"/>
  <c r="AM23" i="117"/>
  <c r="AK23" i="117"/>
  <c r="AB23" i="117"/>
  <c r="AA23" i="117"/>
  <c r="O23" i="117"/>
  <c r="BM22" i="117"/>
  <c r="BL22" i="117"/>
  <c r="BH22" i="117"/>
  <c r="BD22" i="117"/>
  <c r="BF22" i="117" s="1"/>
  <c r="AZ22" i="117"/>
  <c r="BB22" i="117" s="1"/>
  <c r="AS22" i="117"/>
  <c r="AU22" i="117" s="1"/>
  <c r="AO22" i="117"/>
  <c r="AK22" i="117" s="1"/>
  <c r="AM22" i="117"/>
  <c r="AH22" i="117"/>
  <c r="AI22" i="117" s="1"/>
  <c r="AY22" i="117" s="1"/>
  <c r="AB22" i="117"/>
  <c r="AA22" i="117"/>
  <c r="O22" i="117"/>
  <c r="AI21" i="117"/>
  <c r="Q21" i="117"/>
  <c r="Q46" i="117" s="1"/>
  <c r="N21" i="117"/>
  <c r="M21" i="117"/>
  <c r="L21" i="117"/>
  <c r="K21" i="117"/>
  <c r="I21" i="117"/>
  <c r="H21" i="117"/>
  <c r="G21" i="117"/>
  <c r="F21" i="117"/>
  <c r="E21" i="117"/>
  <c r="BM20" i="117"/>
  <c r="BN20" i="117" s="1"/>
  <c r="BL20" i="117"/>
  <c r="BH20" i="117"/>
  <c r="BD20" i="117"/>
  <c r="BF20" i="117" s="1"/>
  <c r="AZ20" i="117"/>
  <c r="BB20" i="117" s="1"/>
  <c r="AO20" i="117"/>
  <c r="AM20" i="117"/>
  <c r="AJ20" i="117"/>
  <c r="AB20" i="117"/>
  <c r="AA20" i="117"/>
  <c r="O20" i="117"/>
  <c r="BM19" i="117"/>
  <c r="BL19" i="117"/>
  <c r="BH19" i="117"/>
  <c r="BD19" i="117"/>
  <c r="BF19" i="117" s="1"/>
  <c r="AZ19" i="117"/>
  <c r="BB19" i="117" s="1"/>
  <c r="AS19" i="117"/>
  <c r="AU19" i="117" s="1"/>
  <c r="AO19" i="117"/>
  <c r="AM19" i="117"/>
  <c r="AK19" i="117"/>
  <c r="AB19" i="117"/>
  <c r="AA19" i="117"/>
  <c r="O19" i="117"/>
  <c r="BM18" i="117"/>
  <c r="BN18" i="117" s="1"/>
  <c r="BL18" i="117"/>
  <c r="BH18" i="117"/>
  <c r="BD18" i="117"/>
  <c r="BF18" i="117" s="1"/>
  <c r="AZ18" i="117"/>
  <c r="AJ18" i="117" s="1"/>
  <c r="AS18" i="117"/>
  <c r="AU18" i="117" s="1"/>
  <c r="AO18" i="117"/>
  <c r="AK18" i="117" s="1"/>
  <c r="AM18" i="117"/>
  <c r="AB18" i="117"/>
  <c r="AA18" i="117"/>
  <c r="O18" i="117"/>
  <c r="BM17" i="117"/>
  <c r="BN17" i="117" s="1"/>
  <c r="BL17" i="117"/>
  <c r="BO18" i="117" s="1"/>
  <c r="BH17" i="117"/>
  <c r="BD17" i="117"/>
  <c r="BF17" i="117" s="1"/>
  <c r="AZ17" i="117"/>
  <c r="AJ17" i="117" s="1"/>
  <c r="AS17" i="117"/>
  <c r="AU17" i="117" s="1"/>
  <c r="AO17" i="117"/>
  <c r="AK17" i="117" s="1"/>
  <c r="AM17" i="117"/>
  <c r="AB17" i="117"/>
  <c r="AA17" i="117"/>
  <c r="O17" i="117"/>
  <c r="BM16" i="117"/>
  <c r="BL16" i="117"/>
  <c r="BO17" i="117" s="1"/>
  <c r="BH16" i="117"/>
  <c r="BD16" i="117"/>
  <c r="BF16" i="117" s="1"/>
  <c r="AZ16" i="117"/>
  <c r="BB16" i="117" s="1"/>
  <c r="AS16" i="117"/>
  <c r="AU16" i="117" s="1"/>
  <c r="AO16" i="117"/>
  <c r="AK16" i="117" s="1"/>
  <c r="AM16" i="117"/>
  <c r="AB16" i="117"/>
  <c r="AA16" i="117"/>
  <c r="O16" i="117"/>
  <c r="BM15" i="117"/>
  <c r="BL15" i="117"/>
  <c r="BH15" i="117"/>
  <c r="BD15" i="117"/>
  <c r="BF15" i="117" s="1"/>
  <c r="AZ15" i="117"/>
  <c r="BB15" i="117" s="1"/>
  <c r="AS15" i="117"/>
  <c r="AU15" i="117" s="1"/>
  <c r="AO15" i="117"/>
  <c r="AK15" i="117" s="1"/>
  <c r="AM15" i="117"/>
  <c r="AB15" i="117"/>
  <c r="AA15" i="117"/>
  <c r="O15" i="117"/>
  <c r="BM14" i="117"/>
  <c r="BN14" i="117" s="1"/>
  <c r="BL14" i="117"/>
  <c r="BH14" i="117"/>
  <c r="AZ14" i="117"/>
  <c r="BB14" i="117" s="1"/>
  <c r="AS14" i="117"/>
  <c r="AU14" i="117" s="1"/>
  <c r="AO14" i="117"/>
  <c r="AM14" i="117"/>
  <c r="AH14" i="117"/>
  <c r="BE15" i="117" s="1"/>
  <c r="AB14" i="117"/>
  <c r="AA14" i="117"/>
  <c r="O14" i="117"/>
  <c r="AM13" i="117"/>
  <c r="AJ13" i="117" s="1"/>
  <c r="W11" i="117"/>
  <c r="E11" i="117"/>
  <c r="AG37" i="117" s="1"/>
  <c r="C8" i="117"/>
  <c r="C7" i="117"/>
  <c r="C6" i="117"/>
  <c r="O7" i="116"/>
  <c r="X46" i="116"/>
  <c r="AI45" i="116"/>
  <c r="Q45" i="116"/>
  <c r="N45" i="116"/>
  <c r="M45" i="116"/>
  <c r="L45" i="116"/>
  <c r="K45" i="116"/>
  <c r="I45" i="116"/>
  <c r="H45" i="116"/>
  <c r="G45" i="116"/>
  <c r="F45" i="116"/>
  <c r="E45" i="116"/>
  <c r="S45" i="116" s="1"/>
  <c r="BM44" i="116"/>
  <c r="BP44" i="116" s="1"/>
  <c r="BL44" i="116"/>
  <c r="BH44" i="116"/>
  <c r="BK44" i="116" s="1"/>
  <c r="V44" i="116" s="1"/>
  <c r="BD44" i="116"/>
  <c r="BF44" i="116" s="1"/>
  <c r="AZ44" i="116"/>
  <c r="AJ44" i="116" s="1"/>
  <c r="AU44" i="116"/>
  <c r="AS44" i="116"/>
  <c r="AO44" i="116"/>
  <c r="AM44" i="116"/>
  <c r="AK44" i="116"/>
  <c r="AB44" i="116"/>
  <c r="AA44" i="116"/>
  <c r="O44" i="116"/>
  <c r="BN43" i="116"/>
  <c r="BM43" i="116"/>
  <c r="BP43" i="116" s="1"/>
  <c r="BL43" i="116"/>
  <c r="BK43" i="116"/>
  <c r="V43" i="116" s="1"/>
  <c r="BH43" i="116"/>
  <c r="BD43" i="116"/>
  <c r="BF43" i="116" s="1"/>
  <c r="BB43" i="116"/>
  <c r="AZ43" i="116"/>
  <c r="AJ43" i="116" s="1"/>
  <c r="AS43" i="116"/>
  <c r="AU43" i="116" s="1"/>
  <c r="AO43" i="116"/>
  <c r="AK43" i="116" s="1"/>
  <c r="AM43" i="116"/>
  <c r="AB43" i="116"/>
  <c r="AA43" i="116"/>
  <c r="O43" i="116"/>
  <c r="BP42" i="116"/>
  <c r="BM42" i="116"/>
  <c r="BN42" i="116" s="1"/>
  <c r="BL42" i="116"/>
  <c r="BJ43" i="116" s="1"/>
  <c r="U43" i="116" s="1"/>
  <c r="BH42" i="116"/>
  <c r="BD42" i="116"/>
  <c r="BF42" i="116" s="1"/>
  <c r="BB42" i="116"/>
  <c r="AZ42" i="116"/>
  <c r="AS42" i="116"/>
  <c r="AU42" i="116" s="1"/>
  <c r="AO42" i="116"/>
  <c r="AK42" i="116" s="1"/>
  <c r="AM42" i="116"/>
  <c r="AJ42" i="116"/>
  <c r="AB42" i="116"/>
  <c r="AA42" i="116"/>
  <c r="O42" i="116"/>
  <c r="BM41" i="116"/>
  <c r="BL41" i="116"/>
  <c r="BO42" i="116" s="1"/>
  <c r="BH41" i="116"/>
  <c r="BK41" i="116" s="1"/>
  <c r="V41" i="116" s="1"/>
  <c r="BD41" i="116"/>
  <c r="BF41" i="116" s="1"/>
  <c r="AZ41" i="116"/>
  <c r="AU41" i="116"/>
  <c r="AS41" i="116"/>
  <c r="AO41" i="116"/>
  <c r="AK41" i="116" s="1"/>
  <c r="AM41" i="116"/>
  <c r="AB41" i="116"/>
  <c r="AA41" i="116"/>
  <c r="O41" i="116"/>
  <c r="BN40" i="116"/>
  <c r="BM40" i="116"/>
  <c r="BP40" i="116" s="1"/>
  <c r="BL40" i="116"/>
  <c r="BJ40" i="116"/>
  <c r="BH40" i="116"/>
  <c r="BK40" i="116" s="1"/>
  <c r="V40" i="116" s="1"/>
  <c r="BD40" i="116"/>
  <c r="BF40" i="116" s="1"/>
  <c r="AZ40" i="116"/>
  <c r="AJ40" i="116" s="1"/>
  <c r="AU40" i="116"/>
  <c r="AS40" i="116"/>
  <c r="AO40" i="116"/>
  <c r="AK40" i="116" s="1"/>
  <c r="AM40" i="116"/>
  <c r="AB40" i="116"/>
  <c r="AA40" i="116"/>
  <c r="O40" i="116"/>
  <c r="BN39" i="116"/>
  <c r="BM39" i="116"/>
  <c r="BP39" i="116" s="1"/>
  <c r="BL39" i="116"/>
  <c r="BK39" i="116"/>
  <c r="V39" i="116" s="1"/>
  <c r="BH39" i="116"/>
  <c r="BD39" i="116"/>
  <c r="BF39" i="116" s="1"/>
  <c r="BB39" i="116"/>
  <c r="AZ39" i="116"/>
  <c r="AJ39" i="116" s="1"/>
  <c r="AS39" i="116"/>
  <c r="AU39" i="116" s="1"/>
  <c r="AO39" i="116"/>
  <c r="AK39" i="116" s="1"/>
  <c r="AM39" i="116"/>
  <c r="AB39" i="116"/>
  <c r="AA39" i="116"/>
  <c r="O39" i="116"/>
  <c r="BO38" i="116"/>
  <c r="BN38" i="116"/>
  <c r="BM38" i="116"/>
  <c r="BL38" i="116"/>
  <c r="BJ39" i="116" s="1"/>
  <c r="U39" i="116" s="1"/>
  <c r="BH38" i="116"/>
  <c r="BD38" i="116"/>
  <c r="BF38" i="116" s="1"/>
  <c r="BB38" i="116"/>
  <c r="AZ38" i="116"/>
  <c r="AU38" i="116"/>
  <c r="AS38" i="116"/>
  <c r="AO38" i="116"/>
  <c r="AM38" i="116"/>
  <c r="AK38" i="116"/>
  <c r="AJ38" i="116"/>
  <c r="AH38" i="116"/>
  <c r="AB38" i="116"/>
  <c r="AA38" i="116"/>
  <c r="O38" i="116"/>
  <c r="O45" i="116" s="1"/>
  <c r="AI37" i="116"/>
  <c r="Q37" i="116"/>
  <c r="N37" i="116"/>
  <c r="M37" i="116"/>
  <c r="L37" i="116"/>
  <c r="K37" i="116"/>
  <c r="I37" i="116"/>
  <c r="H37" i="116"/>
  <c r="G37" i="116"/>
  <c r="F37" i="116"/>
  <c r="E37" i="116"/>
  <c r="BN36" i="116"/>
  <c r="BM36" i="116"/>
  <c r="BL36" i="116"/>
  <c r="BH36" i="116"/>
  <c r="BD36" i="116"/>
  <c r="BF36" i="116" s="1"/>
  <c r="AZ36" i="116"/>
  <c r="AJ36" i="116" s="1"/>
  <c r="AS36" i="116"/>
  <c r="AU36" i="116" s="1"/>
  <c r="AO36" i="116"/>
  <c r="AK36" i="116" s="1"/>
  <c r="AM36" i="116"/>
  <c r="AB36" i="116"/>
  <c r="AA36" i="116"/>
  <c r="O36" i="116"/>
  <c r="BM35" i="116"/>
  <c r="BN35" i="116" s="1"/>
  <c r="BL35" i="116"/>
  <c r="BO36" i="116" s="1"/>
  <c r="BH35" i="116"/>
  <c r="BD35" i="116"/>
  <c r="BF35" i="116" s="1"/>
  <c r="BB35" i="116"/>
  <c r="AZ35" i="116"/>
  <c r="AS35" i="116"/>
  <c r="AU35" i="116" s="1"/>
  <c r="AO35" i="116"/>
  <c r="AK35" i="116" s="1"/>
  <c r="AM35" i="116"/>
  <c r="AJ35" i="116"/>
  <c r="AB35" i="116"/>
  <c r="AA35" i="116"/>
  <c r="O35" i="116"/>
  <c r="BM34" i="116"/>
  <c r="BL34" i="116"/>
  <c r="BH34" i="116"/>
  <c r="BD34" i="116"/>
  <c r="BF34" i="116" s="1"/>
  <c r="AZ34" i="116"/>
  <c r="BB34" i="116" s="1"/>
  <c r="AS34" i="116"/>
  <c r="AU34" i="116" s="1"/>
  <c r="AO34" i="116"/>
  <c r="AK34" i="116" s="1"/>
  <c r="AM34" i="116"/>
  <c r="AJ34" i="116"/>
  <c r="AB34" i="116"/>
  <c r="AA34" i="116"/>
  <c r="O34" i="116"/>
  <c r="BM33" i="116"/>
  <c r="BL33" i="116"/>
  <c r="BH33" i="116"/>
  <c r="BD33" i="116"/>
  <c r="BF33" i="116" s="1"/>
  <c r="AZ33" i="116"/>
  <c r="AS33" i="116"/>
  <c r="AU33" i="116" s="1"/>
  <c r="AO33" i="116"/>
  <c r="AK33" i="116" s="1"/>
  <c r="AM33" i="116"/>
  <c r="AB33" i="116"/>
  <c r="AA33" i="116"/>
  <c r="O33" i="116"/>
  <c r="BM32" i="116"/>
  <c r="BN32" i="116" s="1"/>
  <c r="BL32" i="116"/>
  <c r="BH32" i="116"/>
  <c r="BD32" i="116"/>
  <c r="BF32" i="116" s="1"/>
  <c r="AZ32" i="116"/>
  <c r="AJ32" i="116" s="1"/>
  <c r="AS32" i="116"/>
  <c r="AU32" i="116" s="1"/>
  <c r="AO32" i="116"/>
  <c r="AK32" i="116" s="1"/>
  <c r="AM32" i="116"/>
  <c r="AB32" i="116"/>
  <c r="AA32" i="116"/>
  <c r="O32" i="116"/>
  <c r="BM31" i="116"/>
  <c r="BL31" i="116"/>
  <c r="BH31" i="116"/>
  <c r="BD31" i="116"/>
  <c r="BF31" i="116" s="1"/>
  <c r="BB31" i="116"/>
  <c r="AZ31" i="116"/>
  <c r="AJ31" i="116" s="1"/>
  <c r="AS31" i="116"/>
  <c r="AU31" i="116" s="1"/>
  <c r="AO31" i="116"/>
  <c r="AK31" i="116" s="1"/>
  <c r="AM31" i="116"/>
  <c r="AB31" i="116"/>
  <c r="AA31" i="116"/>
  <c r="O31" i="116"/>
  <c r="BM30" i="116"/>
  <c r="BO30" i="116" s="1"/>
  <c r="BL30" i="116"/>
  <c r="BH30" i="116"/>
  <c r="BJ30" i="116" s="1"/>
  <c r="AZ30" i="116"/>
  <c r="BB30" i="116" s="1"/>
  <c r="AS30" i="116"/>
  <c r="AU30" i="116" s="1"/>
  <c r="AO30" i="116"/>
  <c r="AM30" i="116"/>
  <c r="AH30" i="116"/>
  <c r="AR30" i="116" s="1"/>
  <c r="AB30" i="116"/>
  <c r="AA30" i="116"/>
  <c r="O30" i="116"/>
  <c r="AI29" i="116"/>
  <c r="Q29" i="116"/>
  <c r="N29" i="116"/>
  <c r="M29" i="116"/>
  <c r="L29" i="116"/>
  <c r="K29" i="116"/>
  <c r="I29" i="116"/>
  <c r="H29" i="116"/>
  <c r="G29" i="116"/>
  <c r="F29" i="116"/>
  <c r="E29" i="116"/>
  <c r="BM28" i="116"/>
  <c r="BN28" i="116" s="1"/>
  <c r="BL28" i="116"/>
  <c r="BH28" i="116"/>
  <c r="BD28" i="116"/>
  <c r="BF28" i="116" s="1"/>
  <c r="BB28" i="116"/>
  <c r="AZ28" i="116"/>
  <c r="AS28" i="116"/>
  <c r="AU28" i="116" s="1"/>
  <c r="AO28" i="116"/>
  <c r="AK28" i="116" s="1"/>
  <c r="AM28" i="116"/>
  <c r="AJ28" i="116"/>
  <c r="AB28" i="116"/>
  <c r="AA28" i="116"/>
  <c r="O28" i="116"/>
  <c r="BM27" i="116"/>
  <c r="BL27" i="116"/>
  <c r="BO28" i="116" s="1"/>
  <c r="BH27" i="116"/>
  <c r="AZ27" i="116"/>
  <c r="BB27" i="116" s="1"/>
  <c r="AS27" i="116"/>
  <c r="AU27" i="116" s="1"/>
  <c r="AO27" i="116"/>
  <c r="AM27" i="116"/>
  <c r="AB27" i="116"/>
  <c r="AA27" i="116"/>
  <c r="O27" i="116"/>
  <c r="BM26" i="116"/>
  <c r="BN26" i="116" s="1"/>
  <c r="BL26" i="116"/>
  <c r="BH26" i="116"/>
  <c r="BD26" i="116"/>
  <c r="BF26" i="116" s="1"/>
  <c r="AZ26" i="116"/>
  <c r="BB26" i="116" s="1"/>
  <c r="AS26" i="116"/>
  <c r="AU26" i="116" s="1"/>
  <c r="AO26" i="116"/>
  <c r="AM26" i="116"/>
  <c r="AK26" i="116"/>
  <c r="AB26" i="116"/>
  <c r="AA26" i="116"/>
  <c r="O26" i="116"/>
  <c r="BM25" i="116"/>
  <c r="BL25" i="116"/>
  <c r="BH25" i="116"/>
  <c r="BD25" i="116"/>
  <c r="BF25" i="116" s="1"/>
  <c r="AZ25" i="116"/>
  <c r="AJ25" i="116" s="1"/>
  <c r="AS25" i="116"/>
  <c r="AU25" i="116" s="1"/>
  <c r="AO25" i="116"/>
  <c r="AK25" i="116" s="1"/>
  <c r="AM25" i="116"/>
  <c r="AB25" i="116"/>
  <c r="AA25" i="116"/>
  <c r="O25" i="116"/>
  <c r="BM24" i="116"/>
  <c r="BL24" i="116"/>
  <c r="BH24" i="116"/>
  <c r="BD24" i="116"/>
  <c r="BF24" i="116" s="1"/>
  <c r="AZ24" i="116"/>
  <c r="AS24" i="116"/>
  <c r="AU24" i="116" s="1"/>
  <c r="AO24" i="116"/>
  <c r="AK24" i="116" s="1"/>
  <c r="AM24" i="116"/>
  <c r="AB24" i="116"/>
  <c r="AA24" i="116"/>
  <c r="O24" i="116"/>
  <c r="BM23" i="116"/>
  <c r="BN23" i="116" s="1"/>
  <c r="BL23" i="116"/>
  <c r="BH23" i="116"/>
  <c r="BD23" i="116"/>
  <c r="BF23" i="116" s="1"/>
  <c r="AZ23" i="116"/>
  <c r="AJ23" i="116" s="1"/>
  <c r="AS23" i="116"/>
  <c r="AU23" i="116" s="1"/>
  <c r="AO23" i="116"/>
  <c r="AM23" i="116"/>
  <c r="AK23" i="116"/>
  <c r="AB23" i="116"/>
  <c r="AA23" i="116"/>
  <c r="O23" i="116"/>
  <c r="BM22" i="116"/>
  <c r="BO22" i="116" s="1"/>
  <c r="BL22" i="116"/>
  <c r="BH22" i="116"/>
  <c r="BD22" i="116"/>
  <c r="BF22" i="116" s="1"/>
  <c r="AZ22" i="116"/>
  <c r="BB22" i="116" s="1"/>
  <c r="AS22" i="116"/>
  <c r="AU22" i="116" s="1"/>
  <c r="AO22" i="116"/>
  <c r="AK22" i="116" s="1"/>
  <c r="AM22" i="116"/>
  <c r="AJ22" i="116"/>
  <c r="AH22" i="116"/>
  <c r="AR22" i="116" s="1"/>
  <c r="AB22" i="116"/>
  <c r="AA22" i="116"/>
  <c r="O22" i="116"/>
  <c r="AI21" i="116"/>
  <c r="Q21" i="116"/>
  <c r="N21" i="116"/>
  <c r="M21" i="116"/>
  <c r="L21" i="116"/>
  <c r="K21" i="116"/>
  <c r="I21" i="116"/>
  <c r="BM20" i="116"/>
  <c r="BL20" i="116"/>
  <c r="BH20" i="116"/>
  <c r="BD20" i="116"/>
  <c r="BF20" i="116" s="1"/>
  <c r="AZ20" i="116"/>
  <c r="BB20" i="116" s="1"/>
  <c r="AS20" i="116"/>
  <c r="AU20" i="116" s="1"/>
  <c r="AO20" i="116"/>
  <c r="AK20" i="116" s="1"/>
  <c r="AM20" i="116"/>
  <c r="AB20" i="116"/>
  <c r="AA20" i="116"/>
  <c r="O20" i="116"/>
  <c r="BM19" i="116"/>
  <c r="BL19" i="116"/>
  <c r="BH19" i="116"/>
  <c r="BD19" i="116"/>
  <c r="BF19" i="116" s="1"/>
  <c r="AZ19" i="116"/>
  <c r="AS19" i="116"/>
  <c r="AU19" i="116" s="1"/>
  <c r="AO19" i="116"/>
  <c r="AK19" i="116" s="1"/>
  <c r="AM19" i="116"/>
  <c r="AB19" i="116"/>
  <c r="AA19" i="116"/>
  <c r="O19" i="116"/>
  <c r="BM18" i="116"/>
  <c r="BN18" i="116" s="1"/>
  <c r="BL18" i="116"/>
  <c r="BH18" i="116"/>
  <c r="BD18" i="116"/>
  <c r="BF18" i="116" s="1"/>
  <c r="AZ18" i="116"/>
  <c r="AJ18" i="116" s="1"/>
  <c r="AO18" i="116"/>
  <c r="AM18" i="116"/>
  <c r="AB18" i="116"/>
  <c r="AA18" i="116"/>
  <c r="O18" i="116"/>
  <c r="BM17" i="116"/>
  <c r="BL17" i="116"/>
  <c r="BH17" i="116"/>
  <c r="BD17" i="116"/>
  <c r="BF17" i="116" s="1"/>
  <c r="AZ17" i="116"/>
  <c r="AJ17" i="116" s="1"/>
  <c r="AO17" i="116"/>
  <c r="AM17" i="116"/>
  <c r="AB17" i="116"/>
  <c r="AA17" i="116"/>
  <c r="O17" i="116"/>
  <c r="BM16" i="116"/>
  <c r="BN16" i="116" s="1"/>
  <c r="BL16" i="116"/>
  <c r="BH16" i="116"/>
  <c r="BD16" i="116"/>
  <c r="BF16" i="116" s="1"/>
  <c r="AZ16" i="116"/>
  <c r="BB16" i="116" s="1"/>
  <c r="AO16" i="116"/>
  <c r="AM16" i="116"/>
  <c r="AB16" i="116"/>
  <c r="AA16" i="116"/>
  <c r="O16" i="116"/>
  <c r="BM15" i="116"/>
  <c r="BL15" i="116"/>
  <c r="BH15" i="116"/>
  <c r="BD15" i="116"/>
  <c r="BF15" i="116" s="1"/>
  <c r="AZ15" i="116"/>
  <c r="BB15" i="116" s="1"/>
  <c r="AO15" i="116"/>
  <c r="AM15" i="116"/>
  <c r="AB15" i="116"/>
  <c r="AA15" i="116"/>
  <c r="O15" i="116"/>
  <c r="BM14" i="116"/>
  <c r="BN14" i="116" s="1"/>
  <c r="BL14" i="116"/>
  <c r="BH14" i="116"/>
  <c r="AZ14" i="116"/>
  <c r="BB14" i="116" s="1"/>
  <c r="AO14" i="116"/>
  <c r="AM14" i="116"/>
  <c r="AH14" i="116"/>
  <c r="AB14" i="116"/>
  <c r="AA14" i="116"/>
  <c r="O14" i="116"/>
  <c r="AM13" i="116"/>
  <c r="AJ13" i="116" s="1"/>
  <c r="W11" i="116"/>
  <c r="E11" i="116"/>
  <c r="C8" i="116"/>
  <c r="C7" i="116"/>
  <c r="C6" i="116"/>
  <c r="O7" i="115"/>
  <c r="X46" i="115"/>
  <c r="AI45" i="115"/>
  <c r="Q45" i="115"/>
  <c r="N45" i="115"/>
  <c r="M45" i="115"/>
  <c r="L45" i="115"/>
  <c r="K45" i="115"/>
  <c r="I45" i="115"/>
  <c r="H45" i="115"/>
  <c r="G45" i="115"/>
  <c r="F45" i="115"/>
  <c r="E45" i="115"/>
  <c r="S45" i="115" s="1"/>
  <c r="BN44" i="115"/>
  <c r="BM44" i="115"/>
  <c r="BL44" i="115"/>
  <c r="BJ44" i="115"/>
  <c r="BH44" i="115"/>
  <c r="BK44" i="115" s="1"/>
  <c r="V44" i="115" s="1"/>
  <c r="BD44" i="115"/>
  <c r="BF44" i="115" s="1"/>
  <c r="AZ44" i="115"/>
  <c r="AJ44" i="115" s="1"/>
  <c r="AS44" i="115"/>
  <c r="AU44" i="115" s="1"/>
  <c r="AO44" i="115"/>
  <c r="AK44" i="115" s="1"/>
  <c r="AM44" i="115"/>
  <c r="AB44" i="115"/>
  <c r="AA44" i="115"/>
  <c r="O44" i="115"/>
  <c r="BN43" i="115"/>
  <c r="BM43" i="115"/>
  <c r="BP43" i="115" s="1"/>
  <c r="BL43" i="115"/>
  <c r="BK43" i="115"/>
  <c r="V43" i="115" s="1"/>
  <c r="BH43" i="115"/>
  <c r="BD43" i="115"/>
  <c r="BF43" i="115" s="1"/>
  <c r="BB43" i="115"/>
  <c r="AZ43" i="115"/>
  <c r="AJ43" i="115" s="1"/>
  <c r="AS43" i="115"/>
  <c r="AU43" i="115" s="1"/>
  <c r="AO43" i="115"/>
  <c r="AK43" i="115" s="1"/>
  <c r="AM43" i="115"/>
  <c r="AB43" i="115"/>
  <c r="AA43" i="115"/>
  <c r="O43" i="115"/>
  <c r="BN42" i="115"/>
  <c r="BM42" i="115"/>
  <c r="BL42" i="115"/>
  <c r="BJ43" i="115" s="1"/>
  <c r="BH42" i="115"/>
  <c r="BF42" i="115"/>
  <c r="BD42" i="115"/>
  <c r="BB42" i="115"/>
  <c r="AZ42" i="115"/>
  <c r="AS42" i="115"/>
  <c r="AU42" i="115" s="1"/>
  <c r="AO42" i="115"/>
  <c r="AK42" i="115" s="1"/>
  <c r="AM42" i="115"/>
  <c r="AJ42" i="115"/>
  <c r="AB42" i="115"/>
  <c r="AA42" i="115"/>
  <c r="O42" i="115"/>
  <c r="BM41" i="115"/>
  <c r="BL41" i="115"/>
  <c r="BO42" i="115" s="1"/>
  <c r="BH41" i="115"/>
  <c r="BD41" i="115"/>
  <c r="BF41" i="115" s="1"/>
  <c r="AZ41" i="115"/>
  <c r="AS41" i="115"/>
  <c r="AU41" i="115" s="1"/>
  <c r="AO41" i="115"/>
  <c r="AM41" i="115"/>
  <c r="AK41" i="115"/>
  <c r="AB41" i="115"/>
  <c r="AA41" i="115"/>
  <c r="O41" i="115"/>
  <c r="BM40" i="115"/>
  <c r="BP40" i="115" s="1"/>
  <c r="BL40" i="115"/>
  <c r="BH40" i="115"/>
  <c r="BK40" i="115" s="1"/>
  <c r="V40" i="115" s="1"/>
  <c r="BD40" i="115"/>
  <c r="BF40" i="115" s="1"/>
  <c r="AZ40" i="115"/>
  <c r="AJ40" i="115" s="1"/>
  <c r="AU40" i="115"/>
  <c r="AS40" i="115"/>
  <c r="AO40" i="115"/>
  <c r="AM40" i="115"/>
  <c r="AK40" i="115"/>
  <c r="AB40" i="115"/>
  <c r="AA40" i="115"/>
  <c r="O40" i="115"/>
  <c r="BM39" i="115"/>
  <c r="BP39" i="115" s="1"/>
  <c r="BL39" i="115"/>
  <c r="BH39" i="115"/>
  <c r="BK39" i="115" s="1"/>
  <c r="V39" i="115" s="1"/>
  <c r="BF39" i="115"/>
  <c r="BD39" i="115"/>
  <c r="BB39" i="115"/>
  <c r="AZ39" i="115"/>
  <c r="AJ39" i="115" s="1"/>
  <c r="AS39" i="115"/>
  <c r="AU39" i="115" s="1"/>
  <c r="AO39" i="115"/>
  <c r="AK39" i="115" s="1"/>
  <c r="AM39" i="115"/>
  <c r="AB39" i="115"/>
  <c r="AA39" i="115"/>
  <c r="O39" i="115"/>
  <c r="BO38" i="115"/>
  <c r="BN38" i="115"/>
  <c r="BM38" i="115"/>
  <c r="BL38" i="115"/>
  <c r="BH38" i="115"/>
  <c r="BF38" i="115"/>
  <c r="BD38" i="115"/>
  <c r="BB38" i="115"/>
  <c r="AZ38" i="115"/>
  <c r="AS38" i="115"/>
  <c r="AU38" i="115" s="1"/>
  <c r="AO38" i="115"/>
  <c r="AM38" i="115"/>
  <c r="AK38" i="115"/>
  <c r="AJ38" i="115"/>
  <c r="AH38" i="115"/>
  <c r="AB38" i="115"/>
  <c r="AA38" i="115"/>
  <c r="O38" i="115"/>
  <c r="AI37" i="115"/>
  <c r="Q37" i="115"/>
  <c r="N37" i="115"/>
  <c r="M37" i="115"/>
  <c r="L37" i="115"/>
  <c r="K37" i="115"/>
  <c r="I37" i="115"/>
  <c r="H37" i="115"/>
  <c r="G37" i="115"/>
  <c r="F37" i="115"/>
  <c r="E37" i="115"/>
  <c r="BM36" i="115"/>
  <c r="BN36" i="115" s="1"/>
  <c r="BL36" i="115"/>
  <c r="BH36" i="115"/>
  <c r="BD36" i="115"/>
  <c r="BF36" i="115" s="1"/>
  <c r="BB36" i="115"/>
  <c r="AZ36" i="115"/>
  <c r="AJ36" i="115" s="1"/>
  <c r="AS36" i="115"/>
  <c r="AU36" i="115" s="1"/>
  <c r="AO36" i="115"/>
  <c r="AK36" i="115" s="1"/>
  <c r="AM36" i="115"/>
  <c r="AB36" i="115"/>
  <c r="AA36" i="115"/>
  <c r="BM35" i="115"/>
  <c r="BN35" i="115" s="1"/>
  <c r="BL35" i="115"/>
  <c r="BH35" i="115"/>
  <c r="BD35" i="115"/>
  <c r="BF35" i="115" s="1"/>
  <c r="AZ35" i="115"/>
  <c r="AJ35" i="115" s="1"/>
  <c r="AS35" i="115"/>
  <c r="AU35" i="115" s="1"/>
  <c r="AO35" i="115"/>
  <c r="AK35" i="115" s="1"/>
  <c r="AM35" i="115"/>
  <c r="AB35" i="115"/>
  <c r="AA35" i="115"/>
  <c r="BM34" i="115"/>
  <c r="BL34" i="115"/>
  <c r="BO35" i="115" s="1"/>
  <c r="BH34" i="115"/>
  <c r="BD34" i="115"/>
  <c r="BF34" i="115" s="1"/>
  <c r="AZ34" i="115"/>
  <c r="BB34" i="115" s="1"/>
  <c r="AO34" i="115"/>
  <c r="AM34" i="115"/>
  <c r="AB34" i="115"/>
  <c r="AA34" i="115"/>
  <c r="BM33" i="115"/>
  <c r="BN33" i="115" s="1"/>
  <c r="BL33" i="115"/>
  <c r="BH33" i="115"/>
  <c r="BD33" i="115"/>
  <c r="BF33" i="115" s="1"/>
  <c r="AZ33" i="115"/>
  <c r="BB33" i="115" s="1"/>
  <c r="AO33" i="115"/>
  <c r="AM33" i="115"/>
  <c r="AJ33" i="115"/>
  <c r="AB33" i="115"/>
  <c r="AA33" i="115"/>
  <c r="BM32" i="115"/>
  <c r="BN32" i="115" s="1"/>
  <c r="BL32" i="115"/>
  <c r="BH32" i="115"/>
  <c r="BD32" i="115"/>
  <c r="BF32" i="115" s="1"/>
  <c r="AZ32" i="115"/>
  <c r="AJ32" i="115" s="1"/>
  <c r="AO32" i="115"/>
  <c r="AM32" i="115"/>
  <c r="AB32" i="115"/>
  <c r="AA32" i="115"/>
  <c r="BM31" i="115"/>
  <c r="BN31" i="115" s="1"/>
  <c r="BL31" i="115"/>
  <c r="BH31" i="115"/>
  <c r="BD31" i="115"/>
  <c r="BF31" i="115" s="1"/>
  <c r="AZ31" i="115"/>
  <c r="AJ31" i="115" s="1"/>
  <c r="AO31" i="115"/>
  <c r="AM31" i="115"/>
  <c r="AB31" i="115"/>
  <c r="AA31" i="115"/>
  <c r="BM30" i="115"/>
  <c r="BL30" i="115"/>
  <c r="BH30" i="115"/>
  <c r="BJ30" i="115" s="1"/>
  <c r="BB30" i="115"/>
  <c r="AZ30" i="115"/>
  <c r="AO30" i="115"/>
  <c r="AM30" i="115"/>
  <c r="AH30" i="115"/>
  <c r="AR30" i="115" s="1"/>
  <c r="AB30" i="115"/>
  <c r="AA30" i="115"/>
  <c r="AI29" i="115"/>
  <c r="Q29" i="115"/>
  <c r="N29" i="115"/>
  <c r="M29" i="115"/>
  <c r="L29" i="115"/>
  <c r="K29" i="115"/>
  <c r="I29" i="115"/>
  <c r="H29" i="115"/>
  <c r="G29" i="115"/>
  <c r="F29" i="115"/>
  <c r="BM28" i="115"/>
  <c r="BN28" i="115" s="1"/>
  <c r="BL28" i="115"/>
  <c r="BH28" i="115"/>
  <c r="BD28" i="115"/>
  <c r="BF28" i="115" s="1"/>
  <c r="AZ28" i="115"/>
  <c r="AJ28" i="115" s="1"/>
  <c r="AS28" i="115"/>
  <c r="AU28" i="115" s="1"/>
  <c r="AO28" i="115"/>
  <c r="AK28" i="115" s="1"/>
  <c r="AM28" i="115"/>
  <c r="AB28" i="115"/>
  <c r="AA28" i="115"/>
  <c r="O28" i="115"/>
  <c r="BM27" i="115"/>
  <c r="BN27" i="115" s="1"/>
  <c r="BL27" i="115"/>
  <c r="BH27" i="115"/>
  <c r="AZ27" i="115"/>
  <c r="BB27" i="115" s="1"/>
  <c r="AS27" i="115"/>
  <c r="AU27" i="115" s="1"/>
  <c r="AO27" i="115"/>
  <c r="AM27" i="115"/>
  <c r="AB27" i="115"/>
  <c r="AA27" i="115"/>
  <c r="O27" i="115"/>
  <c r="BM26" i="115"/>
  <c r="BL26" i="115"/>
  <c r="BH26" i="115"/>
  <c r="AZ26" i="115"/>
  <c r="AS26" i="115"/>
  <c r="AU26" i="115" s="1"/>
  <c r="AO26" i="115"/>
  <c r="AM26" i="115"/>
  <c r="AB26" i="115"/>
  <c r="AA26" i="115"/>
  <c r="O26" i="115"/>
  <c r="BM25" i="115"/>
  <c r="BN25" i="115" s="1"/>
  <c r="BL25" i="115"/>
  <c r="BH25" i="115"/>
  <c r="BD25" i="115"/>
  <c r="BF25" i="115" s="1"/>
  <c r="AZ25" i="115"/>
  <c r="BB25" i="115" s="1"/>
  <c r="AS25" i="115"/>
  <c r="AU25" i="115" s="1"/>
  <c r="AO25" i="115"/>
  <c r="AK25" i="115" s="1"/>
  <c r="AM25" i="115"/>
  <c r="AB25" i="115"/>
  <c r="AA25" i="115"/>
  <c r="O25" i="115"/>
  <c r="BM24" i="115"/>
  <c r="BL24" i="115"/>
  <c r="BH24" i="115"/>
  <c r="BD24" i="115"/>
  <c r="BF24" i="115" s="1"/>
  <c r="AZ24" i="115"/>
  <c r="AJ24" i="115" s="1"/>
  <c r="AS24" i="115"/>
  <c r="AU24" i="115" s="1"/>
  <c r="AO24" i="115"/>
  <c r="AK24" i="115" s="1"/>
  <c r="AM24" i="115"/>
  <c r="AB24" i="115"/>
  <c r="AA24" i="115"/>
  <c r="O24" i="115"/>
  <c r="BM23" i="115"/>
  <c r="BN23" i="115" s="1"/>
  <c r="BL23" i="115"/>
  <c r="BH23" i="115"/>
  <c r="BD23" i="115"/>
  <c r="BF23" i="115" s="1"/>
  <c r="AZ23" i="115"/>
  <c r="AJ23" i="115" s="1"/>
  <c r="AS23" i="115"/>
  <c r="AU23" i="115" s="1"/>
  <c r="AO23" i="115"/>
  <c r="AK23" i="115" s="1"/>
  <c r="AM23" i="115"/>
  <c r="AB23" i="115"/>
  <c r="AA23" i="115"/>
  <c r="O23" i="115"/>
  <c r="BM22" i="115"/>
  <c r="BL22" i="115"/>
  <c r="BH22" i="115"/>
  <c r="BD22" i="115"/>
  <c r="BF22" i="115" s="1"/>
  <c r="AZ22" i="115"/>
  <c r="BB22" i="115" s="1"/>
  <c r="AS22" i="115"/>
  <c r="AU22" i="115" s="1"/>
  <c r="AO22" i="115"/>
  <c r="AK22" i="115" s="1"/>
  <c r="AM22" i="115"/>
  <c r="AH22" i="115"/>
  <c r="AP22" i="115" s="1"/>
  <c r="AB22" i="115"/>
  <c r="AA22" i="115"/>
  <c r="O22" i="115"/>
  <c r="AI21" i="115"/>
  <c r="Q21" i="115"/>
  <c r="Q46" i="115" s="1"/>
  <c r="N21" i="115"/>
  <c r="M21" i="115"/>
  <c r="L21" i="115"/>
  <c r="K21" i="115"/>
  <c r="I21" i="115"/>
  <c r="H21" i="115"/>
  <c r="G21" i="115"/>
  <c r="F21" i="115"/>
  <c r="E21" i="115"/>
  <c r="BM20" i="115"/>
  <c r="BN20" i="115" s="1"/>
  <c r="BL20" i="115"/>
  <c r="BH20" i="115"/>
  <c r="BD20" i="115"/>
  <c r="BF20" i="115" s="1"/>
  <c r="AZ20" i="115"/>
  <c r="BB20" i="115" s="1"/>
  <c r="AS20" i="115"/>
  <c r="AU20" i="115" s="1"/>
  <c r="AO20" i="115"/>
  <c r="AK20" i="115" s="1"/>
  <c r="AM20" i="115"/>
  <c r="AJ20" i="115"/>
  <c r="AB20" i="115"/>
  <c r="AA20" i="115"/>
  <c r="O20" i="115"/>
  <c r="BM19" i="115"/>
  <c r="BL19" i="115"/>
  <c r="BH19" i="115"/>
  <c r="BD19" i="115"/>
  <c r="BF19" i="115" s="1"/>
  <c r="AZ19" i="115"/>
  <c r="AO19" i="115"/>
  <c r="AM19" i="115"/>
  <c r="AB19" i="115"/>
  <c r="AA19" i="115"/>
  <c r="O19" i="115"/>
  <c r="BM18" i="115"/>
  <c r="BN18" i="115" s="1"/>
  <c r="BL18" i="115"/>
  <c r="BH18" i="115"/>
  <c r="AZ18" i="115"/>
  <c r="AS18" i="115"/>
  <c r="AU18" i="115" s="1"/>
  <c r="AO18" i="115"/>
  <c r="AM18" i="115"/>
  <c r="AB18" i="115"/>
  <c r="AA18" i="115"/>
  <c r="O18" i="115"/>
  <c r="BM17" i="115"/>
  <c r="BN17" i="115" s="1"/>
  <c r="BL17" i="115"/>
  <c r="BH17" i="115"/>
  <c r="BD17" i="115"/>
  <c r="BF17" i="115" s="1"/>
  <c r="AZ17" i="115"/>
  <c r="AJ17" i="115" s="1"/>
  <c r="AS17" i="115"/>
  <c r="AU17" i="115" s="1"/>
  <c r="AO17" i="115"/>
  <c r="AK17" i="115" s="1"/>
  <c r="AM17" i="115"/>
  <c r="AB17" i="115"/>
  <c r="AA17" i="115"/>
  <c r="O17" i="115"/>
  <c r="BM16" i="115"/>
  <c r="BN16" i="115" s="1"/>
  <c r="BL16" i="115"/>
  <c r="BH16" i="115"/>
  <c r="BD16" i="115"/>
  <c r="BF16" i="115" s="1"/>
  <c r="AZ16" i="115"/>
  <c r="BB16" i="115" s="1"/>
  <c r="AS16" i="115"/>
  <c r="AU16" i="115" s="1"/>
  <c r="AO16" i="115"/>
  <c r="AK16" i="115" s="1"/>
  <c r="AM16" i="115"/>
  <c r="AB16" i="115"/>
  <c r="AA16" i="115"/>
  <c r="O16" i="115"/>
  <c r="BM15" i="115"/>
  <c r="BN15" i="115" s="1"/>
  <c r="BL15" i="115"/>
  <c r="BH15" i="115"/>
  <c r="BD15" i="115"/>
  <c r="BF15" i="115" s="1"/>
  <c r="AZ15" i="115"/>
  <c r="BB15" i="115" s="1"/>
  <c r="AS15" i="115"/>
  <c r="AU15" i="115" s="1"/>
  <c r="AO15" i="115"/>
  <c r="AK15" i="115" s="1"/>
  <c r="AM15" i="115"/>
  <c r="AB15" i="115"/>
  <c r="AA15" i="115"/>
  <c r="O15" i="115"/>
  <c r="BM14" i="115"/>
  <c r="BO14" i="115" s="1"/>
  <c r="BL14" i="115"/>
  <c r="BH14" i="115"/>
  <c r="BJ14" i="115" s="1"/>
  <c r="AZ14" i="115"/>
  <c r="BB14" i="115" s="1"/>
  <c r="AS14" i="115"/>
  <c r="AU14" i="115" s="1"/>
  <c r="AO14" i="115"/>
  <c r="AM14" i="115"/>
  <c r="AH14" i="115"/>
  <c r="BC14" i="115" s="1"/>
  <c r="BD14" i="115" s="1"/>
  <c r="BF14" i="115" s="1"/>
  <c r="AB14" i="115"/>
  <c r="AA14" i="115"/>
  <c r="O14" i="115"/>
  <c r="AM13" i="115"/>
  <c r="AJ13" i="115" s="1"/>
  <c r="AK13" i="115"/>
  <c r="W11" i="115"/>
  <c r="AG37" i="115"/>
  <c r="C8" i="115"/>
  <c r="C7" i="115"/>
  <c r="C6" i="115"/>
  <c r="O7" i="114"/>
  <c r="X46" i="114"/>
  <c r="AI45" i="114"/>
  <c r="Q45" i="114"/>
  <c r="N45" i="114"/>
  <c r="M45" i="114"/>
  <c r="L45" i="114"/>
  <c r="K45" i="114"/>
  <c r="I45" i="114"/>
  <c r="H45" i="114"/>
  <c r="G45" i="114"/>
  <c r="F45" i="114"/>
  <c r="E45" i="114"/>
  <c r="S45" i="114" s="1"/>
  <c r="BN44" i="114"/>
  <c r="BM44" i="114"/>
  <c r="BL44" i="114"/>
  <c r="BH44" i="114"/>
  <c r="BD44" i="114"/>
  <c r="BF44" i="114" s="1"/>
  <c r="AZ44" i="114"/>
  <c r="AJ44" i="114" s="1"/>
  <c r="AS44" i="114"/>
  <c r="AU44" i="114" s="1"/>
  <c r="AO44" i="114"/>
  <c r="AM44" i="114"/>
  <c r="AK44" i="114"/>
  <c r="AB44" i="114"/>
  <c r="AA44" i="114"/>
  <c r="O44" i="114"/>
  <c r="BM43" i="114"/>
  <c r="BP43" i="114" s="1"/>
  <c r="BL43" i="114"/>
  <c r="BH43" i="114"/>
  <c r="BK43" i="114" s="1"/>
  <c r="V43" i="114" s="1"/>
  <c r="BD43" i="114"/>
  <c r="BF43" i="114" s="1"/>
  <c r="BB43" i="114"/>
  <c r="AZ43" i="114"/>
  <c r="AJ43" i="114" s="1"/>
  <c r="AS43" i="114"/>
  <c r="AU43" i="114" s="1"/>
  <c r="AO43" i="114"/>
  <c r="AK43" i="114" s="1"/>
  <c r="AM43" i="114"/>
  <c r="AB43" i="114"/>
  <c r="AA43" i="114"/>
  <c r="O43" i="114"/>
  <c r="BN42" i="114"/>
  <c r="BM42" i="114"/>
  <c r="BL42" i="114"/>
  <c r="BP42" i="114" s="1"/>
  <c r="BH42" i="114"/>
  <c r="BF42" i="114"/>
  <c r="BD42" i="114"/>
  <c r="BB42" i="114"/>
  <c r="AZ42" i="114"/>
  <c r="AS42" i="114"/>
  <c r="AU42" i="114" s="1"/>
  <c r="AO42" i="114"/>
  <c r="AK42" i="114" s="1"/>
  <c r="AM42" i="114"/>
  <c r="AJ42" i="114"/>
  <c r="AB42" i="114"/>
  <c r="AA42" i="114"/>
  <c r="O42" i="114"/>
  <c r="BM41" i="114"/>
  <c r="BL41" i="114"/>
  <c r="BO42" i="114" s="1"/>
  <c r="BH41" i="114"/>
  <c r="BD41" i="114"/>
  <c r="BF41" i="114" s="1"/>
  <c r="AZ41" i="114"/>
  <c r="BB41" i="114" s="1"/>
  <c r="AS41" i="114"/>
  <c r="AU41" i="114" s="1"/>
  <c r="AO41" i="114"/>
  <c r="AM41" i="114"/>
  <c r="AK41" i="114"/>
  <c r="AJ41" i="114"/>
  <c r="AB41" i="114"/>
  <c r="AA41" i="114"/>
  <c r="O41" i="114"/>
  <c r="BM40" i="114"/>
  <c r="BL40" i="114"/>
  <c r="BH40" i="114"/>
  <c r="BK40" i="114" s="1"/>
  <c r="V40" i="114" s="1"/>
  <c r="BD40" i="114"/>
  <c r="BF40" i="114" s="1"/>
  <c r="AZ40" i="114"/>
  <c r="AU40" i="114"/>
  <c r="AS40" i="114"/>
  <c r="AO40" i="114"/>
  <c r="AM40" i="114"/>
  <c r="AK40" i="114"/>
  <c r="AB40" i="114"/>
  <c r="AA40" i="114"/>
  <c r="O40" i="114"/>
  <c r="BM39" i="114"/>
  <c r="BP39" i="114" s="1"/>
  <c r="BL39" i="114"/>
  <c r="BH39" i="114"/>
  <c r="BK39" i="114" s="1"/>
  <c r="V39" i="114" s="1"/>
  <c r="BD39" i="114"/>
  <c r="BF39" i="114" s="1"/>
  <c r="BB39" i="114"/>
  <c r="AZ39" i="114"/>
  <c r="AJ39" i="114" s="1"/>
  <c r="AS39" i="114"/>
  <c r="AU39" i="114" s="1"/>
  <c r="AO39" i="114"/>
  <c r="AK39" i="114" s="1"/>
  <c r="AM39" i="114"/>
  <c r="AH39" i="114"/>
  <c r="AR39" i="114" s="1"/>
  <c r="AB39" i="114"/>
  <c r="AA39" i="114"/>
  <c r="O39" i="114"/>
  <c r="BM38" i="114"/>
  <c r="BO38" i="114" s="1"/>
  <c r="BL38" i="114"/>
  <c r="BH38" i="114"/>
  <c r="BJ38" i="114" s="1"/>
  <c r="BF38" i="114"/>
  <c r="BD38" i="114"/>
  <c r="AZ38" i="114"/>
  <c r="BB38" i="114" s="1"/>
  <c r="AS38" i="114"/>
  <c r="AU38" i="114" s="1"/>
  <c r="AR38" i="114"/>
  <c r="AO38" i="114"/>
  <c r="AM38" i="114"/>
  <c r="AK38" i="114"/>
  <c r="AH38" i="114"/>
  <c r="BE39" i="114" s="1"/>
  <c r="AB38" i="114"/>
  <c r="AA38" i="114"/>
  <c r="O38" i="114"/>
  <c r="AI37" i="114"/>
  <c r="Q37" i="114"/>
  <c r="N37" i="114"/>
  <c r="M37" i="114"/>
  <c r="L37" i="114"/>
  <c r="K37" i="114"/>
  <c r="I37" i="114"/>
  <c r="H37" i="114"/>
  <c r="G37" i="114"/>
  <c r="F37" i="114"/>
  <c r="E37" i="114"/>
  <c r="S37" i="114" s="1"/>
  <c r="BM36" i="114"/>
  <c r="BN36" i="114" s="1"/>
  <c r="BL36" i="114"/>
  <c r="BH36" i="114"/>
  <c r="BD36" i="114"/>
  <c r="BF36" i="114" s="1"/>
  <c r="BB36" i="114"/>
  <c r="AZ36" i="114"/>
  <c r="AJ36" i="114" s="1"/>
  <c r="AS36" i="114"/>
  <c r="AU36" i="114" s="1"/>
  <c r="AO36" i="114"/>
  <c r="AK36" i="114" s="1"/>
  <c r="AM36" i="114"/>
  <c r="AB36" i="114"/>
  <c r="AA36" i="114"/>
  <c r="O36" i="114"/>
  <c r="BN35" i="114"/>
  <c r="BM35" i="114"/>
  <c r="BL35" i="114"/>
  <c r="BH35" i="114"/>
  <c r="BD35" i="114"/>
  <c r="BF35" i="114" s="1"/>
  <c r="AZ35" i="114"/>
  <c r="AJ35" i="114" s="1"/>
  <c r="AS35" i="114"/>
  <c r="AU35" i="114" s="1"/>
  <c r="AO35" i="114"/>
  <c r="AK35" i="114" s="1"/>
  <c r="AM35" i="114"/>
  <c r="AB35" i="114"/>
  <c r="AA35" i="114"/>
  <c r="O35" i="114"/>
  <c r="BM34" i="114"/>
  <c r="BL34" i="114"/>
  <c r="BH34" i="114"/>
  <c r="BD34" i="114"/>
  <c r="BF34" i="114" s="1"/>
  <c r="BB34" i="114"/>
  <c r="AZ34" i="114"/>
  <c r="AS34" i="114"/>
  <c r="AU34" i="114" s="1"/>
  <c r="AO34" i="114"/>
  <c r="AK34" i="114" s="1"/>
  <c r="AM34" i="114"/>
  <c r="AJ34" i="114"/>
  <c r="AB34" i="114"/>
  <c r="AA34" i="114"/>
  <c r="O34" i="114"/>
  <c r="BM33" i="114"/>
  <c r="BL33" i="114"/>
  <c r="BH33" i="114"/>
  <c r="BD33" i="114"/>
  <c r="BF33" i="114" s="1"/>
  <c r="AZ33" i="114"/>
  <c r="AJ33" i="114" s="1"/>
  <c r="AS33" i="114"/>
  <c r="AU33" i="114" s="1"/>
  <c r="AO33" i="114"/>
  <c r="AK33" i="114" s="1"/>
  <c r="AM33" i="114"/>
  <c r="AB33" i="114"/>
  <c r="AA33" i="114"/>
  <c r="O33" i="114"/>
  <c r="BM32" i="114"/>
  <c r="BN32" i="114" s="1"/>
  <c r="BL32" i="114"/>
  <c r="BH32" i="114"/>
  <c r="BD32" i="114"/>
  <c r="BF32" i="114" s="1"/>
  <c r="AZ32" i="114"/>
  <c r="BB32" i="114" s="1"/>
  <c r="AS32" i="114"/>
  <c r="AU32" i="114" s="1"/>
  <c r="AO32" i="114"/>
  <c r="AK32" i="114" s="1"/>
  <c r="AM32" i="114"/>
  <c r="AJ32" i="114"/>
  <c r="AB32" i="114"/>
  <c r="AA32" i="114"/>
  <c r="O32" i="114"/>
  <c r="BM31" i="114"/>
  <c r="BL31" i="114"/>
  <c r="BH31" i="114"/>
  <c r="BD31" i="114"/>
  <c r="BF31" i="114" s="1"/>
  <c r="AZ31" i="114"/>
  <c r="AS31" i="114"/>
  <c r="AU31" i="114" s="1"/>
  <c r="AO31" i="114"/>
  <c r="AK31" i="114" s="1"/>
  <c r="AM31" i="114"/>
  <c r="AB31" i="114"/>
  <c r="AA31" i="114"/>
  <c r="O31" i="114"/>
  <c r="BM30" i="114"/>
  <c r="BO30" i="114" s="1"/>
  <c r="BL30" i="114"/>
  <c r="BH30" i="114"/>
  <c r="AZ30" i="114"/>
  <c r="BB30" i="114" s="1"/>
  <c r="AS30" i="114"/>
  <c r="AU30" i="114" s="1"/>
  <c r="AO30" i="114"/>
  <c r="AM30" i="114"/>
  <c r="AH30" i="114"/>
  <c r="AP30" i="114" s="1"/>
  <c r="AB30" i="114"/>
  <c r="AA30" i="114"/>
  <c r="O30" i="114"/>
  <c r="AI29" i="114"/>
  <c r="Q29" i="114"/>
  <c r="N29" i="114"/>
  <c r="M29" i="114"/>
  <c r="L29" i="114"/>
  <c r="K29" i="114"/>
  <c r="I29" i="114"/>
  <c r="H29" i="114"/>
  <c r="G29" i="114"/>
  <c r="F29" i="114"/>
  <c r="E29" i="114"/>
  <c r="BM28" i="114"/>
  <c r="BN28" i="114" s="1"/>
  <c r="BL28" i="114"/>
  <c r="BH28" i="114"/>
  <c r="BD28" i="114"/>
  <c r="BF28" i="114" s="1"/>
  <c r="AZ28" i="114"/>
  <c r="BB28" i="114" s="1"/>
  <c r="AS28" i="114"/>
  <c r="AU28" i="114" s="1"/>
  <c r="AO28" i="114"/>
  <c r="AK28" i="114" s="1"/>
  <c r="AM28" i="114"/>
  <c r="AB28" i="114"/>
  <c r="AA28" i="114"/>
  <c r="O28" i="114"/>
  <c r="BM27" i="114"/>
  <c r="BN27" i="114" s="1"/>
  <c r="BL27" i="114"/>
  <c r="BH27" i="114"/>
  <c r="BD27" i="114"/>
  <c r="BF27" i="114" s="1"/>
  <c r="AZ27" i="114"/>
  <c r="AS27" i="114"/>
  <c r="AU27" i="114" s="1"/>
  <c r="AO27" i="114"/>
  <c r="AK27" i="114" s="1"/>
  <c r="AM27" i="114"/>
  <c r="AB27" i="114"/>
  <c r="AA27" i="114"/>
  <c r="O27" i="114"/>
  <c r="BM26" i="114"/>
  <c r="BN26" i="114" s="1"/>
  <c r="BL26" i="114"/>
  <c r="BO27" i="114" s="1"/>
  <c r="BH26" i="114"/>
  <c r="AZ26" i="114"/>
  <c r="BB26" i="114" s="1"/>
  <c r="AS26" i="114"/>
  <c r="AU26" i="114" s="1"/>
  <c r="AO26" i="114"/>
  <c r="AK26" i="114" s="1"/>
  <c r="AM26" i="114"/>
  <c r="AB26" i="114"/>
  <c r="AA26" i="114"/>
  <c r="O26" i="114"/>
  <c r="BM25" i="114"/>
  <c r="BN25" i="114" s="1"/>
  <c r="BL25" i="114"/>
  <c r="BH25" i="114"/>
  <c r="BD25" i="114"/>
  <c r="BF25" i="114" s="1"/>
  <c r="BB25" i="114"/>
  <c r="AZ25" i="114"/>
  <c r="AS25" i="114"/>
  <c r="AU25" i="114" s="1"/>
  <c r="AO25" i="114"/>
  <c r="AK25" i="114" s="1"/>
  <c r="AM25" i="114"/>
  <c r="AJ25" i="114"/>
  <c r="AB25" i="114"/>
  <c r="AA25" i="114"/>
  <c r="O25" i="114"/>
  <c r="BM24" i="114"/>
  <c r="BL24" i="114"/>
  <c r="BH24" i="114"/>
  <c r="BD24" i="114"/>
  <c r="BF24" i="114" s="1"/>
  <c r="AZ24" i="114"/>
  <c r="BB24" i="114" s="1"/>
  <c r="AS24" i="114"/>
  <c r="AU24" i="114" s="1"/>
  <c r="AO24" i="114"/>
  <c r="AK24" i="114" s="1"/>
  <c r="AM24" i="114"/>
  <c r="AJ24" i="114"/>
  <c r="AB24" i="114"/>
  <c r="AA24" i="114"/>
  <c r="O24" i="114"/>
  <c r="BM23" i="114"/>
  <c r="BL23" i="114"/>
  <c r="BH23" i="114"/>
  <c r="BD23" i="114"/>
  <c r="BF23" i="114" s="1"/>
  <c r="AZ23" i="114"/>
  <c r="AS23" i="114"/>
  <c r="AU23" i="114" s="1"/>
  <c r="AO23" i="114"/>
  <c r="AK23" i="114" s="1"/>
  <c r="AM23" i="114"/>
  <c r="AB23" i="114"/>
  <c r="AA23" i="114"/>
  <c r="O23" i="114"/>
  <c r="BM22" i="114"/>
  <c r="BL22" i="114"/>
  <c r="BH22" i="114"/>
  <c r="BJ22" i="114" s="1"/>
  <c r="BD22" i="114"/>
  <c r="BF22" i="114" s="1"/>
  <c r="AZ22" i="114"/>
  <c r="BB22" i="114" s="1"/>
  <c r="AS22" i="114"/>
  <c r="AU22" i="114" s="1"/>
  <c r="AO22" i="114"/>
  <c r="AK22" i="114" s="1"/>
  <c r="AM22" i="114"/>
  <c r="AH22" i="114"/>
  <c r="AT23" i="114" s="1"/>
  <c r="AB22" i="114"/>
  <c r="AA22" i="114"/>
  <c r="O22" i="114"/>
  <c r="AI21" i="114"/>
  <c r="Q21" i="114"/>
  <c r="BM20" i="114"/>
  <c r="BN20" i="114" s="1"/>
  <c r="BH20" i="114"/>
  <c r="BD20" i="114"/>
  <c r="BF20" i="114" s="1"/>
  <c r="AZ20" i="114"/>
  <c r="BB20" i="114" s="1"/>
  <c r="AS20" i="114"/>
  <c r="AU20" i="114" s="1"/>
  <c r="AO20" i="114"/>
  <c r="AK20" i="114" s="1"/>
  <c r="AM20" i="114"/>
  <c r="AB20" i="114"/>
  <c r="AA20" i="114"/>
  <c r="O20" i="114"/>
  <c r="BM19" i="114"/>
  <c r="BH19" i="114"/>
  <c r="BD19" i="114"/>
  <c r="BF19" i="114" s="1"/>
  <c r="AZ19" i="114"/>
  <c r="AJ19" i="114" s="1"/>
  <c r="AO19" i="114"/>
  <c r="AM19" i="114"/>
  <c r="AB19" i="114"/>
  <c r="AA19" i="114"/>
  <c r="O19" i="114"/>
  <c r="BD18" i="114"/>
  <c r="BF18" i="114" s="1"/>
  <c r="AZ18" i="114"/>
  <c r="AJ18" i="114" s="1"/>
  <c r="AS18" i="114"/>
  <c r="AU18" i="114" s="1"/>
  <c r="AO18" i="114"/>
  <c r="AK18" i="114" s="1"/>
  <c r="AM18" i="114"/>
  <c r="AB18" i="114"/>
  <c r="AA18" i="114"/>
  <c r="BM18" i="114"/>
  <c r="H21" i="114"/>
  <c r="BH18" i="114"/>
  <c r="O18" i="114"/>
  <c r="BD17" i="114"/>
  <c r="BF17" i="114" s="1"/>
  <c r="AZ17" i="114"/>
  <c r="AJ17" i="114" s="1"/>
  <c r="AM17" i="114"/>
  <c r="AB17" i="114"/>
  <c r="O17" i="114"/>
  <c r="AA17" i="114"/>
  <c r="BM17" i="114"/>
  <c r="BH17" i="114"/>
  <c r="BH16" i="114"/>
  <c r="AB16" i="114"/>
  <c r="AA16" i="114"/>
  <c r="BM16" i="114"/>
  <c r="BD16" i="114"/>
  <c r="BF16" i="114" s="1"/>
  <c r="AS16" i="114"/>
  <c r="AU16" i="114" s="1"/>
  <c r="AS15" i="114"/>
  <c r="AU15" i="114" s="1"/>
  <c r="AO15" i="114"/>
  <c r="AK15" i="114" s="1"/>
  <c r="AB15" i="114"/>
  <c r="AA15" i="114"/>
  <c r="BM15" i="114"/>
  <c r="AM15" i="114"/>
  <c r="I21" i="114"/>
  <c r="AB14" i="114"/>
  <c r="N21" i="114"/>
  <c r="M21" i="114"/>
  <c r="F21" i="114"/>
  <c r="E21" i="114"/>
  <c r="AM13" i="114"/>
  <c r="AJ13" i="114" s="1"/>
  <c r="W11" i="114"/>
  <c r="C8" i="114"/>
  <c r="C7" i="114"/>
  <c r="C6" i="114"/>
  <c r="O14" i="113"/>
  <c r="L21" i="113"/>
  <c r="AO15" i="113"/>
  <c r="AZ15" i="113"/>
  <c r="K21" i="113"/>
  <c r="N21" i="113"/>
  <c r="E21" i="113"/>
  <c r="I21" i="113"/>
  <c r="AZ17" i="113"/>
  <c r="BM17" i="113"/>
  <c r="BN17" i="113" s="1"/>
  <c r="O18" i="113"/>
  <c r="BL19" i="111"/>
  <c r="BL18" i="111"/>
  <c r="O7" i="113"/>
  <c r="X46" i="113"/>
  <c r="AI45" i="113"/>
  <c r="Q45" i="113"/>
  <c r="N45" i="113"/>
  <c r="M45" i="113"/>
  <c r="L45" i="113"/>
  <c r="K45" i="113"/>
  <c r="I45" i="113"/>
  <c r="H45" i="113"/>
  <c r="G45" i="113"/>
  <c r="F45" i="113"/>
  <c r="E45" i="113"/>
  <c r="S45" i="113" s="1"/>
  <c r="BM44" i="113"/>
  <c r="BN44" i="113" s="1"/>
  <c r="BL44" i="113"/>
  <c r="BH44" i="113"/>
  <c r="BK44" i="113" s="1"/>
  <c r="V44" i="113" s="1"/>
  <c r="BD44" i="113"/>
  <c r="BF44" i="113" s="1"/>
  <c r="AZ44" i="113"/>
  <c r="AJ44" i="113" s="1"/>
  <c r="AS44" i="113"/>
  <c r="AU44" i="113" s="1"/>
  <c r="AO44" i="113"/>
  <c r="AM44" i="113"/>
  <c r="AK44" i="113"/>
  <c r="AB44" i="113"/>
  <c r="AA44" i="113"/>
  <c r="O44" i="113"/>
  <c r="BM43" i="113"/>
  <c r="BN43" i="113" s="1"/>
  <c r="BL43" i="113"/>
  <c r="BK43" i="113" s="1"/>
  <c r="V43" i="113" s="1"/>
  <c r="BH43" i="113"/>
  <c r="BD43" i="113"/>
  <c r="BF43" i="113" s="1"/>
  <c r="BB43" i="113"/>
  <c r="AZ43" i="113"/>
  <c r="AJ43" i="113" s="1"/>
  <c r="AS43" i="113"/>
  <c r="AU43" i="113" s="1"/>
  <c r="AO43" i="113"/>
  <c r="AK43" i="113" s="1"/>
  <c r="AM43" i="113"/>
  <c r="AB43" i="113"/>
  <c r="AA43" i="113"/>
  <c r="O43" i="113"/>
  <c r="BM42" i="113"/>
  <c r="BN42" i="113" s="1"/>
  <c r="BL42" i="113"/>
  <c r="BJ43" i="113" s="1"/>
  <c r="BH42" i="113"/>
  <c r="BD42" i="113"/>
  <c r="BF42" i="113" s="1"/>
  <c r="BB42" i="113"/>
  <c r="AZ42" i="113"/>
  <c r="AS42" i="113"/>
  <c r="AU42" i="113" s="1"/>
  <c r="AO42" i="113"/>
  <c r="AK42" i="113" s="1"/>
  <c r="AM42" i="113"/>
  <c r="AJ42" i="113"/>
  <c r="AB42" i="113"/>
  <c r="AA42" i="113"/>
  <c r="O42" i="113"/>
  <c r="BM41" i="113"/>
  <c r="BL41" i="113"/>
  <c r="BH41" i="113"/>
  <c r="BD41" i="113"/>
  <c r="BF41" i="113" s="1"/>
  <c r="AZ41" i="113"/>
  <c r="AS41" i="113"/>
  <c r="AU41" i="113" s="1"/>
  <c r="AO41" i="113"/>
  <c r="AM41" i="113"/>
  <c r="AK41" i="113"/>
  <c r="AB41" i="113"/>
  <c r="AA41" i="113"/>
  <c r="O41" i="113"/>
  <c r="BN40" i="113"/>
  <c r="BM40" i="113"/>
  <c r="BL40" i="113"/>
  <c r="BH40" i="113"/>
  <c r="BD40" i="113"/>
  <c r="BF40" i="113" s="1"/>
  <c r="AZ40" i="113"/>
  <c r="AJ40" i="113" s="1"/>
  <c r="AS40" i="113"/>
  <c r="AU40" i="113" s="1"/>
  <c r="AO40" i="113"/>
  <c r="AK40" i="113" s="1"/>
  <c r="AM40" i="113"/>
  <c r="AB40" i="113"/>
  <c r="AA40" i="113"/>
  <c r="O40" i="113"/>
  <c r="BM39" i="113"/>
  <c r="BN39" i="113" s="1"/>
  <c r="BL39" i="113"/>
  <c r="BH39" i="113"/>
  <c r="BD39" i="113"/>
  <c r="BF39" i="113" s="1"/>
  <c r="AZ39" i="113"/>
  <c r="AJ39" i="113" s="1"/>
  <c r="AS39" i="113"/>
  <c r="AU39" i="113" s="1"/>
  <c r="AO39" i="113"/>
  <c r="AK39" i="113" s="1"/>
  <c r="AM39" i="113"/>
  <c r="AB39" i="113"/>
  <c r="AA39" i="113"/>
  <c r="O39" i="113"/>
  <c r="BM38" i="113"/>
  <c r="BO38" i="113" s="1"/>
  <c r="BL38" i="113"/>
  <c r="BH38" i="113"/>
  <c r="BF38" i="113"/>
  <c r="BD38" i="113"/>
  <c r="AZ38" i="113"/>
  <c r="BB38" i="113" s="1"/>
  <c r="AS38" i="113"/>
  <c r="AU38" i="113" s="1"/>
  <c r="AO38" i="113"/>
  <c r="AK38" i="113" s="1"/>
  <c r="AM38" i="113"/>
  <c r="AJ38" i="113"/>
  <c r="AH38" i="113"/>
  <c r="AB38" i="113"/>
  <c r="AA38" i="113"/>
  <c r="O38" i="113"/>
  <c r="AI37" i="113"/>
  <c r="Q37" i="113"/>
  <c r="N37" i="113"/>
  <c r="M37" i="113"/>
  <c r="L37" i="113"/>
  <c r="K37" i="113"/>
  <c r="I37" i="113"/>
  <c r="H37" i="113"/>
  <c r="G37" i="113"/>
  <c r="F37" i="113"/>
  <c r="E37" i="113"/>
  <c r="S37" i="113" s="1"/>
  <c r="BM36" i="113"/>
  <c r="BN36" i="113" s="1"/>
  <c r="BL36" i="113"/>
  <c r="BH36" i="113"/>
  <c r="BD36" i="113"/>
  <c r="BF36" i="113" s="1"/>
  <c r="AZ36" i="113"/>
  <c r="AJ36" i="113" s="1"/>
  <c r="AS36" i="113"/>
  <c r="AU36" i="113" s="1"/>
  <c r="AO36" i="113"/>
  <c r="AK36" i="113" s="1"/>
  <c r="AM36" i="113"/>
  <c r="AB36" i="113"/>
  <c r="AA36" i="113"/>
  <c r="O36" i="113"/>
  <c r="BN35" i="113"/>
  <c r="BM35" i="113"/>
  <c r="BL35" i="113"/>
  <c r="BJ36" i="113" s="1"/>
  <c r="U36" i="113" s="1"/>
  <c r="BH35" i="113"/>
  <c r="BD35" i="113"/>
  <c r="BF35" i="113" s="1"/>
  <c r="BB35" i="113"/>
  <c r="AZ35" i="113"/>
  <c r="AJ35" i="113" s="1"/>
  <c r="AS35" i="113"/>
  <c r="AU35" i="113" s="1"/>
  <c r="AO35" i="113"/>
  <c r="AK35" i="113" s="1"/>
  <c r="AM35" i="113"/>
  <c r="AB35" i="113"/>
  <c r="AA35" i="113"/>
  <c r="O35" i="113"/>
  <c r="BM34" i="113"/>
  <c r="BL34" i="113"/>
  <c r="BO35" i="113" s="1"/>
  <c r="BH34" i="113"/>
  <c r="BD34" i="113"/>
  <c r="BF34" i="113" s="1"/>
  <c r="BB34" i="113"/>
  <c r="AZ34" i="113"/>
  <c r="AS34" i="113"/>
  <c r="AU34" i="113" s="1"/>
  <c r="AO34" i="113"/>
  <c r="AK34" i="113" s="1"/>
  <c r="AM34" i="113"/>
  <c r="AJ34" i="113"/>
  <c r="AB34" i="113"/>
  <c r="AA34" i="113"/>
  <c r="O34" i="113"/>
  <c r="BM33" i="113"/>
  <c r="BL33" i="113"/>
  <c r="BH33" i="113"/>
  <c r="BD33" i="113"/>
  <c r="BF33" i="113" s="1"/>
  <c r="AZ33" i="113"/>
  <c r="AJ33" i="113" s="1"/>
  <c r="AS33" i="113"/>
  <c r="AU33" i="113" s="1"/>
  <c r="AO33" i="113"/>
  <c r="AK33" i="113" s="1"/>
  <c r="AM33" i="113"/>
  <c r="AB33" i="113"/>
  <c r="AA33" i="113"/>
  <c r="O33" i="113"/>
  <c r="BM32" i="113"/>
  <c r="BN32" i="113" s="1"/>
  <c r="BL32" i="113"/>
  <c r="BH32" i="113"/>
  <c r="BD32" i="113"/>
  <c r="BF32" i="113" s="1"/>
  <c r="AZ32" i="113"/>
  <c r="AJ32" i="113" s="1"/>
  <c r="AS32" i="113"/>
  <c r="AU32" i="113" s="1"/>
  <c r="AO32" i="113"/>
  <c r="AK32" i="113" s="1"/>
  <c r="AM32" i="113"/>
  <c r="AB32" i="113"/>
  <c r="AA32" i="113"/>
  <c r="O32" i="113"/>
  <c r="BM31" i="113"/>
  <c r="BL31" i="113"/>
  <c r="BO32" i="113" s="1"/>
  <c r="BH31" i="113"/>
  <c r="BD31" i="113"/>
  <c r="BF31" i="113" s="1"/>
  <c r="AZ31" i="113"/>
  <c r="BB31" i="113" s="1"/>
  <c r="AS31" i="113"/>
  <c r="AU31" i="113" s="1"/>
  <c r="AO31" i="113"/>
  <c r="AK31" i="113" s="1"/>
  <c r="AM31" i="113"/>
  <c r="AB31" i="113"/>
  <c r="AA31" i="113"/>
  <c r="O31" i="113"/>
  <c r="BM30" i="113"/>
  <c r="BL30" i="113"/>
  <c r="BH30" i="113"/>
  <c r="AZ30" i="113"/>
  <c r="BB30" i="113" s="1"/>
  <c r="AS30" i="113"/>
  <c r="AU30" i="113" s="1"/>
  <c r="AO30" i="113"/>
  <c r="AM30" i="113"/>
  <c r="AH30" i="113"/>
  <c r="AR30" i="113" s="1"/>
  <c r="AB30" i="113"/>
  <c r="AA30" i="113"/>
  <c r="O30" i="113"/>
  <c r="AI29" i="113"/>
  <c r="Q29" i="113"/>
  <c r="N29" i="113"/>
  <c r="M29" i="113"/>
  <c r="L29" i="113"/>
  <c r="K29" i="113"/>
  <c r="I29" i="113"/>
  <c r="H29" i="113"/>
  <c r="G29" i="113"/>
  <c r="F29" i="113"/>
  <c r="E29" i="113"/>
  <c r="BM28" i="113"/>
  <c r="BL28" i="113"/>
  <c r="BH28" i="113"/>
  <c r="BD28" i="113"/>
  <c r="BF28" i="113" s="1"/>
  <c r="AZ28" i="113"/>
  <c r="AJ28" i="113" s="1"/>
  <c r="AS28" i="113"/>
  <c r="AU28" i="113" s="1"/>
  <c r="AO28" i="113"/>
  <c r="AK28" i="113" s="1"/>
  <c r="AM28" i="113"/>
  <c r="AB28" i="113"/>
  <c r="AA28" i="113"/>
  <c r="O28" i="113"/>
  <c r="BM27" i="113"/>
  <c r="BN27" i="113" s="1"/>
  <c r="BL27" i="113"/>
  <c r="BH27" i="113"/>
  <c r="AZ27" i="113"/>
  <c r="BB27" i="113" s="1"/>
  <c r="AS27" i="113"/>
  <c r="AU27" i="113" s="1"/>
  <c r="AO27" i="113"/>
  <c r="AK27" i="113" s="1"/>
  <c r="AM27" i="113"/>
  <c r="AB27" i="113"/>
  <c r="AA27" i="113"/>
  <c r="O27" i="113"/>
  <c r="BM26" i="113"/>
  <c r="BN26" i="113" s="1"/>
  <c r="BL26" i="113"/>
  <c r="BH26" i="113"/>
  <c r="BD26" i="113"/>
  <c r="BF26" i="113" s="1"/>
  <c r="AZ26" i="113"/>
  <c r="AJ26" i="113" s="1"/>
  <c r="AS26" i="113"/>
  <c r="AU26" i="113" s="1"/>
  <c r="AO26" i="113"/>
  <c r="AK26" i="113" s="1"/>
  <c r="AM26" i="113"/>
  <c r="AB26" i="113"/>
  <c r="AA26" i="113"/>
  <c r="O26" i="113"/>
  <c r="BM25" i="113"/>
  <c r="BN25" i="113" s="1"/>
  <c r="BL25" i="113"/>
  <c r="BH25" i="113"/>
  <c r="BD25" i="113"/>
  <c r="BF25" i="113" s="1"/>
  <c r="AZ25" i="113"/>
  <c r="BB25" i="113" s="1"/>
  <c r="AS25" i="113"/>
  <c r="AU25" i="113" s="1"/>
  <c r="AO25" i="113"/>
  <c r="AK25" i="113" s="1"/>
  <c r="AM25" i="113"/>
  <c r="AB25" i="113"/>
  <c r="AA25" i="113"/>
  <c r="O25" i="113"/>
  <c r="BM24" i="113"/>
  <c r="BL24" i="113"/>
  <c r="BH24" i="113"/>
  <c r="BD24" i="113"/>
  <c r="BF24" i="113" s="1"/>
  <c r="AZ24" i="113"/>
  <c r="AS24" i="113"/>
  <c r="AU24" i="113" s="1"/>
  <c r="AO24" i="113"/>
  <c r="AK24" i="113" s="1"/>
  <c r="AM24" i="113"/>
  <c r="AB24" i="113"/>
  <c r="AA24" i="113"/>
  <c r="O24" i="113"/>
  <c r="BM23" i="113"/>
  <c r="BL23" i="113"/>
  <c r="BH23" i="113"/>
  <c r="BD23" i="113"/>
  <c r="BF23" i="113" s="1"/>
  <c r="AZ23" i="113"/>
  <c r="AJ23" i="113" s="1"/>
  <c r="AS23" i="113"/>
  <c r="AU23" i="113" s="1"/>
  <c r="AO23" i="113"/>
  <c r="AK23" i="113" s="1"/>
  <c r="AM23" i="113"/>
  <c r="AB23" i="113"/>
  <c r="AA23" i="113"/>
  <c r="O23" i="113"/>
  <c r="BM22" i="113"/>
  <c r="BO22" i="113" s="1"/>
  <c r="BL22" i="113"/>
  <c r="BH22" i="113"/>
  <c r="BJ22" i="113" s="1"/>
  <c r="BD22" i="113"/>
  <c r="BF22" i="113" s="1"/>
  <c r="AZ22" i="113"/>
  <c r="BB22" i="113" s="1"/>
  <c r="AS22" i="113"/>
  <c r="AU22" i="113" s="1"/>
  <c r="AO22" i="113"/>
  <c r="AK22" i="113" s="1"/>
  <c r="AM22" i="113"/>
  <c r="AH22" i="113"/>
  <c r="AR22" i="113" s="1"/>
  <c r="AB22" i="113"/>
  <c r="AA22" i="113"/>
  <c r="O22" i="113"/>
  <c r="AI21" i="113"/>
  <c r="Q21" i="113"/>
  <c r="M21" i="113"/>
  <c r="H21" i="113"/>
  <c r="G21" i="113"/>
  <c r="BM20" i="113"/>
  <c r="BH20" i="113"/>
  <c r="BD20" i="113"/>
  <c r="BF20" i="113" s="1"/>
  <c r="AZ20" i="113"/>
  <c r="BB20" i="113" s="1"/>
  <c r="AO20" i="113"/>
  <c r="AM20" i="113"/>
  <c r="AJ20" i="113"/>
  <c r="AB20" i="113"/>
  <c r="AA20" i="113"/>
  <c r="O20" i="113"/>
  <c r="BM19" i="113"/>
  <c r="BL19" i="113"/>
  <c r="BH19" i="113"/>
  <c r="BD19" i="113"/>
  <c r="BF19" i="113" s="1"/>
  <c r="AZ19" i="113"/>
  <c r="AO19" i="113"/>
  <c r="AM19" i="113"/>
  <c r="AB19" i="113"/>
  <c r="AA19" i="113"/>
  <c r="O19" i="113"/>
  <c r="BH18" i="113"/>
  <c r="BD18" i="113"/>
  <c r="BF18" i="113" s="1"/>
  <c r="AZ18" i="113"/>
  <c r="AJ18" i="113" s="1"/>
  <c r="AO18" i="113"/>
  <c r="AM18" i="113"/>
  <c r="AB18" i="113"/>
  <c r="AA18" i="113"/>
  <c r="BH17" i="113"/>
  <c r="BD17" i="113"/>
  <c r="BF17" i="113" s="1"/>
  <c r="AM17" i="113"/>
  <c r="AB17" i="113"/>
  <c r="AA17" i="113"/>
  <c r="BL16" i="113"/>
  <c r="BD16" i="113"/>
  <c r="BF16" i="113" s="1"/>
  <c r="AZ16" i="113"/>
  <c r="BB16" i="113" s="1"/>
  <c r="AO16" i="113"/>
  <c r="AM16" i="113"/>
  <c r="AB16" i="113"/>
  <c r="AA16" i="113"/>
  <c r="BM15" i="113"/>
  <c r="BN15" i="113" s="1"/>
  <c r="BL15" i="113"/>
  <c r="BD15" i="113"/>
  <c r="BF15" i="113" s="1"/>
  <c r="AB15" i="113"/>
  <c r="BM14" i="113"/>
  <c r="BO14" i="113" s="1"/>
  <c r="BL14" i="113"/>
  <c r="BH14" i="113"/>
  <c r="AZ14" i="113"/>
  <c r="BB14" i="113" s="1"/>
  <c r="AO14" i="113"/>
  <c r="AM14" i="113"/>
  <c r="AH14" i="113"/>
  <c r="BE15" i="113" s="1"/>
  <c r="AB14" i="113"/>
  <c r="AA14" i="113"/>
  <c r="AM13" i="113"/>
  <c r="AJ13" i="113" s="1"/>
  <c r="W11" i="113"/>
  <c r="AG29" i="113"/>
  <c r="C8" i="113"/>
  <c r="C7" i="113"/>
  <c r="C6" i="113"/>
  <c r="BL14" i="111"/>
  <c r="BL15" i="111"/>
  <c r="BN30" i="133" l="1"/>
  <c r="AR14" i="116"/>
  <c r="BJ36" i="115"/>
  <c r="U36" i="115" s="1"/>
  <c r="AK30" i="114"/>
  <c r="AQ22" i="116"/>
  <c r="AQ22" i="117"/>
  <c r="BO35" i="117"/>
  <c r="BJ28" i="120"/>
  <c r="BO25" i="122"/>
  <c r="BP23" i="122"/>
  <c r="BO27" i="122"/>
  <c r="BN22" i="122"/>
  <c r="BJ23" i="122"/>
  <c r="V23" i="122" s="1"/>
  <c r="BJ25" i="122"/>
  <c r="U25" i="122" s="1"/>
  <c r="BE23" i="122"/>
  <c r="BK26" i="122"/>
  <c r="V26" i="122" s="1"/>
  <c r="U22" i="122"/>
  <c r="AQ22" i="122"/>
  <c r="U28" i="123"/>
  <c r="BP28" i="123"/>
  <c r="BA22" i="123"/>
  <c r="AQ22" i="123"/>
  <c r="AH23" i="123"/>
  <c r="BE24" i="123" s="1"/>
  <c r="BJ28" i="124"/>
  <c r="BP14" i="125"/>
  <c r="U28" i="124"/>
  <c r="BK28" i="124"/>
  <c r="V28" i="124" s="1"/>
  <c r="BK24" i="124"/>
  <c r="V24" i="124" s="1"/>
  <c r="BO24" i="125"/>
  <c r="U22" i="125"/>
  <c r="BK26" i="125"/>
  <c r="V26" i="125" s="1"/>
  <c r="BJ25" i="125"/>
  <c r="BO27" i="125"/>
  <c r="AI22" i="126"/>
  <c r="BK26" i="126"/>
  <c r="V26" i="126" s="1"/>
  <c r="BO28" i="126"/>
  <c r="BJ26" i="126"/>
  <c r="U26" i="126" s="1"/>
  <c r="BJ25" i="126"/>
  <c r="BK25" i="126"/>
  <c r="V25" i="126" s="1"/>
  <c r="AT23" i="126"/>
  <c r="AP22" i="126"/>
  <c r="BJ33" i="127"/>
  <c r="BP28" i="127"/>
  <c r="BJ17" i="127"/>
  <c r="BJ26" i="128"/>
  <c r="BK26" i="128"/>
  <c r="V26" i="128" s="1"/>
  <c r="AT23" i="128"/>
  <c r="AH23" i="129"/>
  <c r="BA23" i="129" s="1"/>
  <c r="BP28" i="130"/>
  <c r="BJ27" i="130"/>
  <c r="BK19" i="130"/>
  <c r="V19" i="130" s="1"/>
  <c r="AI22" i="132"/>
  <c r="BJ22" i="132"/>
  <c r="BP24" i="132"/>
  <c r="BP25" i="133"/>
  <c r="BJ31" i="133"/>
  <c r="BK23" i="133"/>
  <c r="V23" i="133" s="1"/>
  <c r="BO32" i="133"/>
  <c r="BO27" i="133"/>
  <c r="BJ25" i="133"/>
  <c r="U25" i="133" s="1"/>
  <c r="BC22" i="133"/>
  <c r="BO19" i="133"/>
  <c r="BK23" i="120"/>
  <c r="V23" i="120" s="1"/>
  <c r="BO23" i="120"/>
  <c r="BN22" i="120"/>
  <c r="AH23" i="119"/>
  <c r="BC23" i="119" s="1"/>
  <c r="BK23" i="119"/>
  <c r="V23" i="119" s="1"/>
  <c r="BO23" i="119"/>
  <c r="BP15" i="120"/>
  <c r="BO28" i="119"/>
  <c r="BK24" i="119"/>
  <c r="V24" i="119" s="1"/>
  <c r="BA22" i="119"/>
  <c r="BJ23" i="118"/>
  <c r="U22" i="118"/>
  <c r="BK26" i="118"/>
  <c r="V26" i="118" s="1"/>
  <c r="AI22" i="118"/>
  <c r="BP25" i="118"/>
  <c r="BK22" i="118"/>
  <c r="V22" i="118" s="1"/>
  <c r="BE23" i="118"/>
  <c r="BC22" i="118"/>
  <c r="BP22" i="118"/>
  <c r="AV22" i="118"/>
  <c r="AW22" i="118" s="1"/>
  <c r="BJ27" i="118"/>
  <c r="U27" i="118" s="1"/>
  <c r="AQ22" i="118"/>
  <c r="BO36" i="117"/>
  <c r="BK22" i="117"/>
  <c r="V22" i="117" s="1"/>
  <c r="BK26" i="117"/>
  <c r="V26" i="117" s="1"/>
  <c r="BJ26" i="117"/>
  <c r="AP22" i="117"/>
  <c r="BJ22" i="117"/>
  <c r="BK28" i="117"/>
  <c r="V28" i="117" s="1"/>
  <c r="BK22" i="116"/>
  <c r="V22" i="116" s="1"/>
  <c r="BP28" i="116"/>
  <c r="BK25" i="116"/>
  <c r="V25" i="116" s="1"/>
  <c r="BI22" i="116"/>
  <c r="AT23" i="116"/>
  <c r="AI22" i="116"/>
  <c r="AV22" i="116" s="1"/>
  <c r="AW22" i="116" s="1"/>
  <c r="BN22" i="116"/>
  <c r="BE23" i="116"/>
  <c r="BO25" i="114"/>
  <c r="BB33" i="133"/>
  <c r="BO33" i="133"/>
  <c r="BB17" i="133"/>
  <c r="BJ20" i="132"/>
  <c r="U20" i="132" s="1"/>
  <c r="AJ31" i="131"/>
  <c r="BB19" i="131"/>
  <c r="BB35" i="129"/>
  <c r="BB15" i="129"/>
  <c r="BB16" i="129"/>
  <c r="AJ27" i="128"/>
  <c r="AJ23" i="128"/>
  <c r="BB32" i="127"/>
  <c r="BB33" i="127"/>
  <c r="AJ16" i="128"/>
  <c r="AJ17" i="128"/>
  <c r="AQ22" i="125"/>
  <c r="BB25" i="125"/>
  <c r="BB26" i="125"/>
  <c r="AI22" i="125"/>
  <c r="BK22" i="125"/>
  <c r="V22" i="125" s="1"/>
  <c r="AT23" i="125"/>
  <c r="AJ27" i="125"/>
  <c r="BP22" i="125"/>
  <c r="BA22" i="125"/>
  <c r="BK23" i="125"/>
  <c r="V23" i="125" s="1"/>
  <c r="BJ32" i="124"/>
  <c r="U32" i="124" s="1"/>
  <c r="BK32" i="124"/>
  <c r="V32" i="124" s="1"/>
  <c r="BC14" i="125"/>
  <c r="BD14" i="125" s="1"/>
  <c r="BF14" i="125" s="1"/>
  <c r="AI14" i="125"/>
  <c r="AY14" i="125" s="1"/>
  <c r="BB32" i="124"/>
  <c r="BB31" i="123"/>
  <c r="BB18" i="123"/>
  <c r="AJ33" i="122"/>
  <c r="AJ34" i="122"/>
  <c r="AR14" i="121"/>
  <c r="BB18" i="120"/>
  <c r="BB19" i="120"/>
  <c r="AJ31" i="119"/>
  <c r="BK41" i="117"/>
  <c r="V41" i="117" s="1"/>
  <c r="BP39" i="117"/>
  <c r="BJ40" i="117"/>
  <c r="U40" i="117" s="1"/>
  <c r="BP44" i="117"/>
  <c r="AI22" i="115"/>
  <c r="AV22" i="115" s="1"/>
  <c r="AW22" i="115" s="1"/>
  <c r="AJ22" i="115"/>
  <c r="BB23" i="115"/>
  <c r="AJ25" i="115"/>
  <c r="BB28" i="115"/>
  <c r="BO23" i="115"/>
  <c r="AQ22" i="115"/>
  <c r="BB17" i="115"/>
  <c r="AJ22" i="114"/>
  <c r="AJ28" i="114"/>
  <c r="AH23" i="114"/>
  <c r="AP23" i="114" s="1"/>
  <c r="BE23" i="114"/>
  <c r="BK27" i="114"/>
  <c r="V27" i="114" s="1"/>
  <c r="BB32" i="113"/>
  <c r="BJ30" i="133"/>
  <c r="U30" i="133" s="1"/>
  <c r="AT31" i="133"/>
  <c r="AI30" i="133"/>
  <c r="AV30" i="133" s="1"/>
  <c r="AW30" i="133" s="1"/>
  <c r="BA30" i="133"/>
  <c r="AJ30" i="133" s="1"/>
  <c r="BP30" i="133"/>
  <c r="AH31" i="133"/>
  <c r="BA31" i="133" s="1"/>
  <c r="BJ33" i="133"/>
  <c r="U33" i="133" s="1"/>
  <c r="BB16" i="132"/>
  <c r="BJ32" i="131"/>
  <c r="O29" i="128"/>
  <c r="BK25" i="128"/>
  <c r="V25" i="128" s="1"/>
  <c r="BK22" i="128"/>
  <c r="V22" i="128" s="1"/>
  <c r="AQ22" i="128"/>
  <c r="AI22" i="128"/>
  <c r="AY22" i="128" s="1"/>
  <c r="BB18" i="128"/>
  <c r="AJ30" i="127"/>
  <c r="O37" i="125"/>
  <c r="AP14" i="125"/>
  <c r="AK14" i="125" s="1"/>
  <c r="AK30" i="122"/>
  <c r="BJ36" i="122"/>
  <c r="U36" i="122" s="1"/>
  <c r="BP36" i="122"/>
  <c r="BB30" i="120"/>
  <c r="BK20" i="121"/>
  <c r="V20" i="121" s="1"/>
  <c r="BJ20" i="120"/>
  <c r="U20" i="120" s="1"/>
  <c r="BJ19" i="120"/>
  <c r="AC37" i="119"/>
  <c r="BB38" i="117"/>
  <c r="AC45" i="117"/>
  <c r="BN38" i="117"/>
  <c r="BK40" i="117"/>
  <c r="V40" i="117" s="1"/>
  <c r="BO35" i="116"/>
  <c r="BK33" i="116"/>
  <c r="V33" i="116" s="1"/>
  <c r="BJ33" i="115"/>
  <c r="U33" i="115" s="1"/>
  <c r="BK28" i="115"/>
  <c r="V28" i="115" s="1"/>
  <c r="BJ23" i="115"/>
  <c r="AC37" i="114"/>
  <c r="BJ31" i="114"/>
  <c r="BO26" i="114"/>
  <c r="BP22" i="114"/>
  <c r="BK22" i="114"/>
  <c r="V22" i="114" s="1"/>
  <c r="AI30" i="113"/>
  <c r="AV30" i="113" s="1"/>
  <c r="AW30" i="113" s="1"/>
  <c r="BO23" i="131"/>
  <c r="BK20" i="131"/>
  <c r="V20" i="131" s="1"/>
  <c r="U22" i="131"/>
  <c r="BK23" i="131"/>
  <c r="V23" i="131" s="1"/>
  <c r="BK28" i="131"/>
  <c r="V28" i="131" s="1"/>
  <c r="BA22" i="131"/>
  <c r="AH23" i="131"/>
  <c r="BA23" i="131" s="1"/>
  <c r="BP28" i="131"/>
  <c r="AQ22" i="131"/>
  <c r="BK24" i="131"/>
  <c r="V24" i="131" s="1"/>
  <c r="BO19" i="132"/>
  <c r="BO16" i="125"/>
  <c r="BK40" i="123"/>
  <c r="V40" i="123" s="1"/>
  <c r="BP38" i="123"/>
  <c r="BJ33" i="122"/>
  <c r="U33" i="122" s="1"/>
  <c r="BO20" i="121"/>
  <c r="BO18" i="120"/>
  <c r="BO15" i="121"/>
  <c r="BP19" i="120"/>
  <c r="BN30" i="119"/>
  <c r="BP19" i="117"/>
  <c r="BK22" i="113"/>
  <c r="V22" i="113" s="1"/>
  <c r="BK28" i="113"/>
  <c r="V28" i="113" s="1"/>
  <c r="BK23" i="113"/>
  <c r="V23" i="113" s="1"/>
  <c r="AI22" i="113"/>
  <c r="AV22" i="113" s="1"/>
  <c r="AW22" i="113" s="1"/>
  <c r="BC22" i="113"/>
  <c r="AQ22" i="113"/>
  <c r="BI22" i="113"/>
  <c r="BJ16" i="132"/>
  <c r="U16" i="132" s="1"/>
  <c r="BB15" i="132"/>
  <c r="BB18" i="130"/>
  <c r="BK16" i="130"/>
  <c r="V16" i="130" s="1"/>
  <c r="BO18" i="130"/>
  <c r="BP20" i="129"/>
  <c r="BJ31" i="128"/>
  <c r="BO18" i="128"/>
  <c r="U33" i="127"/>
  <c r="BP33" i="127"/>
  <c r="BO17" i="128"/>
  <c r="BA30" i="125"/>
  <c r="AJ30" i="125" s="1"/>
  <c r="BC30" i="125"/>
  <c r="BD30" i="125" s="1"/>
  <c r="BF30" i="125" s="1"/>
  <c r="BO30" i="125"/>
  <c r="BI30" i="125"/>
  <c r="BK31" i="125"/>
  <c r="V31" i="125" s="1"/>
  <c r="BJ32" i="125"/>
  <c r="BK36" i="125"/>
  <c r="V36" i="125" s="1"/>
  <c r="AI14" i="126"/>
  <c r="AY14" i="126" s="1"/>
  <c r="AP14" i="126"/>
  <c r="AK14" i="126" s="1"/>
  <c r="BO17" i="125"/>
  <c r="BK17" i="125"/>
  <c r="V17" i="125" s="1"/>
  <c r="BK36" i="124"/>
  <c r="V36" i="124" s="1"/>
  <c r="BN14" i="125"/>
  <c r="BP15" i="125"/>
  <c r="BC30" i="124"/>
  <c r="BD30" i="124" s="1"/>
  <c r="BF30" i="124" s="1"/>
  <c r="AI30" i="124"/>
  <c r="BK35" i="124"/>
  <c r="V35" i="124" s="1"/>
  <c r="BK15" i="125"/>
  <c r="V15" i="125" s="1"/>
  <c r="BJ14" i="125"/>
  <c r="U14" i="125" s="1"/>
  <c r="BK44" i="123"/>
  <c r="V44" i="123" s="1"/>
  <c r="BK41" i="123"/>
  <c r="V41" i="123" s="1"/>
  <c r="BK43" i="123"/>
  <c r="V43" i="123" s="1"/>
  <c r="AJ16" i="124"/>
  <c r="BO20" i="124"/>
  <c r="BK19" i="123"/>
  <c r="V19" i="123" s="1"/>
  <c r="BJ34" i="121"/>
  <c r="U34" i="121" s="1"/>
  <c r="AJ17" i="122"/>
  <c r="BK19" i="122"/>
  <c r="V19" i="122" s="1"/>
  <c r="BJ32" i="120"/>
  <c r="U32" i="120" s="1"/>
  <c r="BK31" i="120"/>
  <c r="V31" i="120" s="1"/>
  <c r="BB16" i="121"/>
  <c r="BN19" i="120"/>
  <c r="BP36" i="119"/>
  <c r="BO35" i="119"/>
  <c r="BK17" i="120"/>
  <c r="V17" i="120" s="1"/>
  <c r="BJ32" i="119"/>
  <c r="BK19" i="120"/>
  <c r="V19" i="120" s="1"/>
  <c r="BK35" i="119"/>
  <c r="V35" i="119" s="1"/>
  <c r="BK36" i="119"/>
  <c r="V36" i="119" s="1"/>
  <c r="BK15" i="120"/>
  <c r="V15" i="120" s="1"/>
  <c r="BJ30" i="119"/>
  <c r="BK30" i="119" s="1"/>
  <c r="V30" i="119" s="1"/>
  <c r="BO32" i="119"/>
  <c r="BB14" i="120"/>
  <c r="BN14" i="120"/>
  <c r="BK16" i="120"/>
  <c r="V16" i="120" s="1"/>
  <c r="BP18" i="120"/>
  <c r="BB15" i="120"/>
  <c r="BP16" i="120"/>
  <c r="BO20" i="119"/>
  <c r="BP20" i="119"/>
  <c r="AJ16" i="119"/>
  <c r="BJ19" i="118"/>
  <c r="U19" i="118" s="1"/>
  <c r="BJ19" i="117"/>
  <c r="BJ33" i="116"/>
  <c r="AJ16" i="117"/>
  <c r="AJ15" i="117"/>
  <c r="BB17" i="117"/>
  <c r="BO18" i="116"/>
  <c r="BK19" i="116"/>
  <c r="V19" i="116" s="1"/>
  <c r="BJ17" i="116"/>
  <c r="BO17" i="116"/>
  <c r="AJ16" i="116"/>
  <c r="BB17" i="116"/>
  <c r="BN17" i="116"/>
  <c r="BK19" i="115"/>
  <c r="V19" i="115" s="1"/>
  <c r="AJ16" i="115"/>
  <c r="BK31" i="114"/>
  <c r="V31" i="114" s="1"/>
  <c r="AP30" i="113"/>
  <c r="AK30" i="113" s="1"/>
  <c r="BI30" i="113"/>
  <c r="BJ30" i="113"/>
  <c r="BK30" i="113" s="1"/>
  <c r="V30" i="113" s="1"/>
  <c r="BA30" i="113"/>
  <c r="AJ30" i="113" s="1"/>
  <c r="AQ30" i="113"/>
  <c r="BE31" i="113"/>
  <c r="BB33" i="113"/>
  <c r="BN38" i="113"/>
  <c r="BO42" i="113"/>
  <c r="AJ20" i="114"/>
  <c r="BN22" i="114"/>
  <c r="U22" i="114" s="1"/>
  <c r="BJ23" i="114"/>
  <c r="BO36" i="114"/>
  <c r="BK41" i="114"/>
  <c r="V41" i="114" s="1"/>
  <c r="BP44" i="114"/>
  <c r="BO20" i="115"/>
  <c r="AT23" i="115"/>
  <c r="BJ24" i="115"/>
  <c r="BB35" i="115"/>
  <c r="BN40" i="115"/>
  <c r="BK41" i="115"/>
  <c r="V41" i="115" s="1"/>
  <c r="BB18" i="116"/>
  <c r="BP22" i="116"/>
  <c r="AH23" i="116"/>
  <c r="AQ23" i="116" s="1"/>
  <c r="BB25" i="116"/>
  <c r="BB36" i="116"/>
  <c r="BN44" i="116"/>
  <c r="BB18" i="117"/>
  <c r="AR22" i="117"/>
  <c r="BE23" i="117"/>
  <c r="BC22" i="117"/>
  <c r="BA22" i="117"/>
  <c r="BI22" i="117"/>
  <c r="AT23" i="117"/>
  <c r="AH23" i="117"/>
  <c r="AH24" i="117" s="1"/>
  <c r="AV22" i="117"/>
  <c r="AW22" i="117" s="1"/>
  <c r="BP22" i="117"/>
  <c r="BO22" i="117"/>
  <c r="BN22" i="117"/>
  <c r="BO23" i="117"/>
  <c r="BP23" i="117"/>
  <c r="BJ43" i="117"/>
  <c r="U43" i="117" s="1"/>
  <c r="BO43" i="117"/>
  <c r="BP42" i="117"/>
  <c r="AJ28" i="119"/>
  <c r="BB28" i="119"/>
  <c r="BP14" i="113"/>
  <c r="AP22" i="113"/>
  <c r="BA22" i="113"/>
  <c r="AT23" i="113"/>
  <c r="BO28" i="113"/>
  <c r="U43" i="113"/>
  <c r="BI22" i="114"/>
  <c r="BO22" i="114"/>
  <c r="BP28" i="114"/>
  <c r="BB33" i="114"/>
  <c r="BK36" i="114"/>
  <c r="V36" i="114" s="1"/>
  <c r="AJ38" i="114"/>
  <c r="BJ39" i="114"/>
  <c r="BO17" i="115"/>
  <c r="AH23" i="115"/>
  <c r="BI23" i="115" s="1"/>
  <c r="O45" i="115"/>
  <c r="AC45" i="115"/>
  <c r="AJ15" i="116"/>
  <c r="BO25" i="117"/>
  <c r="BP24" i="117"/>
  <c r="BK44" i="117"/>
  <c r="V44" i="117" s="1"/>
  <c r="BJ44" i="117"/>
  <c r="U44" i="115"/>
  <c r="U40" i="116"/>
  <c r="AC45" i="116"/>
  <c r="BB23" i="117"/>
  <c r="AJ23" i="117"/>
  <c r="BO27" i="117"/>
  <c r="BN27" i="117"/>
  <c r="AJ22" i="113"/>
  <c r="BP22" i="113"/>
  <c r="AH23" i="113"/>
  <c r="BA23" i="113" s="1"/>
  <c r="AT31" i="113"/>
  <c r="BO31" i="113"/>
  <c r="BP33" i="113"/>
  <c r="BB36" i="113"/>
  <c r="AP22" i="114"/>
  <c r="BA22" i="114"/>
  <c r="BP32" i="114"/>
  <c r="BB35" i="114"/>
  <c r="O45" i="114"/>
  <c r="BN38" i="114"/>
  <c r="U38" i="114" s="1"/>
  <c r="BN39" i="114"/>
  <c r="BJ40" i="114"/>
  <c r="U40" i="114" s="1"/>
  <c r="BJ43" i="114"/>
  <c r="BN43" i="114"/>
  <c r="BK44" i="114"/>
  <c r="V44" i="114" s="1"/>
  <c r="AC45" i="114"/>
  <c r="BA22" i="115"/>
  <c r="BB24" i="115"/>
  <c r="BB31" i="115"/>
  <c r="BB32" i="115"/>
  <c r="BJ39" i="115"/>
  <c r="U39" i="115" s="1"/>
  <c r="BN39" i="115"/>
  <c r="BJ40" i="115"/>
  <c r="U40" i="115" s="1"/>
  <c r="U43" i="115"/>
  <c r="Q46" i="116"/>
  <c r="AP22" i="116"/>
  <c r="BA22" i="116"/>
  <c r="BJ22" i="116"/>
  <c r="BB32" i="116"/>
  <c r="BK36" i="116"/>
  <c r="V36" i="116" s="1"/>
  <c r="BO43" i="116"/>
  <c r="BJ44" i="116"/>
  <c r="U44" i="116" s="1"/>
  <c r="AJ19" i="117"/>
  <c r="O45" i="117"/>
  <c r="AJ27" i="118"/>
  <c r="AJ44" i="118"/>
  <c r="BB44" i="118"/>
  <c r="Q46" i="113"/>
  <c r="AJ16" i="113"/>
  <c r="BB18" i="113"/>
  <c r="BN22" i="113"/>
  <c r="U22" i="113" s="1"/>
  <c r="BE23" i="113"/>
  <c r="BB28" i="113"/>
  <c r="BC30" i="113"/>
  <c r="BD30" i="113" s="1"/>
  <c r="BF30" i="113" s="1"/>
  <c r="AH31" i="113"/>
  <c r="BE32" i="113" s="1"/>
  <c r="Q46" i="114"/>
  <c r="AI22" i="114"/>
  <c r="AV22" i="114" s="1"/>
  <c r="AW22" i="114" s="1"/>
  <c r="AQ22" i="114"/>
  <c r="BC22" i="114"/>
  <c r="BK33" i="114"/>
  <c r="V33" i="114" s="1"/>
  <c r="BO43" i="114"/>
  <c r="BJ44" i="114"/>
  <c r="U44" i="114" s="1"/>
  <c r="BK36" i="115"/>
  <c r="V36" i="115" s="1"/>
  <c r="BP44" i="115"/>
  <c r="BC22" i="116"/>
  <c r="U22" i="117"/>
  <c r="BK23" i="117"/>
  <c r="V23" i="117" s="1"/>
  <c r="BJ23" i="117"/>
  <c r="BK40" i="118"/>
  <c r="V40" i="118" s="1"/>
  <c r="BJ40" i="118"/>
  <c r="U40" i="118" s="1"/>
  <c r="AJ42" i="120"/>
  <c r="BK16" i="121"/>
  <c r="V16" i="121" s="1"/>
  <c r="BP28" i="121"/>
  <c r="AJ39" i="121"/>
  <c r="O45" i="121"/>
  <c r="BO19" i="122"/>
  <c r="AH23" i="122"/>
  <c r="BI23" i="122" s="1"/>
  <c r="BK24" i="122"/>
  <c r="V24" i="122" s="1"/>
  <c r="BK25" i="122"/>
  <c r="V25" i="122" s="1"/>
  <c r="BK39" i="122"/>
  <c r="V39" i="122" s="1"/>
  <c r="BO43" i="122"/>
  <c r="AJ43" i="122"/>
  <c r="BO19" i="123"/>
  <c r="BO22" i="123"/>
  <c r="BE23" i="123"/>
  <c r="AJ25" i="123"/>
  <c r="BB35" i="123"/>
  <c r="AJ35" i="123"/>
  <c r="BP40" i="123"/>
  <c r="BN40" i="123"/>
  <c r="BN42" i="123"/>
  <c r="BP42" i="123"/>
  <c r="BO32" i="124"/>
  <c r="AJ42" i="124"/>
  <c r="BB42" i="124"/>
  <c r="BP44" i="124"/>
  <c r="BN44" i="124"/>
  <c r="BK18" i="125"/>
  <c r="V18" i="125" s="1"/>
  <c r="U39" i="125"/>
  <c r="AY22" i="126"/>
  <c r="BO22" i="126"/>
  <c r="BN22" i="126"/>
  <c r="AJ26" i="126"/>
  <c r="AJ17" i="127"/>
  <c r="BB17" i="127"/>
  <c r="BB23" i="127"/>
  <c r="AJ23" i="127"/>
  <c r="AJ35" i="127"/>
  <c r="BB35" i="127"/>
  <c r="BB30" i="129"/>
  <c r="BB36" i="117"/>
  <c r="BN44" i="117"/>
  <c r="BI22" i="118"/>
  <c r="BO22" i="118"/>
  <c r="BP23" i="118"/>
  <c r="BB25" i="118"/>
  <c r="BN25" i="118"/>
  <c r="AJ30" i="118"/>
  <c r="AJ31" i="118"/>
  <c r="BO36" i="118"/>
  <c r="BB38" i="118"/>
  <c r="BP40" i="118"/>
  <c r="BO42" i="118"/>
  <c r="BB17" i="119"/>
  <c r="AP22" i="119"/>
  <c r="BN22" i="119"/>
  <c r="BP28" i="119"/>
  <c r="AI30" i="119"/>
  <c r="AV30" i="119" s="1"/>
  <c r="AW30" i="119" s="1"/>
  <c r="BB30" i="119"/>
  <c r="BB36" i="119"/>
  <c r="BN40" i="119"/>
  <c r="BP44" i="119"/>
  <c r="BJ15" i="120"/>
  <c r="BN15" i="120"/>
  <c r="BJ16" i="120"/>
  <c r="Q46" i="120"/>
  <c r="BN40" i="120"/>
  <c r="BK44" i="120"/>
  <c r="V44" i="120" s="1"/>
  <c r="AC45" i="120"/>
  <c r="BJ26" i="122"/>
  <c r="U22" i="123"/>
  <c r="BJ23" i="123"/>
  <c r="BP43" i="123"/>
  <c r="BO43" i="123"/>
  <c r="BN43" i="123"/>
  <c r="BP44" i="123"/>
  <c r="BN44" i="123"/>
  <c r="U44" i="123" s="1"/>
  <c r="BB30" i="124"/>
  <c r="BO33" i="124"/>
  <c r="BN33" i="124"/>
  <c r="U25" i="125"/>
  <c r="BJ43" i="125"/>
  <c r="U43" i="125" s="1"/>
  <c r="BP42" i="125"/>
  <c r="BJ43" i="126"/>
  <c r="U43" i="126" s="1"/>
  <c r="BP42" i="126"/>
  <c r="BB14" i="127"/>
  <c r="AJ14" i="127"/>
  <c r="AJ39" i="128"/>
  <c r="BB39" i="128"/>
  <c r="BN22" i="129"/>
  <c r="BO22" i="129"/>
  <c r="BP22" i="132"/>
  <c r="BN22" i="132"/>
  <c r="U40" i="132"/>
  <c r="BO31" i="133"/>
  <c r="BP31" i="133"/>
  <c r="BN31" i="133"/>
  <c r="BK41" i="133"/>
  <c r="V41" i="133" s="1"/>
  <c r="BJ41" i="133"/>
  <c r="BP27" i="117"/>
  <c r="BB43" i="117"/>
  <c r="BP43" i="117"/>
  <c r="AP22" i="118"/>
  <c r="BA22" i="118"/>
  <c r="BN23" i="118"/>
  <c r="BK24" i="118"/>
  <c r="V24" i="118" s="1"/>
  <c r="BO27" i="118"/>
  <c r="BP36" i="118"/>
  <c r="BK41" i="118"/>
  <c r="V41" i="118" s="1"/>
  <c r="BJ43" i="118"/>
  <c r="U43" i="118" s="1"/>
  <c r="AC45" i="118"/>
  <c r="AQ22" i="119"/>
  <c r="BC30" i="119"/>
  <c r="BD30" i="119" s="1"/>
  <c r="BF30" i="119" s="1"/>
  <c r="BP32" i="119"/>
  <c r="O45" i="119"/>
  <c r="BB43" i="119"/>
  <c r="BP43" i="119"/>
  <c r="BN44" i="119"/>
  <c r="BP20" i="120"/>
  <c r="BK24" i="120"/>
  <c r="V24" i="120" s="1"/>
  <c r="O45" i="120"/>
  <c r="BN43" i="120"/>
  <c r="BJ44" i="120"/>
  <c r="BO36" i="121"/>
  <c r="BP38" i="121"/>
  <c r="BJ39" i="121"/>
  <c r="U39" i="121" s="1"/>
  <c r="BP42" i="121"/>
  <c r="BO43" i="121"/>
  <c r="BP44" i="121"/>
  <c r="AQ38" i="122"/>
  <c r="AH39" i="122"/>
  <c r="BE39" i="122"/>
  <c r="BB40" i="122"/>
  <c r="BO42" i="122"/>
  <c r="BP42" i="122"/>
  <c r="BN44" i="122"/>
  <c r="BK22" i="123"/>
  <c r="V22" i="123" s="1"/>
  <c r="BK27" i="125"/>
  <c r="V27" i="125" s="1"/>
  <c r="BJ27" i="125"/>
  <c r="U44" i="125"/>
  <c r="BB34" i="126"/>
  <c r="AJ34" i="126"/>
  <c r="BK40" i="127"/>
  <c r="V40" i="127" s="1"/>
  <c r="BJ40" i="127"/>
  <c r="U40" i="127" s="1"/>
  <c r="BB30" i="128"/>
  <c r="BB38" i="131"/>
  <c r="AJ38" i="131"/>
  <c r="U43" i="120"/>
  <c r="U44" i="122"/>
  <c r="BJ39" i="123"/>
  <c r="U39" i="123" s="1"/>
  <c r="BK39" i="123"/>
  <c r="V39" i="123" s="1"/>
  <c r="AJ20" i="124"/>
  <c r="BB20" i="124"/>
  <c r="BO35" i="124"/>
  <c r="BN35" i="124"/>
  <c r="BK39" i="124"/>
  <c r="V39" i="124" s="1"/>
  <c r="BJ39" i="124"/>
  <c r="BO31" i="125"/>
  <c r="BN31" i="125"/>
  <c r="BJ27" i="126"/>
  <c r="BK27" i="126"/>
  <c r="V27" i="126" s="1"/>
  <c r="BJ24" i="117"/>
  <c r="U24" i="117" s="1"/>
  <c r="BK36" i="117"/>
  <c r="V36" i="117" s="1"/>
  <c r="AT23" i="118"/>
  <c r="BK23" i="118"/>
  <c r="V23" i="118" s="1"/>
  <c r="BP30" i="119"/>
  <c r="BJ31" i="119"/>
  <c r="U31" i="119" s="1"/>
  <c r="BN32" i="119"/>
  <c r="U32" i="119" s="1"/>
  <c r="BN35" i="119"/>
  <c r="BJ39" i="119"/>
  <c r="U39" i="119" s="1"/>
  <c r="BN39" i="119"/>
  <c r="BJ40" i="119"/>
  <c r="U40" i="119" s="1"/>
  <c r="U43" i="119"/>
  <c r="BJ44" i="119"/>
  <c r="AC45" i="119"/>
  <c r="BN16" i="120"/>
  <c r="BO26" i="120"/>
  <c r="BJ39" i="120"/>
  <c r="U39" i="120" s="1"/>
  <c r="BN39" i="120"/>
  <c r="BJ40" i="120"/>
  <c r="BP44" i="120"/>
  <c r="BB22" i="121"/>
  <c r="BB32" i="121"/>
  <c r="BP40" i="121"/>
  <c r="BB19" i="122"/>
  <c r="O29" i="122"/>
  <c r="BK22" i="122"/>
  <c r="V22" i="122" s="1"/>
  <c r="BN23" i="122"/>
  <c r="U23" i="122" s="1"/>
  <c r="BP24" i="122"/>
  <c r="BN41" i="122"/>
  <c r="U41" i="122" s="1"/>
  <c r="BB19" i="123"/>
  <c r="BB23" i="123"/>
  <c r="BB26" i="123"/>
  <c r="AJ26" i="123"/>
  <c r="U40" i="123"/>
  <c r="AJ24" i="124"/>
  <c r="BB24" i="124"/>
  <c r="BP31" i="124"/>
  <c r="AJ36" i="124"/>
  <c r="BB36" i="124"/>
  <c r="AY22" i="125"/>
  <c r="AV22" i="125"/>
  <c r="AW22" i="125" s="1"/>
  <c r="AJ33" i="125"/>
  <c r="BB33" i="125"/>
  <c r="U22" i="126"/>
  <c r="AJ28" i="127"/>
  <c r="BB28" i="127"/>
  <c r="BK24" i="117"/>
  <c r="V24" i="117" s="1"/>
  <c r="O29" i="118"/>
  <c r="AH23" i="118"/>
  <c r="BA23" i="118" s="1"/>
  <c r="BO39" i="118"/>
  <c r="BP44" i="118"/>
  <c r="BJ23" i="119"/>
  <c r="O21" i="120"/>
  <c r="BK20" i="120"/>
  <c r="V20" i="120" s="1"/>
  <c r="AC21" i="120"/>
  <c r="BK36" i="120"/>
  <c r="V36" i="120" s="1"/>
  <c r="BN44" i="120"/>
  <c r="Q46" i="121"/>
  <c r="BJ25" i="121"/>
  <c r="AJ26" i="121"/>
  <c r="BO28" i="121"/>
  <c r="AJ30" i="121"/>
  <c r="BN40" i="121"/>
  <c r="U40" i="121" s="1"/>
  <c r="BK44" i="121"/>
  <c r="V44" i="121" s="1"/>
  <c r="AC45" i="121"/>
  <c r="BO18" i="122"/>
  <c r="BA22" i="122"/>
  <c r="BO23" i="122"/>
  <c r="BJ24" i="122"/>
  <c r="U24" i="122" s="1"/>
  <c r="BO35" i="122"/>
  <c r="AJ35" i="122"/>
  <c r="O45" i="122"/>
  <c r="AY38" i="122"/>
  <c r="BP41" i="122"/>
  <c r="AC45" i="122"/>
  <c r="BO18" i="123"/>
  <c r="BE31" i="123"/>
  <c r="BA30" i="123"/>
  <c r="AJ30" i="123" s="1"/>
  <c r="AP30" i="123"/>
  <c r="AK30" i="123" s="1"/>
  <c r="AJ36" i="123"/>
  <c r="BB36" i="123"/>
  <c r="AC37" i="123"/>
  <c r="BO39" i="123"/>
  <c r="BN39" i="123"/>
  <c r="AP22" i="124"/>
  <c r="AT23" i="124"/>
  <c r="AQ22" i="124"/>
  <c r="AH23" i="124"/>
  <c r="AI22" i="124"/>
  <c r="AV22" i="124" s="1"/>
  <c r="AW22" i="124" s="1"/>
  <c r="BA22" i="124"/>
  <c r="BJ30" i="124"/>
  <c r="BK30" i="124"/>
  <c r="V30" i="124" s="1"/>
  <c r="AJ31" i="124"/>
  <c r="BK33" i="124"/>
  <c r="V33" i="124" s="1"/>
  <c r="BJ33" i="124"/>
  <c r="U33" i="124" s="1"/>
  <c r="BJ30" i="125"/>
  <c r="U30" i="125" s="1"/>
  <c r="BB31" i="125"/>
  <c r="U39" i="126"/>
  <c r="AJ31" i="129"/>
  <c r="BB31" i="129"/>
  <c r="BP36" i="123"/>
  <c r="BK17" i="124"/>
  <c r="V17" i="124" s="1"/>
  <c r="BP20" i="124"/>
  <c r="Q46" i="124"/>
  <c r="AQ30" i="124"/>
  <c r="AQ38" i="124"/>
  <c r="BP18" i="125"/>
  <c r="BC22" i="125"/>
  <c r="AH23" i="125"/>
  <c r="BP36" i="125"/>
  <c r="BK44" i="125"/>
  <c r="V44" i="125" s="1"/>
  <c r="AC45" i="125"/>
  <c r="BC14" i="126"/>
  <c r="BD14" i="126" s="1"/>
  <c r="BF14" i="126" s="1"/>
  <c r="BP14" i="126"/>
  <c r="AJ16" i="126"/>
  <c r="BO20" i="126"/>
  <c r="AR22" i="126"/>
  <c r="BP39" i="127"/>
  <c r="BN39" i="127"/>
  <c r="AJ43" i="127"/>
  <c r="BB43" i="127"/>
  <c r="AJ31" i="128"/>
  <c r="BB31" i="128"/>
  <c r="BK44" i="128"/>
  <c r="V44" i="128" s="1"/>
  <c r="BJ44" i="128"/>
  <c r="U44" i="128" s="1"/>
  <c r="BK36" i="129"/>
  <c r="V36" i="129" s="1"/>
  <c r="BB15" i="130"/>
  <c r="AJ15" i="130"/>
  <c r="BB22" i="132"/>
  <c r="AY22" i="132" s="1"/>
  <c r="AJ22" i="132"/>
  <c r="BB31" i="133"/>
  <c r="AJ31" i="133"/>
  <c r="BP39" i="123"/>
  <c r="BO44" i="123"/>
  <c r="BB44" i="123"/>
  <c r="U38" i="124"/>
  <c r="BK19" i="125"/>
  <c r="V19" i="125" s="1"/>
  <c r="BE23" i="125"/>
  <c r="BJ26" i="125"/>
  <c r="U26" i="125" s="1"/>
  <c r="BP27" i="125"/>
  <c r="BE31" i="125"/>
  <c r="BK32" i="125"/>
  <c r="V32" i="125" s="1"/>
  <c r="BO16" i="126"/>
  <c r="BP20" i="126"/>
  <c r="AC29" i="126"/>
  <c r="BK27" i="128"/>
  <c r="V27" i="128" s="1"/>
  <c r="BJ27" i="128"/>
  <c r="AY39" i="128"/>
  <c r="BJ36" i="129"/>
  <c r="U36" i="129" s="1"/>
  <c r="BB14" i="130"/>
  <c r="BJ23" i="131"/>
  <c r="U23" i="131" s="1"/>
  <c r="BB34" i="131"/>
  <c r="AJ34" i="131"/>
  <c r="AJ35" i="132"/>
  <c r="BB35" i="132"/>
  <c r="AJ16" i="133"/>
  <c r="BB16" i="133"/>
  <c r="O37" i="133"/>
  <c r="AC45" i="124"/>
  <c r="BB35" i="128"/>
  <c r="AJ35" i="128"/>
  <c r="BJ39" i="128"/>
  <c r="U39" i="128" s="1"/>
  <c r="BO39" i="128"/>
  <c r="AJ27" i="131"/>
  <c r="BB27" i="131"/>
  <c r="BB15" i="133"/>
  <c r="AJ15" i="133"/>
  <c r="AJ42" i="123"/>
  <c r="AJ25" i="124"/>
  <c r="BA30" i="124"/>
  <c r="AJ30" i="124" s="1"/>
  <c r="BI30" i="124"/>
  <c r="BP39" i="124"/>
  <c r="BN43" i="124"/>
  <c r="BJ44" i="124"/>
  <c r="U44" i="124" s="1"/>
  <c r="BO19" i="125"/>
  <c r="BI22" i="125"/>
  <c r="BO25" i="125"/>
  <c r="BN27" i="125"/>
  <c r="BJ28" i="125"/>
  <c r="AC29" i="125"/>
  <c r="AP30" i="125"/>
  <c r="AK30" i="125" s="1"/>
  <c r="AH31" i="125"/>
  <c r="AQ31" i="125" s="1"/>
  <c r="AT31" i="125"/>
  <c r="BJ31" i="125"/>
  <c r="BB35" i="125"/>
  <c r="BJ36" i="125"/>
  <c r="U36" i="125" s="1"/>
  <c r="AC37" i="125"/>
  <c r="O45" i="125"/>
  <c r="BP44" i="125"/>
  <c r="BI14" i="126"/>
  <c r="AT15" i="126"/>
  <c r="BP28" i="126"/>
  <c r="BB32" i="126"/>
  <c r="BB22" i="127"/>
  <c r="U36" i="127"/>
  <c r="BB24" i="128"/>
  <c r="BB34" i="128"/>
  <c r="AJ34" i="128"/>
  <c r="BN38" i="128"/>
  <c r="BO38" i="128"/>
  <c r="BJ43" i="128"/>
  <c r="U43" i="128" s="1"/>
  <c r="BK42" i="128"/>
  <c r="V42" i="128" s="1"/>
  <c r="AJ18" i="129"/>
  <c r="AJ19" i="129"/>
  <c r="BB19" i="129"/>
  <c r="BB34" i="129"/>
  <c r="AJ34" i="129"/>
  <c r="U39" i="129"/>
  <c r="AJ31" i="130"/>
  <c r="BB31" i="130"/>
  <c r="U40" i="133"/>
  <c r="BK44" i="133"/>
  <c r="V44" i="133" s="1"/>
  <c r="BO26" i="123"/>
  <c r="BJ27" i="123"/>
  <c r="O45" i="123"/>
  <c r="BO42" i="123"/>
  <c r="BJ43" i="123"/>
  <c r="U43" i="123" s="1"/>
  <c r="BB17" i="124"/>
  <c r="AC21" i="124"/>
  <c r="AH31" i="124"/>
  <c r="AQ31" i="124" s="1"/>
  <c r="AT31" i="124"/>
  <c r="BP36" i="124"/>
  <c r="BN39" i="124"/>
  <c r="BO43" i="124"/>
  <c r="BI14" i="125"/>
  <c r="AT15" i="125"/>
  <c r="BK16" i="125"/>
  <c r="V16" i="125" s="1"/>
  <c r="BJ20" i="125"/>
  <c r="U20" i="125" s="1"/>
  <c r="AC21" i="125"/>
  <c r="Q46" i="125"/>
  <c r="AP22" i="125"/>
  <c r="BO23" i="125"/>
  <c r="BK28" i="125"/>
  <c r="V28" i="125" s="1"/>
  <c r="AI30" i="125"/>
  <c r="AV30" i="125" s="1"/>
  <c r="AW30" i="125" s="1"/>
  <c r="AQ30" i="125"/>
  <c r="BP31" i="125"/>
  <c r="BH37" i="125"/>
  <c r="BB39" i="125"/>
  <c r="BP39" i="125"/>
  <c r="BB43" i="125"/>
  <c r="BP43" i="125"/>
  <c r="BN44" i="125"/>
  <c r="BJ14" i="126"/>
  <c r="U14" i="126" s="1"/>
  <c r="BO26" i="126"/>
  <c r="U36" i="126"/>
  <c r="AC45" i="126"/>
  <c r="BP18" i="127"/>
  <c r="BP20" i="127"/>
  <c r="AC21" i="127"/>
  <c r="BO32" i="127"/>
  <c r="BK36" i="127"/>
  <c r="V36" i="127" s="1"/>
  <c r="BB20" i="128"/>
  <c r="AJ20" i="128"/>
  <c r="BJ22" i="128"/>
  <c r="U22" i="128" s="1"/>
  <c r="BN42" i="128"/>
  <c r="BO42" i="128"/>
  <c r="AC45" i="128"/>
  <c r="BN38" i="129"/>
  <c r="BO38" i="129"/>
  <c r="BB42" i="129"/>
  <c r="AJ42" i="129"/>
  <c r="BB30" i="130"/>
  <c r="AJ39" i="131"/>
  <c r="BB39" i="131"/>
  <c r="AJ20" i="132"/>
  <c r="BB20" i="132"/>
  <c r="BK36" i="132"/>
  <c r="V36" i="132" s="1"/>
  <c r="BN39" i="133"/>
  <c r="BP39" i="133"/>
  <c r="BA22" i="129"/>
  <c r="BK23" i="129"/>
  <c r="V23" i="129" s="1"/>
  <c r="Q46" i="130"/>
  <c r="BO38" i="130"/>
  <c r="AJ42" i="130"/>
  <c r="BP42" i="130"/>
  <c r="AC21" i="131"/>
  <c r="BO27" i="131"/>
  <c r="AI30" i="131"/>
  <c r="AY30" i="131" s="1"/>
  <c r="BI30" i="131"/>
  <c r="AC21" i="132"/>
  <c r="U22" i="132"/>
  <c r="BP33" i="132"/>
  <c r="BN40" i="132"/>
  <c r="BK41" i="132"/>
  <c r="V41" i="132" s="1"/>
  <c r="BP20" i="133"/>
  <c r="AI22" i="133"/>
  <c r="AY22" i="133" s="1"/>
  <c r="AQ30" i="133"/>
  <c r="BK31" i="133"/>
  <c r="V31" i="133" s="1"/>
  <c r="BK32" i="133"/>
  <c r="V32" i="133" s="1"/>
  <c r="BO35" i="133"/>
  <c r="AJ38" i="133"/>
  <c r="BK40" i="133"/>
  <c r="V40" i="133" s="1"/>
  <c r="BJ39" i="127"/>
  <c r="U43" i="127"/>
  <c r="BK18" i="128"/>
  <c r="V18" i="128" s="1"/>
  <c r="AC21" i="128"/>
  <c r="BA22" i="128"/>
  <c r="AH23" i="128"/>
  <c r="AR23" i="128" s="1"/>
  <c r="BP34" i="128"/>
  <c r="AC37" i="128"/>
  <c r="BJ40" i="128"/>
  <c r="U40" i="128" s="1"/>
  <c r="BO19" i="129"/>
  <c r="AP22" i="129"/>
  <c r="BO23" i="129"/>
  <c r="BB36" i="129"/>
  <c r="BO42" i="129"/>
  <c r="BB43" i="129"/>
  <c r="BP43" i="129"/>
  <c r="BK44" i="129"/>
  <c r="V44" i="129" s="1"/>
  <c r="AC45" i="129"/>
  <c r="BO23" i="130"/>
  <c r="U32" i="130"/>
  <c r="BB35" i="130"/>
  <c r="BB36" i="130"/>
  <c r="O45" i="130"/>
  <c r="BO42" i="130"/>
  <c r="BK44" i="130"/>
  <c r="V44" i="130" s="1"/>
  <c r="AC45" i="130"/>
  <c r="BN28" i="131"/>
  <c r="BJ39" i="131"/>
  <c r="U39" i="131" s="1"/>
  <c r="BK39" i="131"/>
  <c r="V39" i="131" s="1"/>
  <c r="BB42" i="131"/>
  <c r="BO15" i="132"/>
  <c r="BK20" i="132"/>
  <c r="V20" i="132" s="1"/>
  <c r="Q46" i="132"/>
  <c r="BB24" i="132"/>
  <c r="O45" i="132"/>
  <c r="BK44" i="132"/>
  <c r="V44" i="132" s="1"/>
  <c r="AC45" i="132"/>
  <c r="BP44" i="127"/>
  <c r="Q46" i="128"/>
  <c r="AP22" i="128"/>
  <c r="BC22" i="128"/>
  <c r="BE23" i="128"/>
  <c r="BO25" i="128"/>
  <c r="BP32" i="128"/>
  <c r="BO36" i="128"/>
  <c r="U38" i="128"/>
  <c r="BJ20" i="129"/>
  <c r="BO35" i="129"/>
  <c r="BK40" i="129"/>
  <c r="V40" i="129" s="1"/>
  <c r="BN43" i="129"/>
  <c r="U43" i="129" s="1"/>
  <c r="BJ44" i="129"/>
  <c r="U44" i="129" s="1"/>
  <c r="U22" i="130"/>
  <c r="BK40" i="130"/>
  <c r="V40" i="130" s="1"/>
  <c r="BB43" i="130"/>
  <c r="BJ44" i="130"/>
  <c r="U44" i="130" s="1"/>
  <c r="AJ17" i="131"/>
  <c r="BK22" i="131"/>
  <c r="V22" i="131" s="1"/>
  <c r="BO28" i="131"/>
  <c r="BC30" i="131"/>
  <c r="BD30" i="131" s="1"/>
  <c r="BF30" i="131" s="1"/>
  <c r="AJ23" i="132"/>
  <c r="BB39" i="132"/>
  <c r="BP39" i="132"/>
  <c r="BN43" i="132"/>
  <c r="U43" i="132" s="1"/>
  <c r="BJ44" i="132"/>
  <c r="AT23" i="133"/>
  <c r="BI30" i="133"/>
  <c r="AC45" i="133"/>
  <c r="BP44" i="129"/>
  <c r="AC21" i="130"/>
  <c r="BK36" i="130"/>
  <c r="V36" i="130" s="1"/>
  <c r="O29" i="131"/>
  <c r="BP23" i="131"/>
  <c r="U43" i="131"/>
  <c r="AC45" i="131"/>
  <c r="BP36" i="132"/>
  <c r="BP44" i="132"/>
  <c r="BI22" i="133"/>
  <c r="AH23" i="133"/>
  <c r="BE24" i="133" s="1"/>
  <c r="BC30" i="133"/>
  <c r="BD30" i="133" s="1"/>
  <c r="BF30" i="133" s="1"/>
  <c r="BP32" i="133"/>
  <c r="BJ35" i="133"/>
  <c r="U35" i="133" s="1"/>
  <c r="O45" i="133"/>
  <c r="BP44" i="133"/>
  <c r="BP43" i="127"/>
  <c r="AC45" i="127"/>
  <c r="BI22" i="128"/>
  <c r="BO24" i="128"/>
  <c r="BP25" i="128"/>
  <c r="BP39" i="128"/>
  <c r="BP28" i="129"/>
  <c r="BP40" i="129"/>
  <c r="BN44" i="129"/>
  <c r="BO19" i="130"/>
  <c r="AJ20" i="130"/>
  <c r="BK23" i="130"/>
  <c r="V23" i="130" s="1"/>
  <c r="BO26" i="130"/>
  <c r="BP40" i="130"/>
  <c r="BN44" i="130"/>
  <c r="BO22" i="131"/>
  <c r="BE23" i="131"/>
  <c r="BN44" i="132"/>
  <c r="U20" i="133"/>
  <c r="AP30" i="133"/>
  <c r="AK30" i="133" s="1"/>
  <c r="BE31" i="133"/>
  <c r="BJ32" i="133"/>
  <c r="U32" i="133" s="1"/>
  <c r="BO36" i="133"/>
  <c r="BB23" i="133"/>
  <c r="BB24" i="133"/>
  <c r="AC29" i="133"/>
  <c r="BO25" i="133"/>
  <c r="BO26" i="133"/>
  <c r="BJ24" i="133"/>
  <c r="BK24" i="133" s="1"/>
  <c r="V24" i="133" s="1"/>
  <c r="BP24" i="133"/>
  <c r="BP26" i="133"/>
  <c r="BJ27" i="133"/>
  <c r="U27" i="133" s="1"/>
  <c r="BP28" i="133"/>
  <c r="BO23" i="133"/>
  <c r="BJ23" i="133"/>
  <c r="U23" i="133" s="1"/>
  <c r="AC29" i="132"/>
  <c r="BO25" i="132"/>
  <c r="BK26" i="132"/>
  <c r="V26" i="132" s="1"/>
  <c r="BP26" i="132"/>
  <c r="V27" i="132"/>
  <c r="BP31" i="131"/>
  <c r="BB32" i="131"/>
  <c r="BP32" i="131"/>
  <c r="BN32" i="131"/>
  <c r="BK32" i="131"/>
  <c r="V32" i="131" s="1"/>
  <c r="BN31" i="131"/>
  <c r="BO31" i="131"/>
  <c r="BO32" i="131"/>
  <c r="BH37" i="131"/>
  <c r="BJ23" i="130"/>
  <c r="AJ24" i="130"/>
  <c r="AC29" i="130"/>
  <c r="BB27" i="130"/>
  <c r="BK27" i="130"/>
  <c r="V27" i="130" s="1"/>
  <c r="BP26" i="130"/>
  <c r="BK28" i="130"/>
  <c r="V28" i="130" s="1"/>
  <c r="O29" i="130"/>
  <c r="BO27" i="130"/>
  <c r="BJ25" i="130"/>
  <c r="BJ26" i="130"/>
  <c r="U26" i="130" s="1"/>
  <c r="BO24" i="130"/>
  <c r="BK24" i="130"/>
  <c r="V24" i="130" s="1"/>
  <c r="BK25" i="130"/>
  <c r="V25" i="130" s="1"/>
  <c r="BO28" i="130"/>
  <c r="AJ25" i="129"/>
  <c r="BB27" i="129"/>
  <c r="AC29" i="129"/>
  <c r="BJ27" i="129"/>
  <c r="U27" i="129" s="1"/>
  <c r="BK27" i="129"/>
  <c r="V27" i="129" s="1"/>
  <c r="BO26" i="129"/>
  <c r="O29" i="129"/>
  <c r="BJ24" i="129"/>
  <c r="BK28" i="129"/>
  <c r="V28" i="129" s="1"/>
  <c r="BJ28" i="129"/>
  <c r="U28" i="129" s="1"/>
  <c r="BK26" i="129"/>
  <c r="V26" i="129" s="1"/>
  <c r="BP26" i="129"/>
  <c r="BO27" i="129"/>
  <c r="BP27" i="129" s="1"/>
  <c r="BP23" i="129"/>
  <c r="BK24" i="129"/>
  <c r="V24" i="129" s="1"/>
  <c r="AC29" i="127"/>
  <c r="BJ26" i="127"/>
  <c r="U26" i="127" s="1"/>
  <c r="U25" i="127"/>
  <c r="BK25" i="127"/>
  <c r="V25" i="127" s="1"/>
  <c r="BK26" i="127"/>
  <c r="V26" i="127" s="1"/>
  <c r="O29" i="127"/>
  <c r="U23" i="127"/>
  <c r="BP25" i="127"/>
  <c r="BP26" i="127"/>
  <c r="BO23" i="127"/>
  <c r="BK17" i="127"/>
  <c r="V17" i="127" s="1"/>
  <c r="BP19" i="127"/>
  <c r="BJ15" i="127"/>
  <c r="U15" i="127" s="1"/>
  <c r="BJ17" i="126"/>
  <c r="U17" i="126" s="1"/>
  <c r="BK17" i="126"/>
  <c r="V17" i="126" s="1"/>
  <c r="BB17" i="126"/>
  <c r="BK20" i="126"/>
  <c r="V20" i="126" s="1"/>
  <c r="BO19" i="126"/>
  <c r="AC21" i="126"/>
  <c r="O21" i="126"/>
  <c r="BJ20" i="126"/>
  <c r="U20" i="126" s="1"/>
  <c r="BJ19" i="126"/>
  <c r="U19" i="126" s="1"/>
  <c r="BP17" i="126"/>
  <c r="BO18" i="126"/>
  <c r="BK18" i="126"/>
  <c r="V18" i="126" s="1"/>
  <c r="BB23" i="124"/>
  <c r="BO25" i="124"/>
  <c r="BB26" i="124"/>
  <c r="BJ25" i="124"/>
  <c r="BK23" i="124"/>
  <c r="V23" i="124" s="1"/>
  <c r="BO27" i="124"/>
  <c r="AC29" i="124"/>
  <c r="BN25" i="124"/>
  <c r="O29" i="124"/>
  <c r="BK25" i="124"/>
  <c r="V25" i="124" s="1"/>
  <c r="BP25" i="124"/>
  <c r="BO28" i="124"/>
  <c r="BJ23" i="124"/>
  <c r="U23" i="124" s="1"/>
  <c r="BP24" i="124"/>
  <c r="BK26" i="124"/>
  <c r="V26" i="124" s="1"/>
  <c r="BJ27" i="124"/>
  <c r="U27" i="124" s="1"/>
  <c r="BP27" i="124"/>
  <c r="BK23" i="123"/>
  <c r="V23" i="123" s="1"/>
  <c r="BB27" i="123"/>
  <c r="BJ24" i="123"/>
  <c r="BK27" i="123"/>
  <c r="V27" i="123" s="1"/>
  <c r="BO28" i="123"/>
  <c r="BP23" i="123"/>
  <c r="BK24" i="123"/>
  <c r="V24" i="123" s="1"/>
  <c r="BJ26" i="123"/>
  <c r="U26" i="123" s="1"/>
  <c r="BN23" i="123"/>
  <c r="U23" i="123" s="1"/>
  <c r="BK26" i="123"/>
  <c r="V26" i="123" s="1"/>
  <c r="BB24" i="121"/>
  <c r="BK26" i="121"/>
  <c r="V26" i="121" s="1"/>
  <c r="BO23" i="121"/>
  <c r="BO24" i="121"/>
  <c r="BK24" i="121"/>
  <c r="V24" i="121" s="1"/>
  <c r="BJ26" i="121"/>
  <c r="BK28" i="121"/>
  <c r="V28" i="121" s="1"/>
  <c r="BP26" i="121"/>
  <c r="BP24" i="121"/>
  <c r="BJ24" i="121"/>
  <c r="U24" i="121" s="1"/>
  <c r="BK25" i="121"/>
  <c r="V25" i="121" s="1"/>
  <c r="BJ23" i="120"/>
  <c r="BP23" i="120"/>
  <c r="AC29" i="120"/>
  <c r="BO27" i="120"/>
  <c r="BP27" i="120" s="1"/>
  <c r="BN27" i="120"/>
  <c r="O29" i="120"/>
  <c r="BJ24" i="120"/>
  <c r="BK28" i="120"/>
  <c r="V28" i="120" s="1"/>
  <c r="BK26" i="120"/>
  <c r="V26" i="120" s="1"/>
  <c r="BJ27" i="120"/>
  <c r="BN23" i="120"/>
  <c r="BB23" i="119"/>
  <c r="AJ24" i="119"/>
  <c r="BJ24" i="119"/>
  <c r="BO24" i="119"/>
  <c r="BK28" i="119"/>
  <c r="V28" i="119" s="1"/>
  <c r="BP23" i="119"/>
  <c r="BP25" i="119"/>
  <c r="AC29" i="119"/>
  <c r="BO25" i="119"/>
  <c r="BN24" i="119"/>
  <c r="O29" i="119"/>
  <c r="BP24" i="119"/>
  <c r="BJ26" i="119"/>
  <c r="BJ25" i="119"/>
  <c r="U25" i="119" s="1"/>
  <c r="BN23" i="119"/>
  <c r="BK25" i="119"/>
  <c r="V25" i="119" s="1"/>
  <c r="BK27" i="119"/>
  <c r="V27" i="119" s="1"/>
  <c r="AJ26" i="116"/>
  <c r="BK24" i="116"/>
  <c r="V24" i="116" s="1"/>
  <c r="BO27" i="116"/>
  <c r="BJ26" i="116"/>
  <c r="U26" i="116" s="1"/>
  <c r="BJ25" i="116"/>
  <c r="BK28" i="116"/>
  <c r="V28" i="116" s="1"/>
  <c r="BO26" i="116"/>
  <c r="BK23" i="116"/>
  <c r="V23" i="116" s="1"/>
  <c r="BJ28" i="116"/>
  <c r="U28" i="116" s="1"/>
  <c r="BP23" i="116"/>
  <c r="BJ23" i="116"/>
  <c r="U23" i="116" s="1"/>
  <c r="BJ27" i="115"/>
  <c r="U27" i="115" s="1"/>
  <c r="U23" i="115"/>
  <c r="BP25" i="115"/>
  <c r="AC29" i="115"/>
  <c r="BO27" i="115"/>
  <c r="BJ26" i="115"/>
  <c r="BK26" i="115" s="1"/>
  <c r="V26" i="115" s="1"/>
  <c r="BK24" i="115"/>
  <c r="V24" i="115" s="1"/>
  <c r="BK23" i="115"/>
  <c r="V23" i="115" s="1"/>
  <c r="BO25" i="115"/>
  <c r="BO24" i="115"/>
  <c r="BP26" i="114"/>
  <c r="BP27" i="114"/>
  <c r="BO28" i="114"/>
  <c r="BK23" i="114"/>
  <c r="V23" i="114" s="1"/>
  <c r="BJ26" i="114"/>
  <c r="U26" i="114" s="1"/>
  <c r="BJ27" i="114"/>
  <c r="U27" i="114" s="1"/>
  <c r="BK25" i="114"/>
  <c r="V25" i="114" s="1"/>
  <c r="BK26" i="114"/>
  <c r="V26" i="114" s="1"/>
  <c r="BK28" i="114"/>
  <c r="V28" i="114" s="1"/>
  <c r="BJ27" i="113"/>
  <c r="U27" i="113" s="1"/>
  <c r="BP23" i="113"/>
  <c r="AJ25" i="113"/>
  <c r="BB26" i="113"/>
  <c r="BK25" i="113"/>
  <c r="V25" i="113" s="1"/>
  <c r="BK15" i="133"/>
  <c r="V15" i="133" s="1"/>
  <c r="AH31" i="132"/>
  <c r="AT32" i="132" s="1"/>
  <c r="BP36" i="131"/>
  <c r="BK36" i="131"/>
  <c r="V36" i="131" s="1"/>
  <c r="BN36" i="131"/>
  <c r="BP40" i="131"/>
  <c r="BK40" i="131"/>
  <c r="V40" i="131" s="1"/>
  <c r="BP44" i="131"/>
  <c r="BP17" i="132"/>
  <c r="BP19" i="131"/>
  <c r="BJ31" i="130"/>
  <c r="U31" i="130" s="1"/>
  <c r="BJ32" i="129"/>
  <c r="U32" i="129" s="1"/>
  <c r="BO15" i="130"/>
  <c r="BK31" i="129"/>
  <c r="V31" i="129" s="1"/>
  <c r="BJ30" i="128"/>
  <c r="BK30" i="128" s="1"/>
  <c r="V30" i="128" s="1"/>
  <c r="BN30" i="128"/>
  <c r="BJ15" i="128"/>
  <c r="BK19" i="128"/>
  <c r="V19" i="128" s="1"/>
  <c r="BP15" i="127"/>
  <c r="BK20" i="127"/>
  <c r="V20" i="127" s="1"/>
  <c r="BN36" i="124"/>
  <c r="O37" i="124"/>
  <c r="BH37" i="124"/>
  <c r="AQ30" i="123"/>
  <c r="BJ17" i="124"/>
  <c r="BO31" i="123"/>
  <c r="BK19" i="124"/>
  <c r="V19" i="124" s="1"/>
  <c r="BK18" i="123"/>
  <c r="V18" i="123" s="1"/>
  <c r="BK19" i="121"/>
  <c r="V19" i="121" s="1"/>
  <c r="BH37" i="119"/>
  <c r="BN36" i="119"/>
  <c r="BJ31" i="117"/>
  <c r="U31" i="117" s="1"/>
  <c r="BK32" i="117"/>
  <c r="V32" i="117" s="1"/>
  <c r="BJ14" i="117"/>
  <c r="U14" i="117" s="1"/>
  <c r="BP33" i="114"/>
  <c r="BP36" i="114"/>
  <c r="BK17" i="115"/>
  <c r="V17" i="115" s="1"/>
  <c r="BK36" i="113"/>
  <c r="V36" i="113" s="1"/>
  <c r="AF21" i="122"/>
  <c r="BK30" i="132"/>
  <c r="V30" i="132" s="1"/>
  <c r="BJ36" i="132"/>
  <c r="U36" i="132" s="1"/>
  <c r="O37" i="132"/>
  <c r="AQ30" i="132"/>
  <c r="BK35" i="132"/>
  <c r="V35" i="132" s="1"/>
  <c r="BJ31" i="132"/>
  <c r="U31" i="132" s="1"/>
  <c r="BP18" i="133"/>
  <c r="AT31" i="132"/>
  <c r="BE31" i="132"/>
  <c r="BP31" i="132"/>
  <c r="AI30" i="132"/>
  <c r="AY30" i="132" s="1"/>
  <c r="BC30" i="132"/>
  <c r="BD30" i="132" s="1"/>
  <c r="BF30" i="132" s="1"/>
  <c r="BI30" i="132"/>
  <c r="BP30" i="132"/>
  <c r="BK31" i="132"/>
  <c r="V31" i="132" s="1"/>
  <c r="BP14" i="133"/>
  <c r="BA30" i="132"/>
  <c r="AJ30" i="132" s="1"/>
  <c r="AP30" i="132"/>
  <c r="AK30" i="132" s="1"/>
  <c r="BN30" i="132"/>
  <c r="U30" i="132" s="1"/>
  <c r="BI14" i="133"/>
  <c r="O21" i="133"/>
  <c r="AT15" i="133"/>
  <c r="AC21" i="133"/>
  <c r="BC14" i="133"/>
  <c r="BD14" i="133" s="1"/>
  <c r="BF14" i="133" s="1"/>
  <c r="BJ14" i="133"/>
  <c r="BK14" i="133" s="1"/>
  <c r="V14" i="133" s="1"/>
  <c r="BP17" i="133"/>
  <c r="AI14" i="133"/>
  <c r="AV14" i="133" s="1"/>
  <c r="AW14" i="133" s="1"/>
  <c r="AP14" i="133"/>
  <c r="AK14" i="133" s="1"/>
  <c r="BO15" i="133"/>
  <c r="BJ16" i="133"/>
  <c r="U16" i="133" s="1"/>
  <c r="BJ17" i="133"/>
  <c r="U17" i="133" s="1"/>
  <c r="BK20" i="133"/>
  <c r="V20" i="133" s="1"/>
  <c r="BK41" i="131"/>
  <c r="V41" i="131" s="1"/>
  <c r="BJ44" i="131"/>
  <c r="U44" i="131" s="1"/>
  <c r="BP39" i="131"/>
  <c r="BP43" i="131"/>
  <c r="O21" i="132"/>
  <c r="BP20" i="132"/>
  <c r="BN38" i="131"/>
  <c r="BJ40" i="131"/>
  <c r="U40" i="131" s="1"/>
  <c r="O45" i="131"/>
  <c r="V17" i="132"/>
  <c r="BP42" i="131"/>
  <c r="BO43" i="131"/>
  <c r="BP16" i="132"/>
  <c r="BJ17" i="132"/>
  <c r="U17" i="132" s="1"/>
  <c r="BO30" i="130"/>
  <c r="BP32" i="130"/>
  <c r="BK33" i="130"/>
  <c r="V33" i="130" s="1"/>
  <c r="BK31" i="130"/>
  <c r="V31" i="130" s="1"/>
  <c r="BO35" i="130"/>
  <c r="BO19" i="131"/>
  <c r="BK18" i="131"/>
  <c r="V18" i="131" s="1"/>
  <c r="BH37" i="130"/>
  <c r="BJ16" i="131"/>
  <c r="U16" i="131" s="1"/>
  <c r="BJ33" i="130"/>
  <c r="BP36" i="130"/>
  <c r="BP16" i="131"/>
  <c r="BK32" i="130"/>
  <c r="V32" i="130" s="1"/>
  <c r="BK16" i="131"/>
  <c r="V16" i="131" s="1"/>
  <c r="U14" i="131"/>
  <c r="BC14" i="131"/>
  <c r="BD14" i="131" s="1"/>
  <c r="BF14" i="131" s="1"/>
  <c r="BP34" i="130"/>
  <c r="AI14" i="131"/>
  <c r="AP14" i="131"/>
  <c r="BJ19" i="131"/>
  <c r="U19" i="131" s="1"/>
  <c r="BO31" i="130"/>
  <c r="BO32" i="130"/>
  <c r="BK17" i="131"/>
  <c r="V17" i="131" s="1"/>
  <c r="BO16" i="131"/>
  <c r="BB18" i="131"/>
  <c r="BK14" i="131"/>
  <c r="V14" i="131" s="1"/>
  <c r="BP14" i="131"/>
  <c r="BP15" i="131"/>
  <c r="BI14" i="131"/>
  <c r="AT15" i="131"/>
  <c r="BK15" i="131"/>
  <c r="V15" i="131" s="1"/>
  <c r="BO17" i="131"/>
  <c r="BK19" i="131"/>
  <c r="V19" i="131" s="1"/>
  <c r="BK32" i="129"/>
  <c r="V32" i="129" s="1"/>
  <c r="BK33" i="129"/>
  <c r="V33" i="129" s="1"/>
  <c r="BP31" i="129"/>
  <c r="BN31" i="129"/>
  <c r="U31" i="129" s="1"/>
  <c r="BN30" i="129"/>
  <c r="BP36" i="129"/>
  <c r="BJ15" i="130"/>
  <c r="U15" i="130" s="1"/>
  <c r="BP16" i="130"/>
  <c r="BP32" i="129"/>
  <c r="BP14" i="130"/>
  <c r="BP19" i="130"/>
  <c r="BK15" i="130"/>
  <c r="V15" i="130" s="1"/>
  <c r="BJ16" i="130"/>
  <c r="BO16" i="130"/>
  <c r="O21" i="130"/>
  <c r="BP17" i="130"/>
  <c r="BB16" i="130"/>
  <c r="BN16" i="130"/>
  <c r="BO17" i="130"/>
  <c r="BK17" i="130"/>
  <c r="V17" i="130" s="1"/>
  <c r="BK31" i="128"/>
  <c r="V31" i="128" s="1"/>
  <c r="BO15" i="129"/>
  <c r="BK33" i="128"/>
  <c r="V33" i="128" s="1"/>
  <c r="BH37" i="128"/>
  <c r="BK35" i="128"/>
  <c r="V35" i="128" s="1"/>
  <c r="BP17" i="129"/>
  <c r="BJ32" i="128"/>
  <c r="BK16" i="129"/>
  <c r="V16" i="129" s="1"/>
  <c r="BJ17" i="129"/>
  <c r="BO32" i="128"/>
  <c r="BP19" i="129"/>
  <c r="AQ30" i="128"/>
  <c r="O37" i="128"/>
  <c r="BP36" i="128"/>
  <c r="BA14" i="129"/>
  <c r="AJ14" i="129" s="1"/>
  <c r="O21" i="129"/>
  <c r="AI14" i="129"/>
  <c r="AY14" i="129" s="1"/>
  <c r="AQ14" i="129"/>
  <c r="AH15" i="129"/>
  <c r="BE16" i="129" s="1"/>
  <c r="BC14" i="129"/>
  <c r="BD14" i="129" s="1"/>
  <c r="BF14" i="129" s="1"/>
  <c r="BI14" i="129"/>
  <c r="BO17" i="129"/>
  <c r="BK18" i="129"/>
  <c r="V18" i="129" s="1"/>
  <c r="BO20" i="129"/>
  <c r="BK14" i="129"/>
  <c r="V14" i="129" s="1"/>
  <c r="AT15" i="129"/>
  <c r="BJ16" i="129"/>
  <c r="U16" i="129" s="1"/>
  <c r="AJ17" i="129"/>
  <c r="BK17" i="129"/>
  <c r="V17" i="129" s="1"/>
  <c r="BN17" i="129"/>
  <c r="BJ18" i="129"/>
  <c r="U18" i="129" s="1"/>
  <c r="BK19" i="129"/>
  <c r="V19" i="129" s="1"/>
  <c r="BK20" i="129"/>
  <c r="V20" i="129" s="1"/>
  <c r="BE15" i="129"/>
  <c r="AP14" i="128"/>
  <c r="AK14" i="128" s="1"/>
  <c r="BJ14" i="128"/>
  <c r="BK14" i="128" s="1"/>
  <c r="V14" i="128" s="1"/>
  <c r="BN14" i="128"/>
  <c r="AQ14" i="128"/>
  <c r="BA14" i="128"/>
  <c r="AJ14" i="128" s="1"/>
  <c r="AH15" i="128"/>
  <c r="BC15" i="128" s="1"/>
  <c r="BP36" i="127"/>
  <c r="BP15" i="128"/>
  <c r="BK31" i="127"/>
  <c r="V31" i="127" s="1"/>
  <c r="BK33" i="127"/>
  <c r="V33" i="127" s="1"/>
  <c r="BK15" i="128"/>
  <c r="V15" i="128" s="1"/>
  <c r="BP19" i="128"/>
  <c r="BP30" i="127"/>
  <c r="BI30" i="127"/>
  <c r="BN30" i="127"/>
  <c r="AI30" i="127"/>
  <c r="AY30" i="127" s="1"/>
  <c r="AP30" i="127"/>
  <c r="AK30" i="127" s="1"/>
  <c r="BC30" i="127"/>
  <c r="BD30" i="127" s="1"/>
  <c r="BF30" i="127" s="1"/>
  <c r="BJ30" i="127"/>
  <c r="BK30" i="127" s="1"/>
  <c r="V30" i="127" s="1"/>
  <c r="BK16" i="128"/>
  <c r="V16" i="128" s="1"/>
  <c r="BP18" i="128"/>
  <c r="BP14" i="128"/>
  <c r="BE15" i="128"/>
  <c r="BO16" i="128"/>
  <c r="BJ17" i="128"/>
  <c r="U17" i="128" s="1"/>
  <c r="BJ18" i="128"/>
  <c r="U18" i="128" s="1"/>
  <c r="BJ19" i="128"/>
  <c r="BK17" i="128"/>
  <c r="V17" i="128" s="1"/>
  <c r="BK20" i="128"/>
  <c r="V20" i="128" s="1"/>
  <c r="BP33" i="126"/>
  <c r="BK31" i="126"/>
  <c r="V31" i="126" s="1"/>
  <c r="BP32" i="126"/>
  <c r="BP30" i="126"/>
  <c r="BK16" i="127"/>
  <c r="V16" i="127" s="1"/>
  <c r="BE15" i="127"/>
  <c r="O21" i="127"/>
  <c r="AI14" i="127"/>
  <c r="AV14" i="127" s="1"/>
  <c r="AW14" i="127" s="1"/>
  <c r="BP14" i="127"/>
  <c r="BP17" i="127"/>
  <c r="BC14" i="127"/>
  <c r="BD14" i="127" s="1"/>
  <c r="BF14" i="127" s="1"/>
  <c r="AP30" i="126"/>
  <c r="AK30" i="126" s="1"/>
  <c r="BP36" i="126"/>
  <c r="BK30" i="126"/>
  <c r="V30" i="126" s="1"/>
  <c r="BN30" i="126"/>
  <c r="U30" i="126" s="1"/>
  <c r="BJ31" i="126"/>
  <c r="BI14" i="127"/>
  <c r="AP14" i="127"/>
  <c r="AK14" i="127" s="1"/>
  <c r="BJ14" i="127"/>
  <c r="BK14" i="127" s="1"/>
  <c r="V14" i="127" s="1"/>
  <c r="BN14" i="127"/>
  <c r="BK15" i="127"/>
  <c r="V15" i="127" s="1"/>
  <c r="BJ18" i="127"/>
  <c r="U18" i="127" s="1"/>
  <c r="AQ14" i="127"/>
  <c r="BO14" i="127"/>
  <c r="AH15" i="127"/>
  <c r="BA15" i="127" s="1"/>
  <c r="BP16" i="127"/>
  <c r="BA14" i="127"/>
  <c r="AT15" i="127"/>
  <c r="BO18" i="127"/>
  <c r="BO30" i="123"/>
  <c r="BJ31" i="123"/>
  <c r="BJ33" i="123"/>
  <c r="U33" i="123" s="1"/>
  <c r="BK31" i="123"/>
  <c r="V31" i="123" s="1"/>
  <c r="BK32" i="123"/>
  <c r="V32" i="123" s="1"/>
  <c r="BK34" i="123"/>
  <c r="V34" i="123" s="1"/>
  <c r="BO33" i="123"/>
  <c r="BP33" i="123"/>
  <c r="O37" i="123"/>
  <c r="BJ32" i="123"/>
  <c r="U32" i="123" s="1"/>
  <c r="BH37" i="123"/>
  <c r="BO16" i="124"/>
  <c r="BP31" i="123"/>
  <c r="BP35" i="123"/>
  <c r="BJ36" i="123"/>
  <c r="U36" i="123" s="1"/>
  <c r="BN31" i="123"/>
  <c r="BK33" i="123"/>
  <c r="V33" i="123" s="1"/>
  <c r="BK36" i="123"/>
  <c r="V36" i="123" s="1"/>
  <c r="BK16" i="124"/>
  <c r="V16" i="124" s="1"/>
  <c r="BJ34" i="123"/>
  <c r="U34" i="123" s="1"/>
  <c r="BO35" i="123"/>
  <c r="AL21" i="124"/>
  <c r="T21" i="124" s="1"/>
  <c r="BB14" i="124"/>
  <c r="BB15" i="124"/>
  <c r="BP18" i="124"/>
  <c r="BN14" i="124"/>
  <c r="BP17" i="124"/>
  <c r="BK18" i="124"/>
  <c r="V18" i="124" s="1"/>
  <c r="BN18" i="124"/>
  <c r="BJ15" i="124"/>
  <c r="U15" i="124" s="1"/>
  <c r="BO15" i="124"/>
  <c r="BJ16" i="124"/>
  <c r="U16" i="124" s="1"/>
  <c r="BN17" i="124"/>
  <c r="BJ18" i="124"/>
  <c r="AP30" i="122"/>
  <c r="BK30" i="122"/>
  <c r="V30" i="122" s="1"/>
  <c r="BK36" i="122"/>
  <c r="V36" i="122" s="1"/>
  <c r="AH31" i="122"/>
  <c r="BI31" i="122" s="1"/>
  <c r="BP15" i="123"/>
  <c r="BN14" i="123"/>
  <c r="U14" i="123" s="1"/>
  <c r="AI30" i="122"/>
  <c r="AY30" i="122" s="1"/>
  <c r="BJ31" i="122"/>
  <c r="U31" i="122" s="1"/>
  <c r="BJ15" i="123"/>
  <c r="BJ16" i="123"/>
  <c r="U16" i="123" s="1"/>
  <c r="BK33" i="122"/>
  <c r="V33" i="122" s="1"/>
  <c r="BJ19" i="123"/>
  <c r="U19" i="123" s="1"/>
  <c r="BP33" i="122"/>
  <c r="BO36" i="122"/>
  <c r="BO15" i="123"/>
  <c r="BK15" i="123"/>
  <c r="V15" i="123" s="1"/>
  <c r="BK31" i="122"/>
  <c r="V31" i="122" s="1"/>
  <c r="BJ34" i="122"/>
  <c r="U34" i="122" s="1"/>
  <c r="BP34" i="122"/>
  <c r="BJ20" i="123"/>
  <c r="BJ35" i="122"/>
  <c r="U35" i="122" s="1"/>
  <c r="AQ30" i="122"/>
  <c r="BA30" i="122"/>
  <c r="AJ30" i="122" s="1"/>
  <c r="BI30" i="122"/>
  <c r="BP30" i="122"/>
  <c r="AT31" i="122"/>
  <c r="BO34" i="122"/>
  <c r="BK35" i="122"/>
  <c r="V35" i="122" s="1"/>
  <c r="BP35" i="122"/>
  <c r="BC30" i="122"/>
  <c r="BD30" i="122" s="1"/>
  <c r="BF30" i="122" s="1"/>
  <c r="BN30" i="122"/>
  <c r="U30" i="122" s="1"/>
  <c r="BE31" i="122"/>
  <c r="BP32" i="122"/>
  <c r="BK34" i="122"/>
  <c r="V34" i="122" s="1"/>
  <c r="BH37" i="122"/>
  <c r="BP19" i="123"/>
  <c r="BK20" i="123"/>
  <c r="V20" i="123" s="1"/>
  <c r="BB15" i="123"/>
  <c r="BN15" i="123"/>
  <c r="BK16" i="123"/>
  <c r="V16" i="123" s="1"/>
  <c r="BK30" i="121"/>
  <c r="V30" i="121" s="1"/>
  <c r="BO32" i="121"/>
  <c r="BK15" i="122"/>
  <c r="V15" i="122" s="1"/>
  <c r="BJ15" i="122"/>
  <c r="BO14" i="122"/>
  <c r="AH15" i="122"/>
  <c r="BA15" i="122" s="1"/>
  <c r="BP19" i="122"/>
  <c r="BP33" i="121"/>
  <c r="BK34" i="121"/>
  <c r="V34" i="121" s="1"/>
  <c r="AQ14" i="122"/>
  <c r="BP15" i="122"/>
  <c r="AI30" i="121"/>
  <c r="AY30" i="121" s="1"/>
  <c r="AP30" i="121"/>
  <c r="AK30" i="121" s="1"/>
  <c r="BA30" i="121"/>
  <c r="BI30" i="121"/>
  <c r="AT31" i="121"/>
  <c r="BK33" i="121"/>
  <c r="V33" i="121" s="1"/>
  <c r="O21" i="122"/>
  <c r="BK16" i="122"/>
  <c r="V16" i="122" s="1"/>
  <c r="BK20" i="122"/>
  <c r="V20" i="122" s="1"/>
  <c r="AQ30" i="121"/>
  <c r="BC30" i="121"/>
  <c r="BD30" i="121" s="1"/>
  <c r="BF30" i="121" s="1"/>
  <c r="BP32" i="121"/>
  <c r="BP35" i="121"/>
  <c r="BH37" i="121"/>
  <c r="BK18" i="122"/>
  <c r="V18" i="122" s="1"/>
  <c r="U14" i="122"/>
  <c r="AR14" i="122"/>
  <c r="BB15" i="122"/>
  <c r="BN15" i="122"/>
  <c r="BJ16" i="122"/>
  <c r="U16" i="122" s="1"/>
  <c r="BO17" i="122"/>
  <c r="BJ19" i="122"/>
  <c r="U19" i="122" s="1"/>
  <c r="BP31" i="120"/>
  <c r="BK33" i="120"/>
  <c r="V33" i="120" s="1"/>
  <c r="BK32" i="120"/>
  <c r="V32" i="120" s="1"/>
  <c r="BH37" i="120"/>
  <c r="O21" i="121"/>
  <c r="BN30" i="120"/>
  <c r="BP34" i="120"/>
  <c r="BP36" i="120"/>
  <c r="BP32" i="120"/>
  <c r="BP16" i="121"/>
  <c r="BK17" i="121"/>
  <c r="V17" i="121" s="1"/>
  <c r="BP20" i="121"/>
  <c r="BK15" i="121"/>
  <c r="V15" i="121" s="1"/>
  <c r="BJ16" i="121"/>
  <c r="U16" i="121" s="1"/>
  <c r="BJ17" i="121"/>
  <c r="BO18" i="121"/>
  <c r="BJ20" i="121"/>
  <c r="U20" i="121" s="1"/>
  <c r="AL21" i="121"/>
  <c r="T21" i="121" s="1"/>
  <c r="AC21" i="121"/>
  <c r="BA30" i="118"/>
  <c r="AI30" i="118"/>
  <c r="AY30" i="118" s="1"/>
  <c r="AP30" i="118"/>
  <c r="AK30" i="118" s="1"/>
  <c r="BJ18" i="119"/>
  <c r="AQ30" i="118"/>
  <c r="BE31" i="118"/>
  <c r="BJ30" i="118"/>
  <c r="BK30" i="118" s="1"/>
  <c r="V30" i="118" s="1"/>
  <c r="AT31" i="118"/>
  <c r="BJ31" i="118"/>
  <c r="U31" i="118" s="1"/>
  <c r="BK20" i="119"/>
  <c r="V20" i="119" s="1"/>
  <c r="AT15" i="119"/>
  <c r="BJ34" i="118"/>
  <c r="U34" i="118" s="1"/>
  <c r="BO17" i="119"/>
  <c r="BK17" i="119"/>
  <c r="V17" i="119" s="1"/>
  <c r="BP35" i="118"/>
  <c r="BK19" i="119"/>
  <c r="V19" i="119" s="1"/>
  <c r="BO31" i="118"/>
  <c r="BK34" i="118"/>
  <c r="V34" i="118" s="1"/>
  <c r="AI14" i="119"/>
  <c r="AP14" i="119"/>
  <c r="AK14" i="119" s="1"/>
  <c r="BO19" i="119"/>
  <c r="BP33" i="118"/>
  <c r="BJ17" i="119"/>
  <c r="U17" i="119" s="1"/>
  <c r="BJ20" i="119"/>
  <c r="U20" i="119" s="1"/>
  <c r="BC30" i="118"/>
  <c r="BD30" i="118" s="1"/>
  <c r="BF30" i="118" s="1"/>
  <c r="BI30" i="118"/>
  <c r="AH31" i="118"/>
  <c r="AQ31" i="118" s="1"/>
  <c r="BK33" i="118"/>
  <c r="V33" i="118" s="1"/>
  <c r="BI14" i="119"/>
  <c r="BK15" i="119"/>
  <c r="V15" i="119" s="1"/>
  <c r="BJ16" i="119"/>
  <c r="U16" i="119" s="1"/>
  <c r="BP14" i="119"/>
  <c r="O21" i="119"/>
  <c r="BP18" i="119"/>
  <c r="AJ19" i="119"/>
  <c r="BO15" i="119"/>
  <c r="AJ15" i="119"/>
  <c r="BK16" i="119"/>
  <c r="V16" i="119" s="1"/>
  <c r="BC14" i="119"/>
  <c r="BJ14" i="119"/>
  <c r="BK14" i="119" s="1"/>
  <c r="V14" i="119" s="1"/>
  <c r="BP15" i="119"/>
  <c r="BP17" i="119"/>
  <c r="BK18" i="119"/>
  <c r="V18" i="119" s="1"/>
  <c r="AC21" i="119"/>
  <c r="BA30" i="117"/>
  <c r="AQ30" i="117"/>
  <c r="BJ18" i="118"/>
  <c r="U18" i="118" s="1"/>
  <c r="BI14" i="118"/>
  <c r="BK30" i="117"/>
  <c r="V30" i="117" s="1"/>
  <c r="BP33" i="117"/>
  <c r="BC14" i="118"/>
  <c r="BD14" i="118" s="1"/>
  <c r="BF14" i="118" s="1"/>
  <c r="BK14" i="118"/>
  <c r="V14" i="118" s="1"/>
  <c r="BO17" i="118"/>
  <c r="O37" i="117"/>
  <c r="BP31" i="117"/>
  <c r="AQ14" i="118"/>
  <c r="AI30" i="117"/>
  <c r="AY30" i="117" s="1"/>
  <c r="BJ30" i="117"/>
  <c r="U30" i="117" s="1"/>
  <c r="BO30" i="117"/>
  <c r="AT31" i="117"/>
  <c r="BE31" i="117"/>
  <c r="BO31" i="117"/>
  <c r="BK35" i="117"/>
  <c r="V35" i="117" s="1"/>
  <c r="BJ36" i="117"/>
  <c r="U36" i="117" s="1"/>
  <c r="BC30" i="117"/>
  <c r="BI30" i="117"/>
  <c r="BP36" i="117"/>
  <c r="AP30" i="117"/>
  <c r="AH31" i="117"/>
  <c r="BI31" i="117" s="1"/>
  <c r="BK31" i="117"/>
  <c r="V31" i="117" s="1"/>
  <c r="BJ32" i="117"/>
  <c r="BP14" i="118"/>
  <c r="BK18" i="118"/>
  <c r="V18" i="118" s="1"/>
  <c r="BN14" i="118"/>
  <c r="U14" i="118" s="1"/>
  <c r="AT15" i="118"/>
  <c r="BE15" i="118"/>
  <c r="BP19" i="118"/>
  <c r="BO14" i="118"/>
  <c r="BK15" i="118"/>
  <c r="V15" i="118" s="1"/>
  <c r="BP18" i="118"/>
  <c r="BK19" i="118"/>
  <c r="V19" i="118" s="1"/>
  <c r="BK20" i="118"/>
  <c r="V20" i="118" s="1"/>
  <c r="AI14" i="118"/>
  <c r="AV14" i="118" s="1"/>
  <c r="AW14" i="118" s="1"/>
  <c r="AP14" i="118"/>
  <c r="AK14" i="118" s="1"/>
  <c r="BA14" i="118"/>
  <c r="AH15" i="118"/>
  <c r="BE16" i="118" s="1"/>
  <c r="BJ15" i="118"/>
  <c r="U15" i="118" s="1"/>
  <c r="BK16" i="118"/>
  <c r="V16" i="118" s="1"/>
  <c r="AC21" i="118"/>
  <c r="BO32" i="116"/>
  <c r="BP36" i="116"/>
  <c r="BJ36" i="116"/>
  <c r="U36" i="116" s="1"/>
  <c r="BK35" i="116"/>
  <c r="V35" i="116" s="1"/>
  <c r="BO19" i="117"/>
  <c r="BJ20" i="117"/>
  <c r="U20" i="117" s="1"/>
  <c r="BK17" i="117"/>
  <c r="V17" i="117" s="1"/>
  <c r="BN30" i="116"/>
  <c r="U30" i="116" s="1"/>
  <c r="AP14" i="117"/>
  <c r="AK14" i="117" s="1"/>
  <c r="BK19" i="117"/>
  <c r="V19" i="117" s="1"/>
  <c r="BK31" i="116"/>
  <c r="V31" i="116" s="1"/>
  <c r="AQ14" i="117"/>
  <c r="BA14" i="117"/>
  <c r="AJ14" i="117" s="1"/>
  <c r="BJ17" i="117"/>
  <c r="U17" i="117" s="1"/>
  <c r="BK18" i="117"/>
  <c r="V18" i="117" s="1"/>
  <c r="BC14" i="117"/>
  <c r="BD14" i="117" s="1"/>
  <c r="BF14" i="117" s="1"/>
  <c r="BI14" i="117"/>
  <c r="AT15" i="117"/>
  <c r="BP20" i="117"/>
  <c r="AC21" i="117"/>
  <c r="AI14" i="117"/>
  <c r="AV14" i="117" s="1"/>
  <c r="AW14" i="117" s="1"/>
  <c r="BO14" i="117"/>
  <c r="AH15" i="117"/>
  <c r="BC15" i="117" s="1"/>
  <c r="BP18" i="117"/>
  <c r="O37" i="115"/>
  <c r="BO31" i="115"/>
  <c r="BK30" i="115"/>
  <c r="V30" i="115" s="1"/>
  <c r="BK35" i="115"/>
  <c r="V35" i="115" s="1"/>
  <c r="BP14" i="116"/>
  <c r="BJ14" i="116"/>
  <c r="U14" i="116" s="1"/>
  <c r="BP18" i="116"/>
  <c r="BO33" i="115"/>
  <c r="BP36" i="115"/>
  <c r="AI30" i="115"/>
  <c r="AQ30" i="115"/>
  <c r="BA30" i="115"/>
  <c r="AJ30" i="115" s="1"/>
  <c r="BE31" i="115"/>
  <c r="BK33" i="115"/>
  <c r="V33" i="115" s="1"/>
  <c r="BO15" i="116"/>
  <c r="BJ16" i="116"/>
  <c r="U16" i="116" s="1"/>
  <c r="BJ19" i="116"/>
  <c r="AH31" i="115"/>
  <c r="AQ31" i="115" s="1"/>
  <c r="AT31" i="115"/>
  <c r="BC30" i="115"/>
  <c r="BD30" i="115" s="1"/>
  <c r="BF30" i="115" s="1"/>
  <c r="BI30" i="115"/>
  <c r="BC14" i="116"/>
  <c r="BD14" i="116" s="1"/>
  <c r="BF14" i="116" s="1"/>
  <c r="AI14" i="116"/>
  <c r="AP14" i="116"/>
  <c r="BO14" i="116"/>
  <c r="AH15" i="116"/>
  <c r="AI15" i="116" s="1"/>
  <c r="BE15" i="116"/>
  <c r="AQ14" i="116"/>
  <c r="BK15" i="116"/>
  <c r="V15" i="116" s="1"/>
  <c r="AT15" i="116"/>
  <c r="BA14" i="116"/>
  <c r="BI14" i="116"/>
  <c r="AR30" i="114"/>
  <c r="BN30" i="114"/>
  <c r="BH37" i="114"/>
  <c r="BN14" i="115"/>
  <c r="U14" i="115" s="1"/>
  <c r="BP14" i="115"/>
  <c r="O37" i="114"/>
  <c r="BO32" i="114"/>
  <c r="BO15" i="115"/>
  <c r="BP20" i="115"/>
  <c r="BK15" i="115"/>
  <c r="V15" i="115" s="1"/>
  <c r="O21" i="115"/>
  <c r="BO16" i="115"/>
  <c r="BJ16" i="115"/>
  <c r="U16" i="115" s="1"/>
  <c r="BP15" i="115"/>
  <c r="BP18" i="115"/>
  <c r="BP17" i="115"/>
  <c r="BJ17" i="115"/>
  <c r="U17" i="115" s="1"/>
  <c r="BO17" i="113"/>
  <c r="O15" i="113"/>
  <c r="O16" i="113"/>
  <c r="BM16" i="113"/>
  <c r="BN16" i="113" s="1"/>
  <c r="AO17" i="113"/>
  <c r="BL17" i="113"/>
  <c r="BP17" i="113" s="1"/>
  <c r="BL18" i="113"/>
  <c r="BO19" i="113" s="1"/>
  <c r="BL20" i="113"/>
  <c r="O17" i="113"/>
  <c r="F21" i="113"/>
  <c r="AC21" i="113" s="1"/>
  <c r="BH15" i="113"/>
  <c r="BM18" i="113"/>
  <c r="BN18" i="113" s="1"/>
  <c r="BH16" i="113"/>
  <c r="BJ16" i="113" s="1"/>
  <c r="BP19" i="133"/>
  <c r="AF37" i="133"/>
  <c r="AL37" i="133" s="1"/>
  <c r="T37" i="133" s="1"/>
  <c r="AF45" i="133"/>
  <c r="AL45" i="133" s="1"/>
  <c r="T45" i="133" s="1"/>
  <c r="AF29" i="133"/>
  <c r="BN14" i="133"/>
  <c r="BP16" i="133"/>
  <c r="BJ18" i="133"/>
  <c r="BK18" i="133" s="1"/>
  <c r="V18" i="133" s="1"/>
  <c r="BN18" i="133"/>
  <c r="AP22" i="133"/>
  <c r="AK22" i="133" s="1"/>
  <c r="BJ22" i="133"/>
  <c r="U22" i="133" s="1"/>
  <c r="BO22" i="133"/>
  <c r="AP23" i="133"/>
  <c r="AK23" i="133" s="1"/>
  <c r="BA23" i="133"/>
  <c r="BE23" i="133"/>
  <c r="BJ28" i="133"/>
  <c r="U28" i="133" s="1"/>
  <c r="BJ34" i="133"/>
  <c r="BK34" i="133" s="1"/>
  <c r="V34" i="133" s="1"/>
  <c r="BO34" i="133"/>
  <c r="BP33" i="133"/>
  <c r="S37" i="133"/>
  <c r="BO42" i="133"/>
  <c r="BN42" i="133"/>
  <c r="BP42" i="133"/>
  <c r="BQ45" i="133"/>
  <c r="AG45" i="133"/>
  <c r="AD45" i="133" s="1"/>
  <c r="BP15" i="133"/>
  <c r="BO20" i="133"/>
  <c r="AG21" i="133"/>
  <c r="AG29" i="133"/>
  <c r="BB30" i="133"/>
  <c r="AQ14" i="133"/>
  <c r="BA14" i="133"/>
  <c r="AJ14" i="133" s="1"/>
  <c r="BO14" i="133"/>
  <c r="AH15" i="133"/>
  <c r="BE15" i="133"/>
  <c r="BJ15" i="133"/>
  <c r="BN15" i="133"/>
  <c r="BB18" i="133"/>
  <c r="BO18" i="133"/>
  <c r="BJ19" i="133"/>
  <c r="U19" i="133" s="1"/>
  <c r="O29" i="133"/>
  <c r="AQ22" i="133"/>
  <c r="BA22" i="133"/>
  <c r="BP22" i="133"/>
  <c r="AR23" i="133"/>
  <c r="BP23" i="133"/>
  <c r="BN24" i="133"/>
  <c r="BK25" i="133"/>
  <c r="V25" i="133" s="1"/>
  <c r="AJ26" i="133"/>
  <c r="BJ26" i="133"/>
  <c r="U26" i="133" s="1"/>
  <c r="BO28" i="133"/>
  <c r="BP38" i="133"/>
  <c r="BO39" i="133"/>
  <c r="BI23" i="133"/>
  <c r="AQ23" i="133"/>
  <c r="BP27" i="133"/>
  <c r="AF21" i="133"/>
  <c r="AL21" i="133" s="1"/>
  <c r="T21" i="133" s="1"/>
  <c r="BK33" i="133"/>
  <c r="V33" i="133" s="1"/>
  <c r="BP34" i="133"/>
  <c r="BN34" i="133"/>
  <c r="BH37" i="133"/>
  <c r="AC37" i="133"/>
  <c r="BE39" i="133"/>
  <c r="AH39" i="133"/>
  <c r="BA38" i="133"/>
  <c r="AQ38" i="133"/>
  <c r="BC38" i="133"/>
  <c r="AP38" i="133"/>
  <c r="AI38" i="133"/>
  <c r="AY38" i="133" s="1"/>
  <c r="AT39" i="133"/>
  <c r="AR38" i="133"/>
  <c r="BI38" i="133"/>
  <c r="BB36" i="133"/>
  <c r="AJ36" i="133"/>
  <c r="BK36" i="133"/>
  <c r="V36" i="133" s="1"/>
  <c r="BP41" i="133"/>
  <c r="BO41" i="133"/>
  <c r="BN41" i="133"/>
  <c r="AJ34" i="133"/>
  <c r="BP35" i="133"/>
  <c r="BP36" i="133"/>
  <c r="BK38" i="133"/>
  <c r="V38" i="133" s="1"/>
  <c r="BJ39" i="133"/>
  <c r="U39" i="133" s="1"/>
  <c r="BK42" i="133"/>
  <c r="V42" i="133" s="1"/>
  <c r="BJ42" i="133"/>
  <c r="U42" i="133" s="1"/>
  <c r="BK35" i="133"/>
  <c r="V35" i="133" s="1"/>
  <c r="BJ36" i="133"/>
  <c r="U36" i="133" s="1"/>
  <c r="AJ41" i="133"/>
  <c r="BB41" i="133"/>
  <c r="BJ43" i="133"/>
  <c r="U43" i="133" s="1"/>
  <c r="BK24" i="132"/>
  <c r="V24" i="132" s="1"/>
  <c r="BJ24" i="132"/>
  <c r="BJ26" i="132"/>
  <c r="U26" i="132" s="1"/>
  <c r="BK25" i="132"/>
  <c r="V25" i="132" s="1"/>
  <c r="BQ45" i="132"/>
  <c r="AG45" i="132"/>
  <c r="AD45" i="132" s="1"/>
  <c r="AG29" i="132"/>
  <c r="AI14" i="132"/>
  <c r="AY14" i="132" s="1"/>
  <c r="BO14" i="132"/>
  <c r="BN14" i="132"/>
  <c r="AG21" i="132"/>
  <c r="BO23" i="132"/>
  <c r="BP23" i="132"/>
  <c r="BN23" i="132"/>
  <c r="BC31" i="132"/>
  <c r="BE15" i="132"/>
  <c r="AH15" i="132"/>
  <c r="BA14" i="132"/>
  <c r="AJ14" i="132" s="1"/>
  <c r="AQ14" i="132"/>
  <c r="AP14" i="132"/>
  <c r="AK14" i="132" s="1"/>
  <c r="BP18" i="132"/>
  <c r="BO18" i="132"/>
  <c r="BN18" i="132"/>
  <c r="BJ14" i="132"/>
  <c r="BK14" i="132" s="1"/>
  <c r="V14" i="132" s="1"/>
  <c r="BP14" i="132"/>
  <c r="BJ15" i="132"/>
  <c r="U15" i="132" s="1"/>
  <c r="BP15" i="132"/>
  <c r="BO16" i="132"/>
  <c r="BJ19" i="132"/>
  <c r="U19" i="132" s="1"/>
  <c r="BP19" i="132"/>
  <c r="BO20" i="132"/>
  <c r="BB27" i="132"/>
  <c r="AG37" i="132"/>
  <c r="BC14" i="132"/>
  <c r="BD14" i="132" s="1"/>
  <c r="BF14" i="132" s="1"/>
  <c r="BI14" i="132"/>
  <c r="AT15" i="132"/>
  <c r="AJ18" i="132"/>
  <c r="BB18" i="132"/>
  <c r="AV22" i="132"/>
  <c r="AW22" i="132" s="1"/>
  <c r="BK23" i="132"/>
  <c r="V23" i="132" s="1"/>
  <c r="BJ23" i="132"/>
  <c r="BP25" i="132"/>
  <c r="BO26" i="132"/>
  <c r="BO27" i="132"/>
  <c r="BP27" i="132" s="1"/>
  <c r="BN27" i="132"/>
  <c r="BO28" i="132"/>
  <c r="BN28" i="132"/>
  <c r="BP28" i="132"/>
  <c r="AJ32" i="132"/>
  <c r="BB32" i="132"/>
  <c r="AF37" i="132"/>
  <c r="AL37" i="132" s="1"/>
  <c r="T37" i="132" s="1"/>
  <c r="AF45" i="132"/>
  <c r="AL45" i="132" s="1"/>
  <c r="T45" i="132" s="1"/>
  <c r="AF29" i="132"/>
  <c r="BB17" i="132"/>
  <c r="BO17" i="132"/>
  <c r="BJ18" i="132"/>
  <c r="BK18" i="132" s="1"/>
  <c r="V18" i="132" s="1"/>
  <c r="AP22" i="132"/>
  <c r="BO22" i="132"/>
  <c r="BK28" i="132"/>
  <c r="V28" i="132" s="1"/>
  <c r="BJ28" i="132"/>
  <c r="BP32" i="132"/>
  <c r="BO32" i="132"/>
  <c r="BN32" i="132"/>
  <c r="BB34" i="132"/>
  <c r="AJ34" i="132"/>
  <c r="BP41" i="132"/>
  <c r="BO41" i="132"/>
  <c r="BN41" i="132"/>
  <c r="O29" i="132"/>
  <c r="AQ22" i="132"/>
  <c r="BA22" i="132"/>
  <c r="AH23" i="132"/>
  <c r="BJ25" i="132"/>
  <c r="U25" i="132" s="1"/>
  <c r="BO34" i="132"/>
  <c r="BN34" i="132"/>
  <c r="BP34" i="132"/>
  <c r="BE39" i="132"/>
  <c r="AH39" i="132"/>
  <c r="BA38" i="132"/>
  <c r="AQ38" i="132"/>
  <c r="AP38" i="132"/>
  <c r="AT39" i="132"/>
  <c r="BI38" i="132"/>
  <c r="BC38" i="132"/>
  <c r="AI38" i="132"/>
  <c r="AR38" i="132"/>
  <c r="AF21" i="132"/>
  <c r="AR22" i="132"/>
  <c r="BC22" i="132"/>
  <c r="BI22" i="132"/>
  <c r="AT23" i="132"/>
  <c r="BO24" i="132"/>
  <c r="BN24" i="132"/>
  <c r="BK33" i="132"/>
  <c r="V33" i="132" s="1"/>
  <c r="BJ33" i="132"/>
  <c r="U33" i="132" s="1"/>
  <c r="BH37" i="132"/>
  <c r="AC37" i="132"/>
  <c r="BB31" i="132"/>
  <c r="BO31" i="132"/>
  <c r="BJ32" i="132"/>
  <c r="BK32" i="132" s="1"/>
  <c r="V32" i="132" s="1"/>
  <c r="BO33" i="132"/>
  <c r="BK34" i="132"/>
  <c r="V34" i="132" s="1"/>
  <c r="BJ34" i="132"/>
  <c r="U34" i="132" s="1"/>
  <c r="BP35" i="132"/>
  <c r="BK38" i="132"/>
  <c r="V38" i="132" s="1"/>
  <c r="BJ38" i="132"/>
  <c r="U38" i="132" s="1"/>
  <c r="BP38" i="132"/>
  <c r="BO39" i="132"/>
  <c r="BK42" i="132"/>
  <c r="V42" i="132" s="1"/>
  <c r="BJ42" i="132"/>
  <c r="U42" i="132" s="1"/>
  <c r="BP42" i="132"/>
  <c r="BO43" i="132"/>
  <c r="BJ35" i="132"/>
  <c r="U35" i="132" s="1"/>
  <c r="AJ41" i="132"/>
  <c r="BB41" i="132"/>
  <c r="BB40" i="132"/>
  <c r="BO40" i="132"/>
  <c r="BJ41" i="132"/>
  <c r="U41" i="132" s="1"/>
  <c r="BB44" i="132"/>
  <c r="BO44" i="132"/>
  <c r="AF37" i="131"/>
  <c r="AF45" i="131"/>
  <c r="AL45" i="131" s="1"/>
  <c r="T45" i="131" s="1"/>
  <c r="AF29" i="131"/>
  <c r="AL29" i="131" s="1"/>
  <c r="T29" i="131" s="1"/>
  <c r="AF21" i="131"/>
  <c r="O21" i="131"/>
  <c r="AQ14" i="131"/>
  <c r="BA14" i="131"/>
  <c r="BO14" i="131"/>
  <c r="AH15" i="131"/>
  <c r="BE15" i="131"/>
  <c r="BJ15" i="131"/>
  <c r="BN15" i="131"/>
  <c r="BB16" i="131"/>
  <c r="BJ17" i="131"/>
  <c r="U17" i="131" s="1"/>
  <c r="BP17" i="131"/>
  <c r="BJ18" i="131"/>
  <c r="U18" i="131" s="1"/>
  <c r="BP20" i="131"/>
  <c r="BO20" i="131"/>
  <c r="BN20" i="131"/>
  <c r="AJ24" i="131"/>
  <c r="BB24" i="131"/>
  <c r="BJ36" i="131"/>
  <c r="U36" i="131" s="1"/>
  <c r="BO36" i="131"/>
  <c r="BP35" i="131"/>
  <c r="BB15" i="131"/>
  <c r="BO15" i="131"/>
  <c r="BP30" i="131"/>
  <c r="BO30" i="131"/>
  <c r="BN30" i="131"/>
  <c r="BQ45" i="131"/>
  <c r="AG45" i="131"/>
  <c r="AG37" i="131"/>
  <c r="AG21" i="131"/>
  <c r="AJ20" i="131"/>
  <c r="BB20" i="131"/>
  <c r="BP24" i="131"/>
  <c r="BO24" i="131"/>
  <c r="BN24" i="131"/>
  <c r="BJ27" i="131"/>
  <c r="U27" i="131" s="1"/>
  <c r="BK27" i="131"/>
  <c r="V27" i="131" s="1"/>
  <c r="BO34" i="131"/>
  <c r="BN34" i="131"/>
  <c r="BP34" i="131"/>
  <c r="BP38" i="131"/>
  <c r="BO39" i="131"/>
  <c r="BP18" i="131"/>
  <c r="BJ20" i="131"/>
  <c r="AR22" i="131"/>
  <c r="BP22" i="131"/>
  <c r="BJ24" i="131"/>
  <c r="U24" i="131" s="1"/>
  <c r="BK25" i="131"/>
  <c r="V25" i="131" s="1"/>
  <c r="BP25" i="131"/>
  <c r="BO25" i="131"/>
  <c r="BO26" i="131"/>
  <c r="BN26" i="131"/>
  <c r="BJ28" i="131"/>
  <c r="BJ30" i="131"/>
  <c r="BK30" i="131" s="1"/>
  <c r="V30" i="131" s="1"/>
  <c r="BO33" i="131"/>
  <c r="BP33" i="131"/>
  <c r="BN33" i="131"/>
  <c r="AI22" i="131"/>
  <c r="BC22" i="131"/>
  <c r="BI22" i="131"/>
  <c r="AT23" i="131"/>
  <c r="BN25" i="131"/>
  <c r="BK26" i="131"/>
  <c r="V26" i="131" s="1"/>
  <c r="BJ26" i="131"/>
  <c r="BP26" i="131"/>
  <c r="BP27" i="131"/>
  <c r="BJ31" i="131"/>
  <c r="BK31" i="131" s="1"/>
  <c r="V31" i="131" s="1"/>
  <c r="BK42" i="131"/>
  <c r="V42" i="131" s="1"/>
  <c r="BJ42" i="131"/>
  <c r="U42" i="131" s="1"/>
  <c r="BJ25" i="131"/>
  <c r="BE31" i="131"/>
  <c r="AH31" i="131"/>
  <c r="BA30" i="131"/>
  <c r="AJ30" i="131" s="1"/>
  <c r="AQ30" i="131"/>
  <c r="AP30" i="131"/>
  <c r="AK30" i="131" s="1"/>
  <c r="AT31" i="131"/>
  <c r="BK33" i="131"/>
  <c r="V33" i="131" s="1"/>
  <c r="BJ33" i="131"/>
  <c r="BK34" i="131"/>
  <c r="V34" i="131" s="1"/>
  <c r="BJ34" i="131"/>
  <c r="AC37" i="131"/>
  <c r="AJ41" i="131"/>
  <c r="BB41" i="131"/>
  <c r="O37" i="131"/>
  <c r="AJ33" i="131"/>
  <c r="BE39" i="131"/>
  <c r="AH39" i="131"/>
  <c r="BA38" i="131"/>
  <c r="AQ38" i="131"/>
  <c r="AP38" i="131"/>
  <c r="AT39" i="131"/>
  <c r="BI38" i="131"/>
  <c r="BC38" i="131"/>
  <c r="AI38" i="131"/>
  <c r="BP41" i="131"/>
  <c r="BO41" i="131"/>
  <c r="BN41" i="131"/>
  <c r="BJ35" i="131"/>
  <c r="U35" i="131" s="1"/>
  <c r="BK38" i="131"/>
  <c r="V38" i="131" s="1"/>
  <c r="BJ38" i="131"/>
  <c r="U38" i="131" s="1"/>
  <c r="BB40" i="131"/>
  <c r="BO40" i="131"/>
  <c r="BJ41" i="131"/>
  <c r="U41" i="131" s="1"/>
  <c r="BO44" i="131"/>
  <c r="BE31" i="130"/>
  <c r="AH31" i="130"/>
  <c r="BA30" i="130"/>
  <c r="AJ30" i="130" s="1"/>
  <c r="AQ30" i="130"/>
  <c r="AP30" i="130"/>
  <c r="AK30" i="130" s="1"/>
  <c r="AT31" i="130"/>
  <c r="BI30" i="130"/>
  <c r="BC30" i="130"/>
  <c r="BD30" i="130" s="1"/>
  <c r="BF30" i="130" s="1"/>
  <c r="AI30" i="130"/>
  <c r="AR30" i="130"/>
  <c r="BE15" i="130"/>
  <c r="AH15" i="130"/>
  <c r="BA14" i="130"/>
  <c r="AJ14" i="130" s="1"/>
  <c r="AQ14" i="130"/>
  <c r="AP14" i="130"/>
  <c r="AK14" i="130" s="1"/>
  <c r="AT15" i="130"/>
  <c r="BI14" i="130"/>
  <c r="BC14" i="130"/>
  <c r="BD14" i="130" s="1"/>
  <c r="BF14" i="130" s="1"/>
  <c r="AI14" i="130"/>
  <c r="AR14" i="130"/>
  <c r="BK18" i="130"/>
  <c r="V18" i="130" s="1"/>
  <c r="BP18" i="130"/>
  <c r="AJ19" i="130"/>
  <c r="BB19" i="130"/>
  <c r="BK20" i="130"/>
  <c r="V20" i="130" s="1"/>
  <c r="BJ20" i="130"/>
  <c r="AL21" i="130"/>
  <c r="T21" i="130" s="1"/>
  <c r="BO20" i="130"/>
  <c r="BP20" i="130"/>
  <c r="BN20" i="130"/>
  <c r="BK30" i="130"/>
  <c r="V30" i="130" s="1"/>
  <c r="BJ30" i="130"/>
  <c r="U30" i="130" s="1"/>
  <c r="BK14" i="130"/>
  <c r="V14" i="130" s="1"/>
  <c r="BJ14" i="130"/>
  <c r="BJ19" i="130"/>
  <c r="U19" i="130" s="1"/>
  <c r="BK42" i="130"/>
  <c r="V42" i="130" s="1"/>
  <c r="BJ42" i="130"/>
  <c r="U42" i="130" s="1"/>
  <c r="BQ45" i="130"/>
  <c r="AG45" i="130"/>
  <c r="AD45" i="130" s="1"/>
  <c r="AG37" i="130"/>
  <c r="AG29" i="130"/>
  <c r="AG21" i="130"/>
  <c r="BP15" i="130"/>
  <c r="AT23" i="130"/>
  <c r="BI22" i="130"/>
  <c r="BC22" i="130"/>
  <c r="AI22" i="130"/>
  <c r="AY22" i="130" s="1"/>
  <c r="BP22" i="130"/>
  <c r="BE23" i="130"/>
  <c r="BP25" i="130"/>
  <c r="BN25" i="130"/>
  <c r="BP30" i="130"/>
  <c r="BO33" i="130"/>
  <c r="BP33" i="130"/>
  <c r="BN33" i="130"/>
  <c r="AF37" i="130"/>
  <c r="AL37" i="130" s="1"/>
  <c r="T37" i="130" s="1"/>
  <c r="AF45" i="130"/>
  <c r="AL45" i="130" s="1"/>
  <c r="T45" i="130" s="1"/>
  <c r="BN14" i="130"/>
  <c r="AJ17" i="130"/>
  <c r="BJ17" i="130"/>
  <c r="U17" i="130" s="1"/>
  <c r="BJ18" i="130"/>
  <c r="U18" i="130" s="1"/>
  <c r="AJ22" i="130"/>
  <c r="AP22" i="130"/>
  <c r="BA22" i="130"/>
  <c r="AH23" i="130"/>
  <c r="BJ24" i="130"/>
  <c r="U24" i="130" s="1"/>
  <c r="BB25" i="130"/>
  <c r="BO25" i="130"/>
  <c r="BJ28" i="130"/>
  <c r="U28" i="130" s="1"/>
  <c r="AF29" i="130"/>
  <c r="BP38" i="130"/>
  <c r="BO39" i="130"/>
  <c r="AQ22" i="130"/>
  <c r="BB23" i="130"/>
  <c r="BN23" i="130"/>
  <c r="BP23" i="130"/>
  <c r="BK26" i="130"/>
  <c r="V26" i="130" s="1"/>
  <c r="BN27" i="130"/>
  <c r="U27" i="130" s="1"/>
  <c r="BP27" i="130"/>
  <c r="AJ33" i="130"/>
  <c r="BB33" i="130"/>
  <c r="BK34" i="130"/>
  <c r="V34" i="130" s="1"/>
  <c r="BJ34" i="130"/>
  <c r="BJ36" i="130"/>
  <c r="U36" i="130" s="1"/>
  <c r="BO36" i="130"/>
  <c r="BP35" i="130"/>
  <c r="BP31" i="130"/>
  <c r="AC37" i="130"/>
  <c r="AJ41" i="130"/>
  <c r="BB41" i="130"/>
  <c r="BJ35" i="130"/>
  <c r="U35" i="130" s="1"/>
  <c r="BE39" i="130"/>
  <c r="AH39" i="130"/>
  <c r="BA38" i="130"/>
  <c r="AQ38" i="130"/>
  <c r="AP38" i="130"/>
  <c r="AT39" i="130"/>
  <c r="BI38" i="130"/>
  <c r="BC38" i="130"/>
  <c r="AI38" i="130"/>
  <c r="BP41" i="130"/>
  <c r="BO41" i="130"/>
  <c r="BN41" i="130"/>
  <c r="O37" i="130"/>
  <c r="BO34" i="130"/>
  <c r="BN34" i="130"/>
  <c r="BK35" i="130"/>
  <c r="V35" i="130" s="1"/>
  <c r="AR38" i="130"/>
  <c r="BK38" i="130"/>
  <c r="V38" i="130" s="1"/>
  <c r="BJ38" i="130"/>
  <c r="U38" i="130" s="1"/>
  <c r="U45" i="130" s="1"/>
  <c r="BB40" i="130"/>
  <c r="BO40" i="130"/>
  <c r="BJ41" i="130"/>
  <c r="U41" i="130" s="1"/>
  <c r="BP43" i="130"/>
  <c r="BK22" i="129"/>
  <c r="V22" i="129" s="1"/>
  <c r="BJ22" i="129"/>
  <c r="BE31" i="129"/>
  <c r="AH31" i="129"/>
  <c r="BA30" i="129"/>
  <c r="AJ30" i="129" s="1"/>
  <c r="AQ30" i="129"/>
  <c r="AP30" i="129"/>
  <c r="AK30" i="129" s="1"/>
  <c r="AT31" i="129"/>
  <c r="BI30" i="129"/>
  <c r="BC30" i="129"/>
  <c r="BD30" i="129" s="1"/>
  <c r="BF30" i="129" s="1"/>
  <c r="AI30" i="129"/>
  <c r="AR30" i="129"/>
  <c r="AT24" i="129"/>
  <c r="BC23" i="129"/>
  <c r="AP23" i="129"/>
  <c r="BE24" i="129"/>
  <c r="AH24" i="129"/>
  <c r="BI23" i="129"/>
  <c r="AR23" i="129"/>
  <c r="AQ23" i="129"/>
  <c r="AI23" i="129"/>
  <c r="AV23" i="129" s="1"/>
  <c r="AW23" i="129" s="1"/>
  <c r="AJ24" i="129"/>
  <c r="BB24" i="129"/>
  <c r="BO16" i="129"/>
  <c r="BP24" i="129"/>
  <c r="BO24" i="129"/>
  <c r="BN24" i="129"/>
  <c r="BO25" i="129"/>
  <c r="BN25" i="129"/>
  <c r="BP25" i="129"/>
  <c r="BQ45" i="129"/>
  <c r="AG45" i="129"/>
  <c r="AD45" i="129" s="1"/>
  <c r="AG29" i="129"/>
  <c r="AG21" i="129"/>
  <c r="AG37" i="129"/>
  <c r="BP14" i="129"/>
  <c r="BO14" i="129"/>
  <c r="BN14" i="129"/>
  <c r="U14" i="129" s="1"/>
  <c r="BK15" i="129"/>
  <c r="V15" i="129" s="1"/>
  <c r="BJ15" i="129"/>
  <c r="U15" i="129" s="1"/>
  <c r="BP15" i="129"/>
  <c r="BP41" i="129"/>
  <c r="BO41" i="129"/>
  <c r="BN41" i="129"/>
  <c r="AF37" i="129"/>
  <c r="AL37" i="129" s="1"/>
  <c r="T37" i="129" s="1"/>
  <c r="AF45" i="129"/>
  <c r="AL45" i="129" s="1"/>
  <c r="T45" i="129" s="1"/>
  <c r="AP14" i="129"/>
  <c r="AK14" i="129" s="1"/>
  <c r="BP16" i="129"/>
  <c r="BO18" i="129"/>
  <c r="AQ22" i="129"/>
  <c r="BB23" i="129"/>
  <c r="BK25" i="129"/>
  <c r="V25" i="129" s="1"/>
  <c r="BJ25" i="129"/>
  <c r="U25" i="129" s="1"/>
  <c r="BK30" i="129"/>
  <c r="V30" i="129" s="1"/>
  <c r="BJ30" i="129"/>
  <c r="BN34" i="129"/>
  <c r="BP34" i="129"/>
  <c r="BO34" i="129"/>
  <c r="BE39" i="129"/>
  <c r="AH39" i="129"/>
  <c r="BA38" i="129"/>
  <c r="AQ38" i="129"/>
  <c r="AP38" i="129"/>
  <c r="AT39" i="129"/>
  <c r="BI38" i="129"/>
  <c r="BC38" i="129"/>
  <c r="AI38" i="129"/>
  <c r="AR38" i="129"/>
  <c r="BO33" i="129"/>
  <c r="BP33" i="129"/>
  <c r="BN33" i="129"/>
  <c r="BP18" i="129"/>
  <c r="BJ19" i="129"/>
  <c r="U19" i="129" s="1"/>
  <c r="AC21" i="129"/>
  <c r="BP30" i="129"/>
  <c r="BO31" i="129"/>
  <c r="BH37" i="129"/>
  <c r="AC37" i="129"/>
  <c r="BN20" i="129"/>
  <c r="AF21" i="129"/>
  <c r="AL21" i="129" s="1"/>
  <c r="T21" i="129" s="1"/>
  <c r="AT23" i="129"/>
  <c r="BI22" i="129"/>
  <c r="BC22" i="129"/>
  <c r="AI22" i="129"/>
  <c r="AY22" i="129" s="1"/>
  <c r="BP22" i="129"/>
  <c r="BE23" i="129"/>
  <c r="BN23" i="129"/>
  <c r="U23" i="129" s="1"/>
  <c r="BJ26" i="129"/>
  <c r="U26" i="129" s="1"/>
  <c r="AJ33" i="129"/>
  <c r="BB33" i="129"/>
  <c r="BJ34" i="129"/>
  <c r="BK34" i="129"/>
  <c r="V34" i="129" s="1"/>
  <c r="BB28" i="129"/>
  <c r="BO28" i="129"/>
  <c r="BB32" i="129"/>
  <c r="BO32" i="129"/>
  <c r="BJ33" i="129"/>
  <c r="BJ35" i="129"/>
  <c r="U35" i="129" s="1"/>
  <c r="BO36" i="129"/>
  <c r="BK38" i="129"/>
  <c r="V38" i="129" s="1"/>
  <c r="BJ38" i="129"/>
  <c r="U38" i="129" s="1"/>
  <c r="BK35" i="129"/>
  <c r="V35" i="129" s="1"/>
  <c r="BP38" i="129"/>
  <c r="BO39" i="129"/>
  <c r="BK42" i="129"/>
  <c r="V42" i="129" s="1"/>
  <c r="BJ42" i="129"/>
  <c r="U42" i="129" s="1"/>
  <c r="BP42" i="129"/>
  <c r="BO43" i="129"/>
  <c r="O37" i="129"/>
  <c r="BP35" i="129"/>
  <c r="AJ41" i="129"/>
  <c r="BB41" i="129"/>
  <c r="BB40" i="129"/>
  <c r="BO40" i="129"/>
  <c r="BJ41" i="129"/>
  <c r="U41" i="129" s="1"/>
  <c r="BB44" i="129"/>
  <c r="BO44" i="129"/>
  <c r="AF45" i="128"/>
  <c r="AL45" i="128" s="1"/>
  <c r="T45" i="128" s="1"/>
  <c r="AF37" i="128"/>
  <c r="AL37" i="128" s="1"/>
  <c r="T37" i="128" s="1"/>
  <c r="AF21" i="128"/>
  <c r="AF29" i="128"/>
  <c r="AL29" i="128" s="1"/>
  <c r="T29" i="128" s="1"/>
  <c r="BP16" i="128"/>
  <c r="BP26" i="128"/>
  <c r="BO26" i="128"/>
  <c r="BB33" i="128"/>
  <c r="AJ33" i="128"/>
  <c r="O21" i="128"/>
  <c r="BN15" i="128"/>
  <c r="BP17" i="128"/>
  <c r="BN19" i="128"/>
  <c r="BJ24" i="128"/>
  <c r="U24" i="128" s="1"/>
  <c r="BN26" i="128"/>
  <c r="U26" i="128" s="1"/>
  <c r="BK34" i="128"/>
  <c r="V34" i="128" s="1"/>
  <c r="BJ34" i="128"/>
  <c r="AJ40" i="128"/>
  <c r="BB40" i="128"/>
  <c r="BK41" i="128"/>
  <c r="V41" i="128" s="1"/>
  <c r="BJ41" i="128"/>
  <c r="U41" i="128" s="1"/>
  <c r="BP42" i="128"/>
  <c r="BP22" i="128"/>
  <c r="BO22" i="128"/>
  <c r="AR14" i="128"/>
  <c r="BB15" i="128"/>
  <c r="BO15" i="128"/>
  <c r="BJ16" i="128"/>
  <c r="BN16" i="128"/>
  <c r="BB19" i="128"/>
  <c r="BO19" i="128"/>
  <c r="BJ20" i="128"/>
  <c r="U20" i="128" s="1"/>
  <c r="BO20" i="128"/>
  <c r="AG21" i="128"/>
  <c r="BO23" i="128"/>
  <c r="BN23" i="128"/>
  <c r="BK24" i="128"/>
  <c r="V24" i="128" s="1"/>
  <c r="BP24" i="128"/>
  <c r="BJ25" i="128"/>
  <c r="U25" i="128" s="1"/>
  <c r="BP27" i="128"/>
  <c r="BO27" i="128"/>
  <c r="BK28" i="128"/>
  <c r="V28" i="128" s="1"/>
  <c r="BJ28" i="128"/>
  <c r="AC29" i="128"/>
  <c r="BO35" i="128"/>
  <c r="BO28" i="128"/>
  <c r="BP28" i="128"/>
  <c r="BN28" i="128"/>
  <c r="BP44" i="128"/>
  <c r="BO44" i="128"/>
  <c r="BN44" i="128"/>
  <c r="BQ45" i="128"/>
  <c r="AG45" i="128"/>
  <c r="AD45" i="128" s="1"/>
  <c r="AG29" i="128"/>
  <c r="AG37" i="128"/>
  <c r="AI14" i="128"/>
  <c r="AY14" i="128" s="1"/>
  <c r="BC14" i="128"/>
  <c r="BD14" i="128" s="1"/>
  <c r="BF14" i="128" s="1"/>
  <c r="BI14" i="128"/>
  <c r="BP20" i="128"/>
  <c r="BK23" i="128"/>
  <c r="V23" i="128" s="1"/>
  <c r="BJ23" i="128"/>
  <c r="BP23" i="128"/>
  <c r="AJ26" i="128"/>
  <c r="BB26" i="128"/>
  <c r="BN27" i="128"/>
  <c r="BP31" i="128"/>
  <c r="BO31" i="128"/>
  <c r="BN31" i="128"/>
  <c r="U31" i="128" s="1"/>
  <c r="AJ32" i="128"/>
  <c r="BP35" i="128"/>
  <c r="BJ36" i="128"/>
  <c r="U36" i="128" s="1"/>
  <c r="AT40" i="128"/>
  <c r="BI39" i="128"/>
  <c r="AQ39" i="128"/>
  <c r="BC39" i="128"/>
  <c r="AP39" i="128"/>
  <c r="BE40" i="128"/>
  <c r="AH40" i="128"/>
  <c r="BA39" i="128"/>
  <c r="AR39" i="128"/>
  <c r="BA23" i="128"/>
  <c r="AT31" i="128"/>
  <c r="BI30" i="128"/>
  <c r="BC30" i="128"/>
  <c r="BD30" i="128" s="1"/>
  <c r="BF30" i="128" s="1"/>
  <c r="AI30" i="128"/>
  <c r="BP30" i="128"/>
  <c r="BE31" i="128"/>
  <c r="BK32" i="128"/>
  <c r="V32" i="128" s="1"/>
  <c r="BJ33" i="128"/>
  <c r="BO33" i="128"/>
  <c r="BN33" i="128"/>
  <c r="BO34" i="128"/>
  <c r="BN34" i="128"/>
  <c r="BP38" i="128"/>
  <c r="AI23" i="128"/>
  <c r="AY23" i="128" s="1"/>
  <c r="AH24" i="128"/>
  <c r="AP30" i="128"/>
  <c r="AK30" i="128" s="1"/>
  <c r="BA30" i="128"/>
  <c r="AJ30" i="128" s="1"/>
  <c r="AH31" i="128"/>
  <c r="BN32" i="128"/>
  <c r="BP33" i="128"/>
  <c r="BJ35" i="128"/>
  <c r="U35" i="128" s="1"/>
  <c r="BP40" i="128"/>
  <c r="BO40" i="128"/>
  <c r="BO41" i="128"/>
  <c r="BN41" i="128"/>
  <c r="AJ44" i="128"/>
  <c r="BB44" i="128"/>
  <c r="AP38" i="128"/>
  <c r="AT39" i="128"/>
  <c r="BI38" i="128"/>
  <c r="BC38" i="128"/>
  <c r="AI38" i="128"/>
  <c r="BA38" i="128"/>
  <c r="AV39" i="128"/>
  <c r="AW39" i="128" s="1"/>
  <c r="AQ38" i="128"/>
  <c r="BK38" i="128"/>
  <c r="V38" i="128" s="1"/>
  <c r="BJ42" i="128"/>
  <c r="U42" i="128" s="1"/>
  <c r="BI22" i="127"/>
  <c r="AJ31" i="127"/>
  <c r="BB31" i="127"/>
  <c r="BP41" i="127"/>
  <c r="BO41" i="127"/>
  <c r="BN41" i="127"/>
  <c r="BB15" i="127"/>
  <c r="BO15" i="127"/>
  <c r="BJ16" i="127"/>
  <c r="BN16" i="127"/>
  <c r="BN17" i="127"/>
  <c r="U17" i="127" s="1"/>
  <c r="BK18" i="127"/>
  <c r="V18" i="127" s="1"/>
  <c r="AJ19" i="127"/>
  <c r="BJ19" i="127"/>
  <c r="U19" i="127" s="1"/>
  <c r="BJ20" i="127"/>
  <c r="U20" i="127" s="1"/>
  <c r="AI22" i="127"/>
  <c r="AY22" i="127" s="1"/>
  <c r="AP22" i="127"/>
  <c r="BJ22" i="127"/>
  <c r="U22" i="127" s="1"/>
  <c r="BP22" i="127"/>
  <c r="BK23" i="127"/>
  <c r="V23" i="127" s="1"/>
  <c r="BP23" i="127"/>
  <c r="BK28" i="127"/>
  <c r="V28" i="127" s="1"/>
  <c r="BJ28" i="127"/>
  <c r="U28" i="127" s="1"/>
  <c r="BP31" i="127"/>
  <c r="BO31" i="127"/>
  <c r="BN31" i="127"/>
  <c r="BE39" i="127"/>
  <c r="AH39" i="127"/>
  <c r="BA38" i="127"/>
  <c r="AQ38" i="127"/>
  <c r="AP38" i="127"/>
  <c r="AT39" i="127"/>
  <c r="BI38" i="127"/>
  <c r="BC38" i="127"/>
  <c r="AI38" i="127"/>
  <c r="AR38" i="127"/>
  <c r="BE23" i="127"/>
  <c r="AH23" i="127"/>
  <c r="BA22" i="127"/>
  <c r="AQ22" i="127"/>
  <c r="BQ45" i="127"/>
  <c r="AG45" i="127"/>
  <c r="AD45" i="127" s="1"/>
  <c r="AG29" i="127"/>
  <c r="BB16" i="127"/>
  <c r="BO16" i="127"/>
  <c r="BO17" i="127"/>
  <c r="BO19" i="127"/>
  <c r="BO20" i="127"/>
  <c r="AR22" i="127"/>
  <c r="AT23" i="127"/>
  <c r="BJ24" i="127"/>
  <c r="U24" i="127" s="1"/>
  <c r="BB27" i="127"/>
  <c r="BO35" i="127"/>
  <c r="BP34" i="127"/>
  <c r="BH37" i="127"/>
  <c r="AC37" i="127"/>
  <c r="BP24" i="127"/>
  <c r="BO25" i="127"/>
  <c r="BJ35" i="127"/>
  <c r="U35" i="127" s="1"/>
  <c r="BK35" i="127"/>
  <c r="V35" i="127" s="1"/>
  <c r="AF37" i="127"/>
  <c r="AL37" i="127" s="1"/>
  <c r="T37" i="127" s="1"/>
  <c r="AF45" i="127"/>
  <c r="AL45" i="127" s="1"/>
  <c r="T45" i="127" s="1"/>
  <c r="AF29" i="127"/>
  <c r="AG21" i="127"/>
  <c r="BK24" i="127"/>
  <c r="V24" i="127" s="1"/>
  <c r="BP27" i="127"/>
  <c r="BO27" i="127"/>
  <c r="BN27" i="127"/>
  <c r="BK32" i="127"/>
  <c r="V32" i="127" s="1"/>
  <c r="BJ32" i="127"/>
  <c r="U32" i="127" s="1"/>
  <c r="BP32" i="127"/>
  <c r="AG37" i="127"/>
  <c r="BB26" i="127"/>
  <c r="BO26" i="127"/>
  <c r="BJ27" i="127"/>
  <c r="U27" i="127" s="1"/>
  <c r="O37" i="127"/>
  <c r="AQ30" i="127"/>
  <c r="BA30" i="127"/>
  <c r="BO30" i="127"/>
  <c r="AH31" i="127"/>
  <c r="BE31" i="127"/>
  <c r="BJ31" i="127"/>
  <c r="BO34" i="127"/>
  <c r="BN34" i="127"/>
  <c r="BP35" i="127"/>
  <c r="BO36" i="127"/>
  <c r="BK38" i="127"/>
  <c r="V38" i="127" s="1"/>
  <c r="V45" i="127" s="1"/>
  <c r="BJ38" i="127"/>
  <c r="U38" i="127" s="1"/>
  <c r="AR30" i="127"/>
  <c r="BO33" i="127"/>
  <c r="BK34" i="127"/>
  <c r="V34" i="127" s="1"/>
  <c r="BJ34" i="127"/>
  <c r="BP38" i="127"/>
  <c r="BO39" i="127"/>
  <c r="BK42" i="127"/>
  <c r="V42" i="127" s="1"/>
  <c r="BJ42" i="127"/>
  <c r="U42" i="127" s="1"/>
  <c r="BP42" i="127"/>
  <c r="BO43" i="127"/>
  <c r="AJ41" i="127"/>
  <c r="BB41" i="127"/>
  <c r="BB40" i="127"/>
  <c r="BO40" i="127"/>
  <c r="BJ41" i="127"/>
  <c r="U41" i="127" s="1"/>
  <c r="BB44" i="127"/>
  <c r="BO44" i="127"/>
  <c r="BP15" i="126"/>
  <c r="BO15" i="126"/>
  <c r="BN15" i="126"/>
  <c r="A15" i="126"/>
  <c r="AJ14" i="126"/>
  <c r="BP22" i="126"/>
  <c r="BO23" i="126"/>
  <c r="BK16" i="126"/>
  <c r="V16" i="126" s="1"/>
  <c r="BJ16" i="126"/>
  <c r="U16" i="126" s="1"/>
  <c r="BP16" i="126"/>
  <c r="BO17" i="126"/>
  <c r="BB23" i="126"/>
  <c r="AJ23" i="126"/>
  <c r="BO24" i="126"/>
  <c r="BP23" i="126"/>
  <c r="BK23" i="126"/>
  <c r="V23" i="126" s="1"/>
  <c r="AF37" i="126"/>
  <c r="AL37" i="126" s="1"/>
  <c r="T37" i="126" s="1"/>
  <c r="AF45" i="126"/>
  <c r="AL45" i="126" s="1"/>
  <c r="T45" i="126" s="1"/>
  <c r="AF29" i="126"/>
  <c r="AL29" i="126" s="1"/>
  <c r="T29" i="126" s="1"/>
  <c r="BB15" i="126"/>
  <c r="BK24" i="126"/>
  <c r="V24" i="126" s="1"/>
  <c r="BJ24" i="126"/>
  <c r="U24" i="126" s="1"/>
  <c r="BP27" i="126"/>
  <c r="BO27" i="126"/>
  <c r="BN27" i="126"/>
  <c r="AQ14" i="126"/>
  <c r="BA14" i="126"/>
  <c r="BO14" i="126"/>
  <c r="AH15" i="126"/>
  <c r="BE15" i="126"/>
  <c r="BJ15" i="126"/>
  <c r="BK15" i="126" s="1"/>
  <c r="V15" i="126" s="1"/>
  <c r="BJ18" i="126"/>
  <c r="U18" i="126" s="1"/>
  <c r="BP18" i="126"/>
  <c r="BK19" i="126"/>
  <c r="V19" i="126" s="1"/>
  <c r="BP19" i="126"/>
  <c r="Q46" i="126"/>
  <c r="AG21" i="126"/>
  <c r="BK22" i="126"/>
  <c r="V22" i="126" s="1"/>
  <c r="O29" i="126"/>
  <c r="BJ23" i="126"/>
  <c r="U23" i="126" s="1"/>
  <c r="BN25" i="126"/>
  <c r="U25" i="126" s="1"/>
  <c r="BP25" i="126"/>
  <c r="BH37" i="126"/>
  <c r="AC37" i="126"/>
  <c r="BP31" i="126"/>
  <c r="BO31" i="126"/>
  <c r="BN31" i="126"/>
  <c r="BE23" i="126"/>
  <c r="AH23" i="126"/>
  <c r="BA22" i="126"/>
  <c r="AQ22" i="126"/>
  <c r="AV22" i="126"/>
  <c r="AW22" i="126" s="1"/>
  <c r="BI22" i="126"/>
  <c r="BP24" i="126"/>
  <c r="BO25" i="126"/>
  <c r="AJ27" i="126"/>
  <c r="BB27" i="126"/>
  <c r="BK28" i="126"/>
  <c r="V28" i="126" s="1"/>
  <c r="BJ28" i="126"/>
  <c r="U28" i="126" s="1"/>
  <c r="AJ31" i="126"/>
  <c r="BB31" i="126"/>
  <c r="BK32" i="126"/>
  <c r="V32" i="126" s="1"/>
  <c r="BJ32" i="126"/>
  <c r="U32" i="126" s="1"/>
  <c r="BO35" i="126"/>
  <c r="BP34" i="126"/>
  <c r="BE39" i="126"/>
  <c r="AH39" i="126"/>
  <c r="BA38" i="126"/>
  <c r="AQ38" i="126"/>
  <c r="AP38" i="126"/>
  <c r="AT39" i="126"/>
  <c r="BI38" i="126"/>
  <c r="BC38" i="126"/>
  <c r="AI38" i="126"/>
  <c r="AR38" i="126"/>
  <c r="BQ45" i="126"/>
  <c r="AG45" i="126"/>
  <c r="AD45" i="126" s="1"/>
  <c r="AG29" i="126"/>
  <c r="BJ35" i="126"/>
  <c r="U35" i="126" s="1"/>
  <c r="BK35" i="126"/>
  <c r="V35" i="126" s="1"/>
  <c r="BP41" i="126"/>
  <c r="BO41" i="126"/>
  <c r="BN41" i="126"/>
  <c r="O37" i="126"/>
  <c r="AQ30" i="126"/>
  <c r="BA30" i="126"/>
  <c r="AJ30" i="126" s="1"/>
  <c r="AH31" i="126"/>
  <c r="BE31" i="126"/>
  <c r="BO34" i="126"/>
  <c r="BN34" i="126"/>
  <c r="BP35" i="126"/>
  <c r="BO36" i="126"/>
  <c r="BK38" i="126"/>
  <c r="V38" i="126" s="1"/>
  <c r="V45" i="126" s="1"/>
  <c r="BJ38" i="126"/>
  <c r="U38" i="126" s="1"/>
  <c r="AR30" i="126"/>
  <c r="BO33" i="126"/>
  <c r="BK34" i="126"/>
  <c r="V34" i="126" s="1"/>
  <c r="BJ34" i="126"/>
  <c r="U34" i="126" s="1"/>
  <c r="U45" i="126"/>
  <c r="W45" i="126" s="1"/>
  <c r="BP38" i="126"/>
  <c r="BO39" i="126"/>
  <c r="BK42" i="126"/>
  <c r="V42" i="126" s="1"/>
  <c r="BJ42" i="126"/>
  <c r="U42" i="126" s="1"/>
  <c r="BO43" i="126"/>
  <c r="AI30" i="126"/>
  <c r="AY30" i="126" s="1"/>
  <c r="BC30" i="126"/>
  <c r="BD30" i="126" s="1"/>
  <c r="BF30" i="126" s="1"/>
  <c r="BI30" i="126"/>
  <c r="BN33" i="126"/>
  <c r="U33" i="126" s="1"/>
  <c r="AJ41" i="126"/>
  <c r="BB41" i="126"/>
  <c r="BB40" i="126"/>
  <c r="BO40" i="126"/>
  <c r="BJ41" i="126"/>
  <c r="U41" i="126" s="1"/>
  <c r="BB44" i="126"/>
  <c r="BO44" i="126"/>
  <c r="BP16" i="125"/>
  <c r="BP17" i="125"/>
  <c r="AT32" i="125"/>
  <c r="BE32" i="125"/>
  <c r="BK35" i="125"/>
  <c r="V35" i="125" s="1"/>
  <c r="BJ35" i="125"/>
  <c r="U35" i="125" s="1"/>
  <c r="BP38" i="125"/>
  <c r="BO39" i="125"/>
  <c r="O21" i="125"/>
  <c r="AQ14" i="125"/>
  <c r="BA14" i="125"/>
  <c r="AJ14" i="125" s="1"/>
  <c r="BO14" i="125"/>
  <c r="AH15" i="125"/>
  <c r="BE15" i="125"/>
  <c r="BJ15" i="125"/>
  <c r="BN15" i="125"/>
  <c r="BO18" i="125"/>
  <c r="BN19" i="125"/>
  <c r="BO20" i="125"/>
  <c r="BO22" i="125"/>
  <c r="AR23" i="125"/>
  <c r="BC23" i="125"/>
  <c r="BN23" i="125"/>
  <c r="BK25" i="125"/>
  <c r="V25" i="125" s="1"/>
  <c r="V29" i="125" s="1"/>
  <c r="S29" i="125"/>
  <c r="AY30" i="125"/>
  <c r="AR31" i="125"/>
  <c r="AJ32" i="125"/>
  <c r="BB32" i="125"/>
  <c r="BK33" i="125"/>
  <c r="V33" i="125" s="1"/>
  <c r="BJ33" i="125"/>
  <c r="U33" i="125" s="1"/>
  <c r="BJ18" i="125"/>
  <c r="U18" i="125" s="1"/>
  <c r="BP28" i="125"/>
  <c r="BO28" i="125"/>
  <c r="BN28" i="125"/>
  <c r="BB15" i="125"/>
  <c r="BO15" i="125"/>
  <c r="BJ16" i="125"/>
  <c r="U16" i="125" s="1"/>
  <c r="BJ17" i="125"/>
  <c r="U17" i="125" s="1"/>
  <c r="BB18" i="125"/>
  <c r="BJ19" i="125"/>
  <c r="BP19" i="125"/>
  <c r="BK20" i="125"/>
  <c r="V20" i="125" s="1"/>
  <c r="BP20" i="125"/>
  <c r="O29" i="125"/>
  <c r="BE24" i="125"/>
  <c r="AH24" i="125"/>
  <c r="AI23" i="125"/>
  <c r="AY23" i="125" s="1"/>
  <c r="BJ23" i="125"/>
  <c r="BP23" i="125"/>
  <c r="BP25" i="125"/>
  <c r="AJ28" i="125"/>
  <c r="BB28" i="125"/>
  <c r="BP33" i="125"/>
  <c r="BO34" i="125"/>
  <c r="BK42" i="125"/>
  <c r="V42" i="125" s="1"/>
  <c r="BJ42" i="125"/>
  <c r="U42" i="125" s="1"/>
  <c r="AF37" i="125"/>
  <c r="AL37" i="125" s="1"/>
  <c r="T37" i="125" s="1"/>
  <c r="AF45" i="125"/>
  <c r="AL45" i="125" s="1"/>
  <c r="T45" i="125" s="1"/>
  <c r="AF29" i="125"/>
  <c r="AL29" i="125" s="1"/>
  <c r="T29" i="125" s="1"/>
  <c r="AF21" i="125"/>
  <c r="AL21" i="125" s="1"/>
  <c r="T21" i="125" s="1"/>
  <c r="BQ45" i="125"/>
  <c r="AG45" i="125"/>
  <c r="AD45" i="125" s="1"/>
  <c r="AG37" i="125"/>
  <c r="AG29" i="125"/>
  <c r="BJ24" i="125"/>
  <c r="BP24" i="125"/>
  <c r="BN24" i="125"/>
  <c r="BO26" i="125"/>
  <c r="BP32" i="125"/>
  <c r="BO32" i="125"/>
  <c r="BN32" i="125"/>
  <c r="BB34" i="125"/>
  <c r="AJ34" i="125"/>
  <c r="BP34" i="125"/>
  <c r="BK34" i="125"/>
  <c r="V34" i="125" s="1"/>
  <c r="BO35" i="125"/>
  <c r="BP26" i="125"/>
  <c r="BP30" i="125"/>
  <c r="BO33" i="125"/>
  <c r="BJ34" i="125"/>
  <c r="U34" i="125" s="1"/>
  <c r="AJ41" i="125"/>
  <c r="BB41" i="125"/>
  <c r="BE39" i="125"/>
  <c r="AH39" i="125"/>
  <c r="BA38" i="125"/>
  <c r="AQ38" i="125"/>
  <c r="AP38" i="125"/>
  <c r="AT39" i="125"/>
  <c r="BI38" i="125"/>
  <c r="BC38" i="125"/>
  <c r="AI38" i="125"/>
  <c r="BP41" i="125"/>
  <c r="BO41" i="125"/>
  <c r="BN41" i="125"/>
  <c r="BP35" i="125"/>
  <c r="AR38" i="125"/>
  <c r="BK38" i="125"/>
  <c r="V38" i="125" s="1"/>
  <c r="BJ38" i="125"/>
  <c r="U38" i="125" s="1"/>
  <c r="U45" i="125" s="1"/>
  <c r="BB40" i="125"/>
  <c r="BO40" i="125"/>
  <c r="BJ41" i="125"/>
  <c r="U41" i="125" s="1"/>
  <c r="BO44" i="125"/>
  <c r="BE15" i="124"/>
  <c r="AH15" i="124"/>
  <c r="BA14" i="124"/>
  <c r="AJ14" i="124" s="1"/>
  <c r="AQ14" i="124"/>
  <c r="BP41" i="124"/>
  <c r="BO42" i="124"/>
  <c r="AI14" i="124"/>
  <c r="AP14" i="124"/>
  <c r="AK14" i="124" s="1"/>
  <c r="BC14" i="124"/>
  <c r="BD14" i="124" s="1"/>
  <c r="BF14" i="124" s="1"/>
  <c r="BJ14" i="124"/>
  <c r="BK14" i="124" s="1"/>
  <c r="V14" i="124" s="1"/>
  <c r="BP14" i="124"/>
  <c r="BK15" i="124"/>
  <c r="V15" i="124" s="1"/>
  <c r="BP15" i="124"/>
  <c r="BP16" i="124"/>
  <c r="BO17" i="124"/>
  <c r="BK20" i="124"/>
  <c r="V20" i="124" s="1"/>
  <c r="BJ20" i="124"/>
  <c r="U20" i="124" s="1"/>
  <c r="AT24" i="124"/>
  <c r="BI23" i="124"/>
  <c r="AQ23" i="124"/>
  <c r="AH24" i="124"/>
  <c r="BC23" i="124"/>
  <c r="BE24" i="124"/>
  <c r="AR23" i="124"/>
  <c r="BA23" i="124"/>
  <c r="AP23" i="124"/>
  <c r="AI23" i="124"/>
  <c r="AV23" i="124" s="1"/>
  <c r="AW23" i="124" s="1"/>
  <c r="BK31" i="124"/>
  <c r="V31" i="124" s="1"/>
  <c r="BJ31" i="124"/>
  <c r="U31" i="124" s="1"/>
  <c r="BI14" i="124"/>
  <c r="BN22" i="124"/>
  <c r="BP22" i="124"/>
  <c r="BO22" i="124"/>
  <c r="AR14" i="124"/>
  <c r="AT15" i="124"/>
  <c r="AJ19" i="124"/>
  <c r="BB19" i="124"/>
  <c r="BJ22" i="124"/>
  <c r="BK22" i="124"/>
  <c r="V22" i="124" s="1"/>
  <c r="AF29" i="124"/>
  <c r="AF45" i="124"/>
  <c r="AL45" i="124" s="1"/>
  <c r="T45" i="124" s="1"/>
  <c r="AF37" i="124"/>
  <c r="AL37" i="124" s="1"/>
  <c r="T37" i="124" s="1"/>
  <c r="BQ45" i="124"/>
  <c r="AG45" i="124"/>
  <c r="AD45" i="124" s="1"/>
  <c r="AG37" i="124"/>
  <c r="AG29" i="124"/>
  <c r="AG21" i="124"/>
  <c r="O21" i="124"/>
  <c r="BP19" i="124"/>
  <c r="BO19" i="124"/>
  <c r="BN19" i="124"/>
  <c r="BB18" i="124"/>
  <c r="BO18" i="124"/>
  <c r="BJ19" i="124"/>
  <c r="AR22" i="124"/>
  <c r="AY22" i="124"/>
  <c r="BC22" i="124"/>
  <c r="BI22" i="124"/>
  <c r="BE23" i="124"/>
  <c r="BJ26" i="124"/>
  <c r="BP26" i="124"/>
  <c r="BN26" i="124"/>
  <c r="AV30" i="124"/>
  <c r="AW30" i="124" s="1"/>
  <c r="BP30" i="124"/>
  <c r="BO30" i="124"/>
  <c r="BN30" i="124"/>
  <c r="BP23" i="124"/>
  <c r="BJ24" i="124"/>
  <c r="U24" i="124" s="1"/>
  <c r="BJ42" i="124"/>
  <c r="U42" i="124" s="1"/>
  <c r="BK42" i="124"/>
  <c r="V42" i="124" s="1"/>
  <c r="BP28" i="124"/>
  <c r="AP30" i="124"/>
  <c r="AK30" i="124" s="1"/>
  <c r="BP32" i="124"/>
  <c r="BP33" i="124"/>
  <c r="BJ35" i="124"/>
  <c r="AR38" i="124"/>
  <c r="BP38" i="124"/>
  <c r="AH39" i="124"/>
  <c r="AJ40" i="124"/>
  <c r="BB40" i="124"/>
  <c r="BP40" i="124"/>
  <c r="BO40" i="124"/>
  <c r="AJ41" i="124"/>
  <c r="BO41" i="124"/>
  <c r="BN41" i="124"/>
  <c r="BJ43" i="124"/>
  <c r="U43" i="124" s="1"/>
  <c r="AR31" i="124"/>
  <c r="BE31" i="124"/>
  <c r="BO34" i="124"/>
  <c r="BN34" i="124"/>
  <c r="BJ36" i="124"/>
  <c r="U36" i="124" s="1"/>
  <c r="BK41" i="124"/>
  <c r="V41" i="124" s="1"/>
  <c r="V45" i="124" s="1"/>
  <c r="BJ41" i="124"/>
  <c r="BP42" i="124"/>
  <c r="AJ34" i="124"/>
  <c r="BK34" i="124"/>
  <c r="V34" i="124" s="1"/>
  <c r="BJ34" i="124"/>
  <c r="BP34" i="124"/>
  <c r="BP35" i="124"/>
  <c r="AC37" i="124"/>
  <c r="AP38" i="124"/>
  <c r="AT39" i="124"/>
  <c r="BI38" i="124"/>
  <c r="BC38" i="124"/>
  <c r="AI38" i="124"/>
  <c r="BA38" i="124"/>
  <c r="BB44" i="124"/>
  <c r="BO44" i="124"/>
  <c r="AP14" i="123"/>
  <c r="AK14" i="123" s="1"/>
  <c r="AT15" i="123"/>
  <c r="BI14" i="123"/>
  <c r="BC14" i="123"/>
  <c r="BD14" i="123" s="1"/>
  <c r="BF14" i="123" s="1"/>
  <c r="AI14" i="123"/>
  <c r="BA14" i="123"/>
  <c r="AJ14" i="123" s="1"/>
  <c r="BP20" i="123"/>
  <c r="BO20" i="123"/>
  <c r="BN20" i="123"/>
  <c r="AQ14" i="123"/>
  <c r="BK14" i="123"/>
  <c r="V14" i="123" s="1"/>
  <c r="BO17" i="123"/>
  <c r="BN17" i="123"/>
  <c r="O29" i="123"/>
  <c r="BJ25" i="123"/>
  <c r="BK25" i="123"/>
  <c r="V25" i="123" s="1"/>
  <c r="BJ30" i="123"/>
  <c r="U30" i="123" s="1"/>
  <c r="BP24" i="123"/>
  <c r="BO24" i="123"/>
  <c r="BN24" i="123"/>
  <c r="O21" i="123"/>
  <c r="AR14" i="123"/>
  <c r="BP14" i="123"/>
  <c r="AH15" i="123"/>
  <c r="BE15" i="123"/>
  <c r="AJ16" i="123"/>
  <c r="BB16" i="123"/>
  <c r="BP16" i="123"/>
  <c r="BO16" i="123"/>
  <c r="AJ17" i="123"/>
  <c r="BP17" i="123"/>
  <c r="AJ20" i="123"/>
  <c r="BB20" i="123"/>
  <c r="AC21" i="123"/>
  <c r="BI23" i="123"/>
  <c r="AP23" i="123"/>
  <c r="AI23" i="123"/>
  <c r="AJ24" i="123"/>
  <c r="BB24" i="123"/>
  <c r="BK38" i="123"/>
  <c r="V38" i="123" s="1"/>
  <c r="BJ38" i="123"/>
  <c r="BK42" i="123"/>
  <c r="V42" i="123" s="1"/>
  <c r="BJ42" i="123"/>
  <c r="U42" i="123" s="1"/>
  <c r="BK17" i="123"/>
  <c r="V17" i="123" s="1"/>
  <c r="BJ17" i="123"/>
  <c r="BJ18" i="123"/>
  <c r="U18" i="123" s="1"/>
  <c r="BN25" i="123"/>
  <c r="BP25" i="123"/>
  <c r="BO25" i="123"/>
  <c r="BP18" i="123"/>
  <c r="AR22" i="123"/>
  <c r="BP22" i="123"/>
  <c r="BK35" i="123"/>
  <c r="V35" i="123" s="1"/>
  <c r="BJ35" i="123"/>
  <c r="BQ45" i="123"/>
  <c r="AG45" i="123"/>
  <c r="AD45" i="123" s="1"/>
  <c r="AG37" i="123"/>
  <c r="AG29" i="123"/>
  <c r="AG21" i="123"/>
  <c r="AI22" i="123"/>
  <c r="BC22" i="123"/>
  <c r="BI22" i="123"/>
  <c r="AT23" i="123"/>
  <c r="BP26" i="123"/>
  <c r="BN27" i="123"/>
  <c r="U27" i="123" s="1"/>
  <c r="BK28" i="123"/>
  <c r="V28" i="123" s="1"/>
  <c r="AC29" i="123"/>
  <c r="AR30" i="123"/>
  <c r="BP30" i="123"/>
  <c r="AH31" i="123"/>
  <c r="AJ32" i="123"/>
  <c r="BB32" i="123"/>
  <c r="BP32" i="123"/>
  <c r="BO32" i="123"/>
  <c r="AJ34" i="123"/>
  <c r="BB34" i="123"/>
  <c r="AF37" i="123"/>
  <c r="AF45" i="123"/>
  <c r="AL45" i="123" s="1"/>
  <c r="T45" i="123" s="1"/>
  <c r="BO27" i="123"/>
  <c r="BP27" i="123" s="1"/>
  <c r="AF29" i="123"/>
  <c r="AT31" i="123"/>
  <c r="BI30" i="123"/>
  <c r="BC30" i="123"/>
  <c r="BD30" i="123" s="1"/>
  <c r="BF30" i="123" s="1"/>
  <c r="AI30" i="123"/>
  <c r="AY30" i="123" s="1"/>
  <c r="AJ41" i="123"/>
  <c r="BB41" i="123"/>
  <c r="BP41" i="123"/>
  <c r="BO41" i="123"/>
  <c r="BN41" i="123"/>
  <c r="U41" i="123" s="1"/>
  <c r="BP34" i="123"/>
  <c r="BO34" i="123"/>
  <c r="BE39" i="123"/>
  <c r="AH39" i="123"/>
  <c r="BA38" i="123"/>
  <c r="AQ38" i="123"/>
  <c r="AP38" i="123"/>
  <c r="AT39" i="123"/>
  <c r="BI38" i="123"/>
  <c r="BC38" i="123"/>
  <c r="AI38" i="123"/>
  <c r="AY38" i="123" s="1"/>
  <c r="AR38" i="123"/>
  <c r="BO40" i="123"/>
  <c r="BN35" i="123"/>
  <c r="BN38" i="123"/>
  <c r="S37" i="123"/>
  <c r="BO15" i="122"/>
  <c r="AJ20" i="122"/>
  <c r="BB20" i="122"/>
  <c r="AC21" i="122"/>
  <c r="BE24" i="122"/>
  <c r="BC23" i="122"/>
  <c r="AP23" i="122"/>
  <c r="AH24" i="122"/>
  <c r="BB28" i="122"/>
  <c r="AJ28" i="122"/>
  <c r="BK32" i="122"/>
  <c r="V32" i="122" s="1"/>
  <c r="BJ32" i="122"/>
  <c r="BB41" i="122"/>
  <c r="AJ41" i="122"/>
  <c r="AJ16" i="122"/>
  <c r="BB16" i="122"/>
  <c r="AP14" i="122"/>
  <c r="AK14" i="122" s="1"/>
  <c r="AT15" i="122"/>
  <c r="BI14" i="122"/>
  <c r="BC14" i="122"/>
  <c r="BD14" i="122" s="1"/>
  <c r="BF14" i="122" s="1"/>
  <c r="AI14" i="122"/>
  <c r="BA14" i="122"/>
  <c r="AJ14" i="122" s="1"/>
  <c r="BP17" i="122"/>
  <c r="BJ18" i="122"/>
  <c r="U18" i="122" s="1"/>
  <c r="BP14" i="122"/>
  <c r="BP16" i="122"/>
  <c r="BO16" i="122"/>
  <c r="AJ27" i="122"/>
  <c r="BO44" i="122"/>
  <c r="BP43" i="122"/>
  <c r="BK14" i="122"/>
  <c r="V14" i="122" s="1"/>
  <c r="BK17" i="122"/>
  <c r="V17" i="122" s="1"/>
  <c r="BJ17" i="122"/>
  <c r="BP20" i="122"/>
  <c r="BO20" i="122"/>
  <c r="BN20" i="122"/>
  <c r="U20" i="122" s="1"/>
  <c r="BP26" i="122"/>
  <c r="BO26" i="122"/>
  <c r="BN26" i="122"/>
  <c r="BP18" i="122"/>
  <c r="AR22" i="122"/>
  <c r="BP22" i="122"/>
  <c r="BP25" i="122"/>
  <c r="BK27" i="122"/>
  <c r="V27" i="122" s="1"/>
  <c r="BJ28" i="122"/>
  <c r="U28" i="122" s="1"/>
  <c r="BB42" i="122"/>
  <c r="AJ42" i="122"/>
  <c r="AG45" i="122"/>
  <c r="AD45" i="122" s="1"/>
  <c r="AG29" i="122"/>
  <c r="BQ45" i="122"/>
  <c r="BN17" i="122"/>
  <c r="AG21" i="122"/>
  <c r="AI22" i="122"/>
  <c r="BC22" i="122"/>
  <c r="BI22" i="122"/>
  <c r="AT23" i="122"/>
  <c r="BN27" i="122"/>
  <c r="BO28" i="122"/>
  <c r="AC29" i="122"/>
  <c r="O37" i="122"/>
  <c r="BO33" i="122"/>
  <c r="BN38" i="122"/>
  <c r="BP38" i="122"/>
  <c r="AT40" i="122"/>
  <c r="BI39" i="122"/>
  <c r="AQ39" i="122"/>
  <c r="AH40" i="122"/>
  <c r="BC39" i="122"/>
  <c r="BE40" i="122"/>
  <c r="AR39" i="122"/>
  <c r="AF45" i="122"/>
  <c r="AL45" i="122" s="1"/>
  <c r="T45" i="122" s="1"/>
  <c r="AF29" i="122"/>
  <c r="Q46" i="122"/>
  <c r="BB26" i="122"/>
  <c r="BJ27" i="122"/>
  <c r="BP27" i="122"/>
  <c r="BK28" i="122"/>
  <c r="V28" i="122" s="1"/>
  <c r="BP28" i="122"/>
  <c r="AJ31" i="122"/>
  <c r="BB31" i="122"/>
  <c r="BP31" i="122"/>
  <c r="BO31" i="122"/>
  <c r="AJ32" i="122"/>
  <c r="BO32" i="122"/>
  <c r="BN32" i="122"/>
  <c r="AC37" i="122"/>
  <c r="BJ38" i="122"/>
  <c r="U38" i="122" s="1"/>
  <c r="BK38" i="122"/>
  <c r="V38" i="122" s="1"/>
  <c r="BP40" i="122"/>
  <c r="BO40" i="122"/>
  <c r="BN40" i="122"/>
  <c r="U40" i="122" s="1"/>
  <c r="U45" i="122" s="1"/>
  <c r="BK43" i="122"/>
  <c r="V43" i="122" s="1"/>
  <c r="BJ43" i="122"/>
  <c r="U43" i="122" s="1"/>
  <c r="AJ44" i="122"/>
  <c r="BB44" i="122"/>
  <c r="BP39" i="122"/>
  <c r="BK41" i="122"/>
  <c r="V41" i="122" s="1"/>
  <c r="BJ42" i="122"/>
  <c r="U42" i="122" s="1"/>
  <c r="BO14" i="121"/>
  <c r="BN14" i="121"/>
  <c r="BQ45" i="121"/>
  <c r="AG45" i="121"/>
  <c r="AD45" i="121" s="1"/>
  <c r="AG37" i="121"/>
  <c r="AG21" i="121"/>
  <c r="AI14" i="121"/>
  <c r="BJ14" i="121"/>
  <c r="BK14" i="121" s="1"/>
  <c r="V14" i="121" s="1"/>
  <c r="BP14" i="121"/>
  <c r="BP15" i="121"/>
  <c r="BP17" i="121"/>
  <c r="BO17" i="121"/>
  <c r="BN17" i="121"/>
  <c r="AJ25" i="121"/>
  <c r="BB25" i="121"/>
  <c r="BO27" i="121"/>
  <c r="BP27" i="121" s="1"/>
  <c r="BN27" i="121"/>
  <c r="BB35" i="121"/>
  <c r="AJ35" i="121"/>
  <c r="BE15" i="121"/>
  <c r="AH15" i="121"/>
  <c r="BA14" i="121"/>
  <c r="AJ14" i="121" s="1"/>
  <c r="AQ14" i="121"/>
  <c r="AP14" i="121"/>
  <c r="AK14" i="121" s="1"/>
  <c r="BE23" i="121"/>
  <c r="AH23" i="121"/>
  <c r="BA22" i="121"/>
  <c r="AQ22" i="121"/>
  <c r="AP22" i="121"/>
  <c r="AT23" i="121"/>
  <c r="BI22" i="121"/>
  <c r="BC22" i="121"/>
  <c r="AI22" i="121"/>
  <c r="BI14" i="121"/>
  <c r="BP18" i="121"/>
  <c r="BJ19" i="121"/>
  <c r="U19" i="121" s="1"/>
  <c r="BP22" i="121"/>
  <c r="BJ23" i="121"/>
  <c r="U23" i="121" s="1"/>
  <c r="BB33" i="121"/>
  <c r="AJ33" i="121"/>
  <c r="AR22" i="121"/>
  <c r="BB31" i="121"/>
  <c r="AJ31" i="121"/>
  <c r="BC14" i="121"/>
  <c r="BD14" i="121" s="1"/>
  <c r="BF14" i="121" s="1"/>
  <c r="AT15" i="121"/>
  <c r="BJ15" i="121"/>
  <c r="U15" i="121" s="1"/>
  <c r="AJ17" i="121"/>
  <c r="BB17" i="121"/>
  <c r="BK18" i="121"/>
  <c r="V18" i="121" s="1"/>
  <c r="BJ18" i="121"/>
  <c r="BK22" i="121"/>
  <c r="V22" i="121" s="1"/>
  <c r="BJ22" i="121"/>
  <c r="BP25" i="121"/>
  <c r="BO25" i="121"/>
  <c r="BN25" i="121"/>
  <c r="U25" i="121" s="1"/>
  <c r="AC29" i="121"/>
  <c r="BP19" i="121"/>
  <c r="BP23" i="121"/>
  <c r="BJ27" i="121"/>
  <c r="U27" i="121" s="1"/>
  <c r="BJ32" i="121"/>
  <c r="U32" i="121" s="1"/>
  <c r="BK42" i="121"/>
  <c r="V42" i="121" s="1"/>
  <c r="BJ42" i="121"/>
  <c r="AF37" i="121"/>
  <c r="AL37" i="121" s="1"/>
  <c r="T37" i="121" s="1"/>
  <c r="AF29" i="121"/>
  <c r="AF45" i="121"/>
  <c r="AL45" i="121" s="1"/>
  <c r="T45" i="121" s="1"/>
  <c r="BN18" i="121"/>
  <c r="BN22" i="121"/>
  <c r="BN26" i="121"/>
  <c r="BP30" i="121"/>
  <c r="BO30" i="121"/>
  <c r="BO31" i="121"/>
  <c r="BN31" i="121"/>
  <c r="BK32" i="121"/>
  <c r="V32" i="121" s="1"/>
  <c r="BJ33" i="121"/>
  <c r="U33" i="121" s="1"/>
  <c r="BK35" i="121"/>
  <c r="V35" i="121" s="1"/>
  <c r="BJ35" i="121"/>
  <c r="AJ41" i="121"/>
  <c r="BB41" i="121"/>
  <c r="O29" i="121"/>
  <c r="BO26" i="121"/>
  <c r="BJ28" i="121"/>
  <c r="U28" i="121" s="1"/>
  <c r="BN30" i="121"/>
  <c r="U30" i="121" s="1"/>
  <c r="BK31" i="121"/>
  <c r="V31" i="121" s="1"/>
  <c r="BJ31" i="121"/>
  <c r="BP31" i="121"/>
  <c r="BE39" i="121"/>
  <c r="AH39" i="121"/>
  <c r="BA38" i="121"/>
  <c r="AQ38" i="121"/>
  <c r="AP38" i="121"/>
  <c r="AT39" i="121"/>
  <c r="BI38" i="121"/>
  <c r="BC38" i="121"/>
  <c r="AR38" i="121"/>
  <c r="AI38" i="121"/>
  <c r="AY38" i="121" s="1"/>
  <c r="O37" i="121"/>
  <c r="AH31" i="121"/>
  <c r="BE31" i="121"/>
  <c r="BJ36" i="121"/>
  <c r="U36" i="121" s="1"/>
  <c r="BK38" i="121"/>
  <c r="V38" i="121" s="1"/>
  <c r="V45" i="121" s="1"/>
  <c r="BJ38" i="121"/>
  <c r="U38" i="121" s="1"/>
  <c r="BP41" i="121"/>
  <c r="BO41" i="121"/>
  <c r="BN41" i="121"/>
  <c r="U41" i="121" s="1"/>
  <c r="AJ34" i="121"/>
  <c r="BB34" i="121"/>
  <c r="BP34" i="121"/>
  <c r="BO34" i="121"/>
  <c r="BO35" i="121"/>
  <c r="BN35" i="121"/>
  <c r="BK36" i="121"/>
  <c r="V36" i="121" s="1"/>
  <c r="AC37" i="121"/>
  <c r="BJ43" i="121"/>
  <c r="U43" i="121" s="1"/>
  <c r="BP39" i="121"/>
  <c r="BB44" i="121"/>
  <c r="BO44" i="121"/>
  <c r="BN38" i="121"/>
  <c r="BN42" i="121"/>
  <c r="BJ14" i="120"/>
  <c r="BP14" i="120"/>
  <c r="BO15" i="120"/>
  <c r="BK18" i="120"/>
  <c r="V18" i="120" s="1"/>
  <c r="BJ18" i="120"/>
  <c r="U18" i="120" s="1"/>
  <c r="BO19" i="120"/>
  <c r="AL21" i="120"/>
  <c r="T21" i="120" s="1"/>
  <c r="AT23" i="120"/>
  <c r="BA22" i="120"/>
  <c r="AQ22" i="120"/>
  <c r="AP22" i="120"/>
  <c r="AH23" i="120"/>
  <c r="BI22" i="120"/>
  <c r="BC22" i="120"/>
  <c r="AI22" i="120"/>
  <c r="AY22" i="120" s="1"/>
  <c r="BK22" i="120"/>
  <c r="V22" i="120" s="1"/>
  <c r="BJ22" i="120"/>
  <c r="U22" i="120" s="1"/>
  <c r="BE23" i="120"/>
  <c r="AJ17" i="120"/>
  <c r="BB17" i="120"/>
  <c r="BP22" i="120"/>
  <c r="AJ24" i="120"/>
  <c r="BB24" i="120"/>
  <c r="BE15" i="120"/>
  <c r="AH15" i="120"/>
  <c r="BA14" i="120"/>
  <c r="AJ14" i="120" s="1"/>
  <c r="AQ14" i="120"/>
  <c r="AP14" i="120"/>
  <c r="AK14" i="120" s="1"/>
  <c r="AT15" i="120"/>
  <c r="BI14" i="120"/>
  <c r="BC14" i="120"/>
  <c r="BD14" i="120" s="1"/>
  <c r="BF14" i="120" s="1"/>
  <c r="AI14" i="120"/>
  <c r="BP17" i="120"/>
  <c r="BO17" i="120"/>
  <c r="BN17" i="120"/>
  <c r="AJ23" i="120"/>
  <c r="BB23" i="120"/>
  <c r="BP24" i="120"/>
  <c r="BO24" i="120"/>
  <c r="BN24" i="120"/>
  <c r="BO25" i="120"/>
  <c r="BN25" i="120"/>
  <c r="BP25" i="120"/>
  <c r="BJ31" i="120"/>
  <c r="U31" i="120" s="1"/>
  <c r="BO31" i="120"/>
  <c r="BP30" i="120"/>
  <c r="BQ45" i="120"/>
  <c r="AG45" i="120"/>
  <c r="AD45" i="120" s="1"/>
  <c r="AG29" i="120"/>
  <c r="BB16" i="120"/>
  <c r="BO16" i="120"/>
  <c r="BJ17" i="120"/>
  <c r="BB20" i="120"/>
  <c r="BO20" i="120"/>
  <c r="AG21" i="120"/>
  <c r="BK25" i="120"/>
  <c r="V25" i="120" s="1"/>
  <c r="BJ25" i="120"/>
  <c r="BP26" i="120"/>
  <c r="AJ28" i="120"/>
  <c r="BB28" i="120"/>
  <c r="BP28" i="120"/>
  <c r="BO28" i="120"/>
  <c r="O37" i="120"/>
  <c r="AJ33" i="120"/>
  <c r="BB33" i="120"/>
  <c r="BK34" i="120"/>
  <c r="V34" i="120" s="1"/>
  <c r="BJ34" i="120"/>
  <c r="U34" i="120" s="1"/>
  <c r="BJ36" i="120"/>
  <c r="U36" i="120" s="1"/>
  <c r="BK35" i="120"/>
  <c r="V35" i="120" s="1"/>
  <c r="BP35" i="120"/>
  <c r="BO36" i="120"/>
  <c r="AG37" i="120"/>
  <c r="BP41" i="120"/>
  <c r="BO41" i="120"/>
  <c r="BN41" i="120"/>
  <c r="AF37" i="120"/>
  <c r="AL37" i="120" s="1"/>
  <c r="T37" i="120" s="1"/>
  <c r="AF45" i="120"/>
  <c r="AL45" i="120" s="1"/>
  <c r="T45" i="120" s="1"/>
  <c r="BN28" i="120"/>
  <c r="U28" i="120" s="1"/>
  <c r="AF29" i="120"/>
  <c r="BE31" i="120"/>
  <c r="AH31" i="120"/>
  <c r="BA30" i="120"/>
  <c r="AJ30" i="120" s="1"/>
  <c r="AQ30" i="120"/>
  <c r="AP30" i="120"/>
  <c r="AT31" i="120"/>
  <c r="BI30" i="120"/>
  <c r="BC30" i="120"/>
  <c r="AI30" i="120"/>
  <c r="AS30" i="120" s="1"/>
  <c r="AU30" i="120" s="1"/>
  <c r="BO33" i="120"/>
  <c r="BP33" i="120"/>
  <c r="BN33" i="120"/>
  <c r="BJ26" i="120"/>
  <c r="U26" i="120" s="1"/>
  <c r="BJ30" i="120"/>
  <c r="BK30" i="120" s="1"/>
  <c r="V30" i="120" s="1"/>
  <c r="BE39" i="120"/>
  <c r="AH39" i="120"/>
  <c r="BA38" i="120"/>
  <c r="AQ38" i="120"/>
  <c r="AP38" i="120"/>
  <c r="AT39" i="120"/>
  <c r="BI38" i="120"/>
  <c r="BC38" i="120"/>
  <c r="AI38" i="120"/>
  <c r="AR38" i="120"/>
  <c r="BB32" i="120"/>
  <c r="BO32" i="120"/>
  <c r="BJ33" i="120"/>
  <c r="BK38" i="120"/>
  <c r="V38" i="120" s="1"/>
  <c r="BJ38" i="120"/>
  <c r="U38" i="120" s="1"/>
  <c r="BJ35" i="120"/>
  <c r="U35" i="120" s="1"/>
  <c r="BP38" i="120"/>
  <c r="BO39" i="120"/>
  <c r="BK42" i="120"/>
  <c r="V42" i="120" s="1"/>
  <c r="BJ42" i="120"/>
  <c r="U42" i="120" s="1"/>
  <c r="BP42" i="120"/>
  <c r="BO43" i="120"/>
  <c r="BO34" i="120"/>
  <c r="BN34" i="120"/>
  <c r="AC37" i="120"/>
  <c r="AJ41" i="120"/>
  <c r="BB41" i="120"/>
  <c r="BB40" i="120"/>
  <c r="BO40" i="120"/>
  <c r="BJ41" i="120"/>
  <c r="BB44" i="120"/>
  <c r="BO44" i="120"/>
  <c r="BO16" i="119"/>
  <c r="BP19" i="119"/>
  <c r="AG21" i="119"/>
  <c r="AF37" i="119"/>
  <c r="AL37" i="119" s="1"/>
  <c r="T37" i="119" s="1"/>
  <c r="AF45" i="119"/>
  <c r="AL45" i="119" s="1"/>
  <c r="T45" i="119" s="1"/>
  <c r="AF29" i="119"/>
  <c r="BN14" i="119"/>
  <c r="BP16" i="119"/>
  <c r="BN18" i="119"/>
  <c r="BJ22" i="119"/>
  <c r="AI23" i="119"/>
  <c r="AQ23" i="119"/>
  <c r="BO26" i="119"/>
  <c r="BN26" i="119"/>
  <c r="BB33" i="119"/>
  <c r="BB34" i="119"/>
  <c r="AJ34" i="119"/>
  <c r="BO34" i="119"/>
  <c r="BN34" i="119"/>
  <c r="AJ41" i="119"/>
  <c r="BB41" i="119"/>
  <c r="AQ14" i="119"/>
  <c r="BA14" i="119"/>
  <c r="AJ14" i="119" s="1"/>
  <c r="BO14" i="119"/>
  <c r="AH15" i="119"/>
  <c r="BE15" i="119"/>
  <c r="BJ15" i="119"/>
  <c r="BN15" i="119"/>
  <c r="BB18" i="119"/>
  <c r="BO18" i="119"/>
  <c r="BJ19" i="119"/>
  <c r="BN19" i="119"/>
  <c r="BI23" i="119"/>
  <c r="AT24" i="119"/>
  <c r="BK26" i="119"/>
  <c r="V26" i="119" s="1"/>
  <c r="BP26" i="119"/>
  <c r="BN27" i="119"/>
  <c r="BO27" i="119"/>
  <c r="BJ28" i="119"/>
  <c r="U28" i="119" s="1"/>
  <c r="BE31" i="119"/>
  <c r="AH31" i="119"/>
  <c r="BA30" i="119"/>
  <c r="AJ30" i="119" s="1"/>
  <c r="AQ30" i="119"/>
  <c r="AT31" i="119"/>
  <c r="AR30" i="119"/>
  <c r="AP30" i="119"/>
  <c r="AK30" i="119" s="1"/>
  <c r="BO31" i="119"/>
  <c r="BK32" i="119"/>
  <c r="V32" i="119" s="1"/>
  <c r="BJ33" i="119"/>
  <c r="U33" i="119" s="1"/>
  <c r="BP34" i="119"/>
  <c r="BQ45" i="119"/>
  <c r="AG45" i="119"/>
  <c r="AD45" i="119" s="1"/>
  <c r="AG37" i="119"/>
  <c r="AF21" i="119"/>
  <c r="AL21" i="119" s="1"/>
  <c r="T21" i="119" s="1"/>
  <c r="AT23" i="119"/>
  <c r="BI22" i="119"/>
  <c r="BC22" i="119"/>
  <c r="AI22" i="119"/>
  <c r="AY22" i="119" s="1"/>
  <c r="BP22" i="119"/>
  <c r="BE23" i="119"/>
  <c r="BJ27" i="119"/>
  <c r="BP27" i="119"/>
  <c r="AG29" i="119"/>
  <c r="BK31" i="119"/>
  <c r="V31" i="119" s="1"/>
  <c r="BP31" i="119"/>
  <c r="BK34" i="119"/>
  <c r="V34" i="119" s="1"/>
  <c r="BJ34" i="119"/>
  <c r="BP38" i="119"/>
  <c r="BO39" i="119"/>
  <c r="BK42" i="119"/>
  <c r="V42" i="119" s="1"/>
  <c r="BJ42" i="119"/>
  <c r="U42" i="119" s="1"/>
  <c r="BP42" i="119"/>
  <c r="BO43" i="119"/>
  <c r="BJ36" i="119"/>
  <c r="U36" i="119" s="1"/>
  <c r="BO36" i="119"/>
  <c r="BP35" i="119"/>
  <c r="O37" i="119"/>
  <c r="BK33" i="119"/>
  <c r="V33" i="119" s="1"/>
  <c r="BO33" i="119"/>
  <c r="BE39" i="119"/>
  <c r="AH39" i="119"/>
  <c r="BA38" i="119"/>
  <c r="AQ38" i="119"/>
  <c r="AP38" i="119"/>
  <c r="AT39" i="119"/>
  <c r="BI38" i="119"/>
  <c r="BC38" i="119"/>
  <c r="AI38" i="119"/>
  <c r="BP41" i="119"/>
  <c r="BO41" i="119"/>
  <c r="BN41" i="119"/>
  <c r="BJ35" i="119"/>
  <c r="U35" i="119" s="1"/>
  <c r="AR38" i="119"/>
  <c r="BK38" i="119"/>
  <c r="V38" i="119" s="1"/>
  <c r="V45" i="119" s="1"/>
  <c r="BJ38" i="119"/>
  <c r="U38" i="119" s="1"/>
  <c r="BB40" i="119"/>
  <c r="BO40" i="119"/>
  <c r="BJ41" i="119"/>
  <c r="U41" i="119" s="1"/>
  <c r="BB44" i="119"/>
  <c r="BO44" i="119"/>
  <c r="BP16" i="118"/>
  <c r="BO16" i="118"/>
  <c r="BN16" i="118"/>
  <c r="O21" i="118"/>
  <c r="AJ15" i="118"/>
  <c r="BB15" i="118"/>
  <c r="BP15" i="118"/>
  <c r="BO15" i="118"/>
  <c r="AJ16" i="118"/>
  <c r="AY22" i="118"/>
  <c r="BI23" i="118"/>
  <c r="AI23" i="118"/>
  <c r="AJ24" i="118"/>
  <c r="BB24" i="118"/>
  <c r="BP27" i="118"/>
  <c r="BO28" i="118"/>
  <c r="BK35" i="118"/>
  <c r="V35" i="118" s="1"/>
  <c r="BJ35" i="118"/>
  <c r="AF37" i="118"/>
  <c r="AF45" i="118"/>
  <c r="AL45" i="118" s="1"/>
  <c r="T45" i="118" s="1"/>
  <c r="AF29" i="118"/>
  <c r="AL29" i="118" s="1"/>
  <c r="T29" i="118" s="1"/>
  <c r="AF21" i="118"/>
  <c r="AJ14" i="118"/>
  <c r="BK17" i="118"/>
  <c r="V17" i="118" s="1"/>
  <c r="BJ17" i="118"/>
  <c r="U17" i="118" s="1"/>
  <c r="BP17" i="118"/>
  <c r="BO18" i="118"/>
  <c r="BP24" i="118"/>
  <c r="BO24" i="118"/>
  <c r="BN24" i="118"/>
  <c r="BB28" i="118"/>
  <c r="AJ28" i="118"/>
  <c r="BP28" i="118"/>
  <c r="BK28" i="118"/>
  <c r="V28" i="118" s="1"/>
  <c r="BP31" i="118"/>
  <c r="BO32" i="118"/>
  <c r="BP20" i="118"/>
  <c r="BO20" i="118"/>
  <c r="BN20" i="118"/>
  <c r="BK25" i="118"/>
  <c r="V25" i="118" s="1"/>
  <c r="BJ25" i="118"/>
  <c r="BQ45" i="118"/>
  <c r="AG45" i="118"/>
  <c r="AD45" i="118" s="1"/>
  <c r="AG37" i="118"/>
  <c r="AG29" i="118"/>
  <c r="AG21" i="118"/>
  <c r="AI15" i="118"/>
  <c r="AJ20" i="118"/>
  <c r="BB20" i="118"/>
  <c r="BP26" i="118"/>
  <c r="BO26" i="118"/>
  <c r="BN26" i="118"/>
  <c r="U26" i="118" s="1"/>
  <c r="AC29" i="118"/>
  <c r="BP30" i="118"/>
  <c r="BO30" i="118"/>
  <c r="BN30" i="118"/>
  <c r="BB32" i="118"/>
  <c r="AJ32" i="118"/>
  <c r="BP32" i="118"/>
  <c r="BK32" i="118"/>
  <c r="V32" i="118" s="1"/>
  <c r="BO33" i="118"/>
  <c r="BJ33" i="118"/>
  <c r="U33" i="118" s="1"/>
  <c r="BJ16" i="118"/>
  <c r="BB19" i="118"/>
  <c r="BO19" i="118"/>
  <c r="BJ20" i="118"/>
  <c r="BB23" i="118"/>
  <c r="BO23" i="118"/>
  <c r="BJ24" i="118"/>
  <c r="BK27" i="118"/>
  <c r="V27" i="118" s="1"/>
  <c r="BJ28" i="118"/>
  <c r="U28" i="118" s="1"/>
  <c r="BK31" i="118"/>
  <c r="V31" i="118" s="1"/>
  <c r="BJ32" i="118"/>
  <c r="U32" i="118" s="1"/>
  <c r="BH37" i="118"/>
  <c r="AC37" i="118"/>
  <c r="BK42" i="118"/>
  <c r="V42" i="118" s="1"/>
  <c r="BJ42" i="118"/>
  <c r="U42" i="118" s="1"/>
  <c r="O37" i="118"/>
  <c r="BJ36" i="118"/>
  <c r="U36" i="118" s="1"/>
  <c r="BK36" i="118"/>
  <c r="V36" i="118" s="1"/>
  <c r="AJ41" i="118"/>
  <c r="BB41" i="118"/>
  <c r="AJ34" i="118"/>
  <c r="BB34" i="118"/>
  <c r="BP34" i="118"/>
  <c r="BO34" i="118"/>
  <c r="AJ35" i="118"/>
  <c r="BO35" i="118"/>
  <c r="BN35" i="118"/>
  <c r="BP38" i="118"/>
  <c r="BJ39" i="118"/>
  <c r="U39" i="118" s="1"/>
  <c r="BK38" i="118"/>
  <c r="V38" i="118" s="1"/>
  <c r="BJ38" i="118"/>
  <c r="U38" i="118" s="1"/>
  <c r="U45" i="118" s="1"/>
  <c r="BP41" i="118"/>
  <c r="BO41" i="118"/>
  <c r="BN41" i="118"/>
  <c r="U41" i="118" s="1"/>
  <c r="BE39" i="118"/>
  <c r="AH39" i="118"/>
  <c r="BA38" i="118"/>
  <c r="AQ38" i="118"/>
  <c r="AP38" i="118"/>
  <c r="AT39" i="118"/>
  <c r="BI38" i="118"/>
  <c r="BC38" i="118"/>
  <c r="AI38" i="118"/>
  <c r="AR38" i="118"/>
  <c r="BP39" i="118"/>
  <c r="BP43" i="118"/>
  <c r="BN38" i="118"/>
  <c r="BN42" i="118"/>
  <c r="S37" i="118"/>
  <c r="BK15" i="117"/>
  <c r="V15" i="117" s="1"/>
  <c r="BJ15" i="117"/>
  <c r="BJ16" i="117"/>
  <c r="BK16" i="117"/>
  <c r="V16" i="117" s="1"/>
  <c r="BE24" i="117"/>
  <c r="AJ26" i="117"/>
  <c r="BB26" i="117"/>
  <c r="O21" i="117"/>
  <c r="BN26" i="117"/>
  <c r="BP26" i="117"/>
  <c r="BO26" i="117"/>
  <c r="BO15" i="117"/>
  <c r="BP15" i="117"/>
  <c r="BN15" i="117"/>
  <c r="BN16" i="117"/>
  <c r="BP16" i="117"/>
  <c r="BO16" i="117"/>
  <c r="O29" i="117"/>
  <c r="BK25" i="117"/>
  <c r="V25" i="117" s="1"/>
  <c r="BJ25" i="117"/>
  <c r="U25" i="117" s="1"/>
  <c r="AR14" i="117"/>
  <c r="BP14" i="117"/>
  <c r="AJ22" i="117"/>
  <c r="BP25" i="117"/>
  <c r="AJ28" i="117"/>
  <c r="BB28" i="117"/>
  <c r="BK33" i="117"/>
  <c r="V33" i="117" s="1"/>
  <c r="BJ33" i="117"/>
  <c r="U33" i="117" s="1"/>
  <c r="BQ45" i="117"/>
  <c r="AG45" i="117"/>
  <c r="AG29" i="117"/>
  <c r="BP17" i="117"/>
  <c r="BJ18" i="117"/>
  <c r="U18" i="117" s="1"/>
  <c r="BK27" i="117"/>
  <c r="V27" i="117" s="1"/>
  <c r="AC29" i="117"/>
  <c r="BP32" i="117"/>
  <c r="BO32" i="117"/>
  <c r="BN32" i="117"/>
  <c r="BB34" i="117"/>
  <c r="AJ34" i="117"/>
  <c r="BP41" i="117"/>
  <c r="BO41" i="117"/>
  <c r="BN41" i="117"/>
  <c r="AJ32" i="117"/>
  <c r="BB32" i="117"/>
  <c r="BH37" i="117"/>
  <c r="AC37" i="117"/>
  <c r="AF37" i="117"/>
  <c r="AL37" i="117" s="1"/>
  <c r="T37" i="117" s="1"/>
  <c r="AF45" i="117"/>
  <c r="AL45" i="117" s="1"/>
  <c r="T45" i="117" s="1"/>
  <c r="AF29" i="117"/>
  <c r="AF21" i="117"/>
  <c r="BN19" i="117"/>
  <c r="BO20" i="117"/>
  <c r="AG21" i="117"/>
  <c r="BN23" i="117"/>
  <c r="BO24" i="117"/>
  <c r="BJ27" i="117"/>
  <c r="U27" i="117" s="1"/>
  <c r="BJ28" i="117"/>
  <c r="BP28" i="117"/>
  <c r="BO28" i="117"/>
  <c r="BN28" i="117"/>
  <c r="BO34" i="117"/>
  <c r="BN34" i="117"/>
  <c r="BP34" i="117"/>
  <c r="BE39" i="117"/>
  <c r="AH39" i="117"/>
  <c r="BA38" i="117"/>
  <c r="AJ38" i="117" s="1"/>
  <c r="AQ38" i="117"/>
  <c r="AP38" i="117"/>
  <c r="AK38" i="117" s="1"/>
  <c r="AT39" i="117"/>
  <c r="BI38" i="117"/>
  <c r="BC38" i="117"/>
  <c r="BD38" i="117" s="1"/>
  <c r="BF38" i="117" s="1"/>
  <c r="AI38" i="117"/>
  <c r="AR38" i="117"/>
  <c r="BP30" i="117"/>
  <c r="BO33" i="117"/>
  <c r="BK34" i="117"/>
  <c r="V34" i="117" s="1"/>
  <c r="BJ34" i="117"/>
  <c r="BP35" i="117"/>
  <c r="BK38" i="117"/>
  <c r="V38" i="117" s="1"/>
  <c r="BJ38" i="117"/>
  <c r="BP38" i="117"/>
  <c r="BO39" i="117"/>
  <c r="BK42" i="117"/>
  <c r="V42" i="117" s="1"/>
  <c r="BJ42" i="117"/>
  <c r="U42" i="117" s="1"/>
  <c r="BJ35" i="117"/>
  <c r="U35" i="117" s="1"/>
  <c r="AJ41" i="117"/>
  <c r="BB41" i="117"/>
  <c r="BB40" i="117"/>
  <c r="BO40" i="117"/>
  <c r="BJ41" i="117"/>
  <c r="U41" i="117" s="1"/>
  <c r="BB44" i="117"/>
  <c r="BO44" i="117"/>
  <c r="AT24" i="116"/>
  <c r="BI23" i="116"/>
  <c r="AP23" i="116"/>
  <c r="AH24" i="116"/>
  <c r="AI23" i="116"/>
  <c r="BO31" i="116"/>
  <c r="BP30" i="116"/>
  <c r="AJ33" i="116"/>
  <c r="BB33" i="116"/>
  <c r="BH37" i="116"/>
  <c r="AC37" i="116"/>
  <c r="AF37" i="116"/>
  <c r="AL37" i="116" s="1"/>
  <c r="T37" i="116" s="1"/>
  <c r="AF45" i="116"/>
  <c r="AL45" i="116" s="1"/>
  <c r="T45" i="116" s="1"/>
  <c r="AF21" i="116"/>
  <c r="BN15" i="116"/>
  <c r="BO16" i="116"/>
  <c r="BK17" i="116"/>
  <c r="V17" i="116" s="1"/>
  <c r="BJ18" i="116"/>
  <c r="U18" i="116" s="1"/>
  <c r="BP24" i="116"/>
  <c r="BO24" i="116"/>
  <c r="BN24" i="116"/>
  <c r="BP25" i="116"/>
  <c r="BO25" i="116"/>
  <c r="BN25" i="116"/>
  <c r="O21" i="116"/>
  <c r="BJ15" i="116"/>
  <c r="BP15" i="116"/>
  <c r="BK16" i="116"/>
  <c r="V16" i="116" s="1"/>
  <c r="BP16" i="116"/>
  <c r="BP17" i="116"/>
  <c r="AJ19" i="116"/>
  <c r="BB19" i="116"/>
  <c r="BP19" i="116"/>
  <c r="BO19" i="116"/>
  <c r="AJ20" i="116"/>
  <c r="BO20" i="116"/>
  <c r="BN20" i="116"/>
  <c r="AC21" i="116"/>
  <c r="BA23" i="116"/>
  <c r="BK32" i="116"/>
  <c r="V32" i="116" s="1"/>
  <c r="BJ32" i="116"/>
  <c r="U32" i="116" s="1"/>
  <c r="BO33" i="116"/>
  <c r="BN33" i="116"/>
  <c r="U33" i="116" s="1"/>
  <c r="BP33" i="116"/>
  <c r="BQ45" i="116"/>
  <c r="AG45" i="116"/>
  <c r="AD45" i="116" s="1"/>
  <c r="AG29" i="116"/>
  <c r="AG21" i="116"/>
  <c r="AG37" i="116"/>
  <c r="AJ24" i="116"/>
  <c r="BB24" i="116"/>
  <c r="AJ14" i="116"/>
  <c r="BN19" i="116"/>
  <c r="BK20" i="116"/>
  <c r="V20" i="116" s="1"/>
  <c r="BJ20" i="116"/>
  <c r="U20" i="116" s="1"/>
  <c r="BP20" i="116"/>
  <c r="O29" i="116"/>
  <c r="AF29" i="116"/>
  <c r="BB23" i="116"/>
  <c r="BO23" i="116"/>
  <c r="BJ24" i="116"/>
  <c r="BK26" i="116"/>
  <c r="V26" i="116" s="1"/>
  <c r="BJ27" i="116"/>
  <c r="BN27" i="116"/>
  <c r="BP27" i="116"/>
  <c r="BP32" i="116"/>
  <c r="BJ34" i="116"/>
  <c r="BK34" i="116"/>
  <c r="V34" i="116" s="1"/>
  <c r="BP26" i="116"/>
  <c r="AC29" i="116"/>
  <c r="BE31" i="116"/>
  <c r="AH31" i="116"/>
  <c r="BA30" i="116"/>
  <c r="AJ30" i="116" s="1"/>
  <c r="AQ30" i="116"/>
  <c r="AT31" i="116"/>
  <c r="BI30" i="116"/>
  <c r="BC30" i="116"/>
  <c r="BD30" i="116" s="1"/>
  <c r="BF30" i="116" s="1"/>
  <c r="AI30" i="116"/>
  <c r="AY30" i="116" s="1"/>
  <c r="AP30" i="116"/>
  <c r="AK30" i="116" s="1"/>
  <c r="BK30" i="116"/>
  <c r="V30" i="116" s="1"/>
  <c r="BJ31" i="116"/>
  <c r="BN31" i="116"/>
  <c r="BP31" i="116"/>
  <c r="BP41" i="116"/>
  <c r="BO41" i="116"/>
  <c r="BN41" i="116"/>
  <c r="BO34" i="116"/>
  <c r="BN34" i="116"/>
  <c r="BP34" i="116"/>
  <c r="BE39" i="116"/>
  <c r="AH39" i="116"/>
  <c r="BA38" i="116"/>
  <c r="AQ38" i="116"/>
  <c r="AP38" i="116"/>
  <c r="AT39" i="116"/>
  <c r="BI38" i="116"/>
  <c r="BC38" i="116"/>
  <c r="AI38" i="116"/>
  <c r="AR38" i="116"/>
  <c r="BP35" i="116"/>
  <c r="BK38" i="116"/>
  <c r="V38" i="116" s="1"/>
  <c r="BJ38" i="116"/>
  <c r="U38" i="116" s="1"/>
  <c r="U45" i="116"/>
  <c r="BP38" i="116"/>
  <c r="BO39" i="116"/>
  <c r="BK42" i="116"/>
  <c r="V42" i="116" s="1"/>
  <c r="BJ42" i="116"/>
  <c r="U42" i="116" s="1"/>
  <c r="O37" i="116"/>
  <c r="BJ35" i="116"/>
  <c r="U35" i="116" s="1"/>
  <c r="AJ41" i="116"/>
  <c r="BB41" i="116"/>
  <c r="BB40" i="116"/>
  <c r="BO40" i="116"/>
  <c r="BJ41" i="116"/>
  <c r="U41" i="116" s="1"/>
  <c r="BB44" i="116"/>
  <c r="BO44" i="116"/>
  <c r="BJ18" i="115"/>
  <c r="U18" i="115" s="1"/>
  <c r="AC21" i="115"/>
  <c r="BP19" i="115"/>
  <c r="BO19" i="115"/>
  <c r="BN19" i="115"/>
  <c r="BP26" i="115"/>
  <c r="BN26" i="115"/>
  <c r="BO26" i="115"/>
  <c r="BJ32" i="115"/>
  <c r="U32" i="115" s="1"/>
  <c r="BP31" i="115"/>
  <c r="BO32" i="115"/>
  <c r="AI14" i="115"/>
  <c r="AY14" i="115" s="1"/>
  <c r="AP14" i="115"/>
  <c r="AK14" i="115" s="1"/>
  <c r="BK16" i="115"/>
  <c r="V16" i="115" s="1"/>
  <c r="BN22" i="115"/>
  <c r="BP22" i="115"/>
  <c r="BO22" i="115"/>
  <c r="AF37" i="115"/>
  <c r="AL37" i="115" s="1"/>
  <c r="T37" i="115" s="1"/>
  <c r="AF29" i="115"/>
  <c r="AF45" i="115"/>
  <c r="AL45" i="115" s="1"/>
  <c r="T45" i="115" s="1"/>
  <c r="AF21" i="115"/>
  <c r="BE15" i="115"/>
  <c r="AH15" i="115"/>
  <c r="BA14" i="115"/>
  <c r="AJ14" i="115" s="1"/>
  <c r="AQ14" i="115"/>
  <c r="BI14" i="115"/>
  <c r="BK25" i="115"/>
  <c r="V25" i="115" s="1"/>
  <c r="BJ25" i="115"/>
  <c r="U25" i="115" s="1"/>
  <c r="AR14" i="115"/>
  <c r="AT15" i="115"/>
  <c r="BP16" i="115"/>
  <c r="BK20" i="115"/>
  <c r="V20" i="115" s="1"/>
  <c r="BJ20" i="115"/>
  <c r="U20" i="115" s="1"/>
  <c r="BB26" i="115"/>
  <c r="BJ28" i="115"/>
  <c r="U28" i="115" s="1"/>
  <c r="BP27" i="115"/>
  <c r="BO28" i="115"/>
  <c r="BQ45" i="115"/>
  <c r="AG45" i="115"/>
  <c r="AD45" i="115" s="1"/>
  <c r="AG21" i="115"/>
  <c r="BK14" i="115"/>
  <c r="V14" i="115" s="1"/>
  <c r="AJ15" i="115"/>
  <c r="BJ15" i="115"/>
  <c r="U15" i="115" s="1"/>
  <c r="AJ19" i="115"/>
  <c r="BB19" i="115"/>
  <c r="BJ22" i="115"/>
  <c r="BK22" i="115"/>
  <c r="V22" i="115" s="1"/>
  <c r="AG29" i="115"/>
  <c r="BB18" i="115"/>
  <c r="BO18" i="115"/>
  <c r="BJ19" i="115"/>
  <c r="O29" i="115"/>
  <c r="AR22" i="115"/>
  <c r="AY22" i="115"/>
  <c r="BC22" i="115"/>
  <c r="BI22" i="115"/>
  <c r="BE23" i="115"/>
  <c r="BP41" i="115"/>
  <c r="BO41" i="115"/>
  <c r="BN41" i="115"/>
  <c r="BP23" i="115"/>
  <c r="BN24" i="115"/>
  <c r="BP24" i="115"/>
  <c r="BK27" i="115"/>
  <c r="V27" i="115" s="1"/>
  <c r="BE39" i="115"/>
  <c r="AH39" i="115"/>
  <c r="BA38" i="115"/>
  <c r="AQ38" i="115"/>
  <c r="AP38" i="115"/>
  <c r="AT39" i="115"/>
  <c r="BI38" i="115"/>
  <c r="BC38" i="115"/>
  <c r="AI38" i="115"/>
  <c r="AR38" i="115"/>
  <c r="BP30" i="115"/>
  <c r="BO30" i="115"/>
  <c r="BN30" i="115"/>
  <c r="U30" i="115" s="1"/>
  <c r="BJ31" i="115"/>
  <c r="U31" i="115" s="1"/>
  <c r="BH37" i="115"/>
  <c r="AC37" i="115"/>
  <c r="BP28" i="115"/>
  <c r="AP30" i="115"/>
  <c r="BP32" i="115"/>
  <c r="BP33" i="115"/>
  <c r="BJ35" i="115"/>
  <c r="U35" i="115" s="1"/>
  <c r="BO36" i="115"/>
  <c r="BK38" i="115"/>
  <c r="V38" i="115" s="1"/>
  <c r="BJ38" i="115"/>
  <c r="U38" i="115" s="1"/>
  <c r="BO34" i="115"/>
  <c r="BN34" i="115"/>
  <c r="BP38" i="115"/>
  <c r="BO39" i="115"/>
  <c r="BK42" i="115"/>
  <c r="V42" i="115" s="1"/>
  <c r="BJ42" i="115"/>
  <c r="U42" i="115" s="1"/>
  <c r="BP42" i="115"/>
  <c r="BO43" i="115"/>
  <c r="AJ34" i="115"/>
  <c r="BJ34" i="115"/>
  <c r="BK34" i="115" s="1"/>
  <c r="V34" i="115" s="1"/>
  <c r="BP34" i="115"/>
  <c r="BP35" i="115"/>
  <c r="AJ41" i="115"/>
  <c r="BB41" i="115"/>
  <c r="BB40" i="115"/>
  <c r="BO40" i="115"/>
  <c r="BJ41" i="115"/>
  <c r="BB44" i="115"/>
  <c r="BO44" i="115"/>
  <c r="BB18" i="114"/>
  <c r="BN15" i="114"/>
  <c r="BN18" i="114"/>
  <c r="BN16" i="114"/>
  <c r="BN17" i="114"/>
  <c r="AF37" i="114"/>
  <c r="AL37" i="114" s="1"/>
  <c r="T37" i="114" s="1"/>
  <c r="AF45" i="114"/>
  <c r="AL45" i="114" s="1"/>
  <c r="T45" i="114" s="1"/>
  <c r="AF21" i="114"/>
  <c r="AA14" i="114"/>
  <c r="AK13" i="114"/>
  <c r="K21" i="114"/>
  <c r="AZ16" i="114"/>
  <c r="BP23" i="114"/>
  <c r="BO23" i="114"/>
  <c r="AZ14" i="114"/>
  <c r="G21" i="114"/>
  <c r="O14" i="114"/>
  <c r="BH15" i="114"/>
  <c r="O16" i="114"/>
  <c r="BO24" i="114"/>
  <c r="BN24" i="114"/>
  <c r="BJ28" i="114"/>
  <c r="U28" i="114" s="1"/>
  <c r="L21" i="114"/>
  <c r="AH14" i="114"/>
  <c r="AM14" i="114"/>
  <c r="BH14" i="114"/>
  <c r="BL14" i="114"/>
  <c r="BO15" i="114" s="1"/>
  <c r="O15" i="114"/>
  <c r="AZ15" i="114"/>
  <c r="BD15" i="114"/>
  <c r="BF15" i="114" s="1"/>
  <c r="AM16" i="114"/>
  <c r="AO17" i="114"/>
  <c r="AK17" i="114" s="1"/>
  <c r="AS17" i="114"/>
  <c r="AU17" i="114" s="1"/>
  <c r="BB17" i="114"/>
  <c r="BL18" i="114"/>
  <c r="BJ19" i="114" s="1"/>
  <c r="BB19" i="114"/>
  <c r="BN23" i="114"/>
  <c r="BK24" i="114"/>
  <c r="V24" i="114" s="1"/>
  <c r="BJ24" i="114"/>
  <c r="BP24" i="114"/>
  <c r="BP25" i="114"/>
  <c r="AJ27" i="114"/>
  <c r="BB27" i="114"/>
  <c r="AF29" i="114"/>
  <c r="BJ30" i="114"/>
  <c r="BK30" i="114" s="1"/>
  <c r="V30" i="114" s="1"/>
  <c r="BJ35" i="114"/>
  <c r="U35" i="114" s="1"/>
  <c r="BK35" i="114"/>
  <c r="V35" i="114" s="1"/>
  <c r="BL16" i="114"/>
  <c r="BK16" i="114" s="1"/>
  <c r="V16" i="114" s="1"/>
  <c r="BJ25" i="114"/>
  <c r="U25" i="114" s="1"/>
  <c r="BP34" i="114"/>
  <c r="BO35" i="114"/>
  <c r="AJ40" i="114"/>
  <c r="BB40" i="114"/>
  <c r="BL15" i="114"/>
  <c r="BO16" i="114" s="1"/>
  <c r="BN19" i="114"/>
  <c r="O29" i="114"/>
  <c r="AJ23" i="114"/>
  <c r="BB23" i="114"/>
  <c r="BQ45" i="114"/>
  <c r="AG45" i="114"/>
  <c r="AD45" i="114" s="1"/>
  <c r="AG29" i="114"/>
  <c r="AG21" i="114"/>
  <c r="AG37" i="114"/>
  <c r="AO14" i="114"/>
  <c r="AS14" i="114"/>
  <c r="AU14" i="114" s="1"/>
  <c r="BM14" i="114"/>
  <c r="AO16" i="114"/>
  <c r="AK16" i="114" s="1"/>
  <c r="BL17" i="114"/>
  <c r="BO18" i="114" s="1"/>
  <c r="BL19" i="114"/>
  <c r="BK19" i="114" s="1"/>
  <c r="V19" i="114" s="1"/>
  <c r="BL20" i="114"/>
  <c r="BK20" i="114" s="1"/>
  <c r="V20" i="114" s="1"/>
  <c r="AY22" i="114"/>
  <c r="AJ31" i="114"/>
  <c r="BB31" i="114"/>
  <c r="BK32" i="114"/>
  <c r="V32" i="114" s="1"/>
  <c r="BJ32" i="114"/>
  <c r="U32" i="114" s="1"/>
  <c r="AR22" i="114"/>
  <c r="BP30" i="114"/>
  <c r="BP31" i="114"/>
  <c r="BO31" i="114"/>
  <c r="BN31" i="114"/>
  <c r="BP38" i="114"/>
  <c r="BO39" i="114"/>
  <c r="BP40" i="114"/>
  <c r="BO40" i="114"/>
  <c r="BN40" i="114"/>
  <c r="AC29" i="114"/>
  <c r="AT31" i="114"/>
  <c r="BI30" i="114"/>
  <c r="BC30" i="114"/>
  <c r="BD30" i="114" s="1"/>
  <c r="BF30" i="114" s="1"/>
  <c r="AI30" i="114"/>
  <c r="AY30" i="114" s="1"/>
  <c r="BE31" i="114"/>
  <c r="AH31" i="114"/>
  <c r="BA30" i="114"/>
  <c r="AJ30" i="114" s="1"/>
  <c r="AQ30" i="114"/>
  <c r="BJ33" i="114"/>
  <c r="AT40" i="114"/>
  <c r="BI39" i="114"/>
  <c r="AQ39" i="114"/>
  <c r="BC39" i="114"/>
  <c r="AP39" i="114"/>
  <c r="BE40" i="114"/>
  <c r="AH40" i="114"/>
  <c r="BA39" i="114"/>
  <c r="AI39" i="114"/>
  <c r="AY39" i="114" s="1"/>
  <c r="BP41" i="114"/>
  <c r="BO41" i="114"/>
  <c r="BN41" i="114"/>
  <c r="BO34" i="114"/>
  <c r="BN34" i="114"/>
  <c r="BJ36" i="114"/>
  <c r="U36" i="114" s="1"/>
  <c r="BO33" i="114"/>
  <c r="BK34" i="114"/>
  <c r="V34" i="114" s="1"/>
  <c r="BJ34" i="114"/>
  <c r="BP35" i="114"/>
  <c r="AP38" i="114"/>
  <c r="AT39" i="114"/>
  <c r="BI38" i="114"/>
  <c r="BC38" i="114"/>
  <c r="AI38" i="114"/>
  <c r="BA38" i="114"/>
  <c r="BK42" i="114"/>
  <c r="V42" i="114" s="1"/>
  <c r="BJ42" i="114"/>
  <c r="U42" i="114" s="1"/>
  <c r="BN33" i="114"/>
  <c r="AQ38" i="114"/>
  <c r="BK38" i="114"/>
  <c r="V38" i="114" s="1"/>
  <c r="BJ41" i="114"/>
  <c r="U41" i="114" s="1"/>
  <c r="BB44" i="114"/>
  <c r="BO44" i="114"/>
  <c r="AJ17" i="113"/>
  <c r="BB17" i="113"/>
  <c r="BB15" i="113"/>
  <c r="AJ15" i="113"/>
  <c r="AP14" i="113"/>
  <c r="AQ14" i="113"/>
  <c r="BA14" i="113"/>
  <c r="BJ14" i="113"/>
  <c r="BK14" i="113" s="1"/>
  <c r="V14" i="113" s="1"/>
  <c r="BN14" i="113"/>
  <c r="AA15" i="113"/>
  <c r="AM15" i="113"/>
  <c r="BP15" i="113"/>
  <c r="BJ17" i="113"/>
  <c r="U17" i="113" s="1"/>
  <c r="AH15" i="113"/>
  <c r="BE16" i="113" s="1"/>
  <c r="BL17" i="111"/>
  <c r="BL16" i="111"/>
  <c r="BL20" i="111"/>
  <c r="AC29" i="113"/>
  <c r="BN23" i="113"/>
  <c r="BP36" i="113"/>
  <c r="BH37" i="113"/>
  <c r="AJ31" i="113"/>
  <c r="BK39" i="113"/>
  <c r="V39" i="113" s="1"/>
  <c r="BB39" i="113"/>
  <c r="AC45" i="113"/>
  <c r="BJ39" i="113"/>
  <c r="U39" i="113" s="1"/>
  <c r="BP40" i="113"/>
  <c r="BK41" i="113"/>
  <c r="V41" i="113" s="1"/>
  <c r="BP44" i="113"/>
  <c r="BP39" i="113"/>
  <c r="BK40" i="113"/>
  <c r="V40" i="113" s="1"/>
  <c r="BP43" i="113"/>
  <c r="BJ44" i="113"/>
  <c r="U44" i="113" s="1"/>
  <c r="BJ40" i="113"/>
  <c r="U40" i="113" s="1"/>
  <c r="O45" i="113"/>
  <c r="BP42" i="113"/>
  <c r="BO43" i="113"/>
  <c r="BN31" i="113"/>
  <c r="BJ26" i="113"/>
  <c r="U26" i="113" s="1"/>
  <c r="BO25" i="113"/>
  <c r="O29" i="113"/>
  <c r="BP26" i="113"/>
  <c r="BJ23" i="113"/>
  <c r="BJ25" i="113"/>
  <c r="U25" i="113" s="1"/>
  <c r="BK26" i="113"/>
  <c r="V26" i="113" s="1"/>
  <c r="BO26" i="113"/>
  <c r="BO27" i="113"/>
  <c r="BK24" i="113"/>
  <c r="V24" i="113" s="1"/>
  <c r="BO33" i="113"/>
  <c r="BK35" i="113"/>
  <c r="V35" i="113" s="1"/>
  <c r="BJ32" i="113"/>
  <c r="U32" i="113" s="1"/>
  <c r="BK33" i="113"/>
  <c r="V33" i="113" s="1"/>
  <c r="O37" i="113"/>
  <c r="BP31" i="113"/>
  <c r="BK32" i="113"/>
  <c r="V32" i="113" s="1"/>
  <c r="BJ33" i="113"/>
  <c r="U33" i="113" s="1"/>
  <c r="BK31" i="113"/>
  <c r="V31" i="113" s="1"/>
  <c r="BJ31" i="113"/>
  <c r="AR14" i="113"/>
  <c r="BP19" i="113"/>
  <c r="BO20" i="113"/>
  <c r="BN20" i="113"/>
  <c r="BP24" i="113"/>
  <c r="BO24" i="113"/>
  <c r="BN24" i="113"/>
  <c r="AJ19" i="113"/>
  <c r="BB19" i="113"/>
  <c r="BQ45" i="113"/>
  <c r="AG45" i="113"/>
  <c r="AG37" i="113"/>
  <c r="AG21" i="113"/>
  <c r="AI14" i="113"/>
  <c r="AS14" i="113" s="1"/>
  <c r="AU14" i="113" s="1"/>
  <c r="BC14" i="113"/>
  <c r="BD14" i="113" s="1"/>
  <c r="BF14" i="113" s="1"/>
  <c r="BI14" i="113"/>
  <c r="AT15" i="113"/>
  <c r="BN19" i="113"/>
  <c r="BJ20" i="113"/>
  <c r="BP30" i="113"/>
  <c r="BO30" i="113"/>
  <c r="BN30" i="113"/>
  <c r="AF37" i="113"/>
  <c r="AL37" i="113" s="1"/>
  <c r="T37" i="113" s="1"/>
  <c r="AF29" i="113"/>
  <c r="AF45" i="113"/>
  <c r="AL45" i="113" s="1"/>
  <c r="T45" i="113" s="1"/>
  <c r="AF21" i="113"/>
  <c r="BO15" i="113"/>
  <c r="AY22" i="113"/>
  <c r="AJ24" i="113"/>
  <c r="BB24" i="113"/>
  <c r="BP38" i="113"/>
  <c r="BO39" i="113"/>
  <c r="BB23" i="113"/>
  <c r="BO23" i="113"/>
  <c r="BJ24" i="113"/>
  <c r="BK27" i="113"/>
  <c r="V27" i="113" s="1"/>
  <c r="BJ28" i="113"/>
  <c r="BN28" i="113"/>
  <c r="BP28" i="113"/>
  <c r="BO34" i="113"/>
  <c r="BN34" i="113"/>
  <c r="BP34" i="113"/>
  <c r="BP25" i="113"/>
  <c r="BP27" i="113"/>
  <c r="BK42" i="113"/>
  <c r="V42" i="113" s="1"/>
  <c r="BJ42" i="113"/>
  <c r="U42" i="113" s="1"/>
  <c r="AQ31" i="113"/>
  <c r="BP32" i="113"/>
  <c r="BK34" i="113"/>
  <c r="V34" i="113" s="1"/>
  <c r="BJ34" i="113"/>
  <c r="U34" i="113" s="1"/>
  <c r="BP35" i="113"/>
  <c r="AC37" i="113"/>
  <c r="AJ41" i="113"/>
  <c r="BB41" i="113"/>
  <c r="BE39" i="113"/>
  <c r="AH39" i="113"/>
  <c r="BA38" i="113"/>
  <c r="AQ38" i="113"/>
  <c r="AP38" i="113"/>
  <c r="AT39" i="113"/>
  <c r="BI38" i="113"/>
  <c r="BC38" i="113"/>
  <c r="AI38" i="113"/>
  <c r="BP41" i="113"/>
  <c r="BO41" i="113"/>
  <c r="BN41" i="113"/>
  <c r="BN33" i="113"/>
  <c r="BJ35" i="113"/>
  <c r="U35" i="113" s="1"/>
  <c r="BO36" i="113"/>
  <c r="AR38" i="113"/>
  <c r="BK38" i="113"/>
  <c r="V38" i="113" s="1"/>
  <c r="BJ38" i="113"/>
  <c r="U38" i="113" s="1"/>
  <c r="U45" i="113" s="1"/>
  <c r="BB40" i="113"/>
  <c r="BO40" i="113"/>
  <c r="BJ41" i="113"/>
  <c r="U41" i="113" s="1"/>
  <c r="BB44" i="113"/>
  <c r="BO44" i="113"/>
  <c r="U31" i="133" l="1"/>
  <c r="BI31" i="133"/>
  <c r="AI31" i="133"/>
  <c r="AY31" i="133" s="1"/>
  <c r="AY30" i="130"/>
  <c r="BA31" i="125"/>
  <c r="AJ31" i="125" s="1"/>
  <c r="AH32" i="125"/>
  <c r="BA32" i="125" s="1"/>
  <c r="AP31" i="125"/>
  <c r="AK31" i="125" s="1"/>
  <c r="BC31" i="125"/>
  <c r="BD31" i="125" s="1"/>
  <c r="BF31" i="125" s="1"/>
  <c r="AI31" i="124"/>
  <c r="AY31" i="124" s="1"/>
  <c r="AY30" i="115"/>
  <c r="AS30" i="115"/>
  <c r="AU30" i="115" s="1"/>
  <c r="AV30" i="115" s="1"/>
  <c r="AW30" i="115" s="1"/>
  <c r="AY15" i="116"/>
  <c r="AS15" i="116"/>
  <c r="AU15" i="116" s="1"/>
  <c r="AY14" i="116"/>
  <c r="AS14" i="116"/>
  <c r="AU14" i="116" s="1"/>
  <c r="AK14" i="116" s="1"/>
  <c r="BK18" i="116"/>
  <c r="V18" i="116" s="1"/>
  <c r="BK32" i="115"/>
  <c r="V32" i="115" s="1"/>
  <c r="BK31" i="115"/>
  <c r="V31" i="115" s="1"/>
  <c r="V37" i="115" s="1"/>
  <c r="S37" i="115" s="1"/>
  <c r="AD37" i="115" s="1"/>
  <c r="AI31" i="113"/>
  <c r="AR31" i="113"/>
  <c r="U30" i="114"/>
  <c r="U19" i="117"/>
  <c r="BE24" i="116"/>
  <c r="BC23" i="116"/>
  <c r="AR23" i="116"/>
  <c r="U26" i="117"/>
  <c r="U14" i="120"/>
  <c r="U24" i="119"/>
  <c r="AY23" i="119"/>
  <c r="AR23" i="119"/>
  <c r="BA23" i="119"/>
  <c r="AP23" i="119"/>
  <c r="U22" i="119"/>
  <c r="BE24" i="119"/>
  <c r="AH24" i="119"/>
  <c r="AT25" i="119" s="1"/>
  <c r="U22" i="121"/>
  <c r="AY22" i="121"/>
  <c r="U26" i="121"/>
  <c r="AT24" i="122"/>
  <c r="AQ23" i="122"/>
  <c r="AK23" i="122" s="1"/>
  <c r="AI23" i="122"/>
  <c r="AY23" i="122" s="1"/>
  <c r="BK30" i="123"/>
  <c r="V30" i="123" s="1"/>
  <c r="AY14" i="124"/>
  <c r="BC23" i="123"/>
  <c r="AQ23" i="123"/>
  <c r="AH24" i="123"/>
  <c r="BE25" i="123" s="1"/>
  <c r="AT24" i="123"/>
  <c r="BA23" i="123"/>
  <c r="AR23" i="123"/>
  <c r="U25" i="124"/>
  <c r="U22" i="129"/>
  <c r="AV22" i="129"/>
  <c r="AW22" i="129" s="1"/>
  <c r="U23" i="130"/>
  <c r="BK16" i="132"/>
  <c r="V16" i="132" s="1"/>
  <c r="BK15" i="132"/>
  <c r="V15" i="132" s="1"/>
  <c r="U28" i="131"/>
  <c r="BK17" i="133"/>
  <c r="V17" i="133" s="1"/>
  <c r="BK16" i="133"/>
  <c r="V16" i="133" s="1"/>
  <c r="BK19" i="132"/>
  <c r="V19" i="132" s="1"/>
  <c r="U23" i="132"/>
  <c r="AH32" i="133"/>
  <c r="AH33" i="133" s="1"/>
  <c r="BK30" i="133"/>
  <c r="V30" i="133" s="1"/>
  <c r="V37" i="133" s="1"/>
  <c r="BK28" i="133"/>
  <c r="V28" i="133" s="1"/>
  <c r="BK26" i="133"/>
  <c r="V26" i="133" s="1"/>
  <c r="BK22" i="133"/>
  <c r="V22" i="133" s="1"/>
  <c r="BK19" i="133"/>
  <c r="V19" i="133" s="1"/>
  <c r="AD37" i="133"/>
  <c r="AH24" i="133"/>
  <c r="AI24" i="133" s="1"/>
  <c r="AT24" i="133"/>
  <c r="AI23" i="133"/>
  <c r="AY23" i="133" s="1"/>
  <c r="BC23" i="133"/>
  <c r="AV22" i="133"/>
  <c r="AW22" i="133" s="1"/>
  <c r="U19" i="120"/>
  <c r="U23" i="118"/>
  <c r="U25" i="118"/>
  <c r="BP29" i="118"/>
  <c r="BE24" i="118"/>
  <c r="AP23" i="118"/>
  <c r="AT24" i="118"/>
  <c r="BC23" i="118"/>
  <c r="AH24" i="118"/>
  <c r="AP24" i="118" s="1"/>
  <c r="AR23" i="118"/>
  <c r="AQ23" i="118"/>
  <c r="U38" i="117"/>
  <c r="AI31" i="117"/>
  <c r="AY31" i="117" s="1"/>
  <c r="U28" i="117"/>
  <c r="BA23" i="117"/>
  <c r="AR23" i="117"/>
  <c r="BC23" i="117"/>
  <c r="BI23" i="117"/>
  <c r="AT24" i="117"/>
  <c r="AI23" i="117"/>
  <c r="AY23" i="117" s="1"/>
  <c r="AP23" i="117"/>
  <c r="AQ23" i="117"/>
  <c r="AY22" i="116"/>
  <c r="U24" i="116"/>
  <c r="U22" i="116"/>
  <c r="BC23" i="114"/>
  <c r="U22" i="115"/>
  <c r="AQ23" i="114"/>
  <c r="AR23" i="114"/>
  <c r="AT24" i="114"/>
  <c r="BE24" i="114"/>
  <c r="U31" i="114"/>
  <c r="BI23" i="114"/>
  <c r="AI23" i="114"/>
  <c r="AY23" i="114" s="1"/>
  <c r="BA23" i="114"/>
  <c r="AH24" i="114"/>
  <c r="AR24" i="114" s="1"/>
  <c r="AY30" i="113"/>
  <c r="BE24" i="113"/>
  <c r="AP23" i="113"/>
  <c r="AR23" i="113"/>
  <c r="AQ23" i="113"/>
  <c r="AI23" i="113"/>
  <c r="BI23" i="113"/>
  <c r="BC23" i="113"/>
  <c r="AH24" i="113"/>
  <c r="BA24" i="113" s="1"/>
  <c r="AT24" i="113"/>
  <c r="AY30" i="133"/>
  <c r="U32" i="132"/>
  <c r="U37" i="132" s="1"/>
  <c r="BQ37" i="132" s="1"/>
  <c r="U18" i="132"/>
  <c r="U34" i="129"/>
  <c r="AH16" i="129"/>
  <c r="AT17" i="129" s="1"/>
  <c r="AV14" i="125"/>
  <c r="AW14" i="125" s="1"/>
  <c r="AH32" i="124"/>
  <c r="AQ32" i="124" s="1"/>
  <c r="AT32" i="124"/>
  <c r="AV30" i="121"/>
  <c r="AW30" i="121" s="1"/>
  <c r="U30" i="120"/>
  <c r="BD30" i="120"/>
  <c r="BF30" i="120" s="1"/>
  <c r="AY14" i="121"/>
  <c r="AS14" i="121"/>
  <c r="AU14" i="121" s="1"/>
  <c r="AV14" i="121" s="1"/>
  <c r="AW14" i="121" s="1"/>
  <c r="AK30" i="120"/>
  <c r="U16" i="118"/>
  <c r="BK18" i="115"/>
  <c r="V18" i="115" s="1"/>
  <c r="V21" i="115" s="1"/>
  <c r="AK14" i="113"/>
  <c r="AJ14" i="113"/>
  <c r="BC31" i="133"/>
  <c r="AP31" i="133"/>
  <c r="AK31" i="133" s="1"/>
  <c r="BE32" i="133"/>
  <c r="AR31" i="133"/>
  <c r="AT32" i="133"/>
  <c r="AQ31" i="133"/>
  <c r="AQ31" i="132"/>
  <c r="BE32" i="132"/>
  <c r="AP31" i="132"/>
  <c r="AK31" i="132" s="1"/>
  <c r="BA31" i="132"/>
  <c r="BI31" i="132"/>
  <c r="AR31" i="132"/>
  <c r="AI31" i="132"/>
  <c r="AY31" i="132" s="1"/>
  <c r="U28" i="132"/>
  <c r="U32" i="131"/>
  <c r="U20" i="131"/>
  <c r="AY14" i="131"/>
  <c r="AS14" i="131"/>
  <c r="AU14" i="131" s="1"/>
  <c r="AJ14" i="131"/>
  <c r="AK14" i="131"/>
  <c r="AY14" i="130"/>
  <c r="V29" i="128"/>
  <c r="S29" i="128" s="1"/>
  <c r="AD29" i="128" s="1"/>
  <c r="AV22" i="128"/>
  <c r="AW22" i="128" s="1"/>
  <c r="U34" i="127"/>
  <c r="AD37" i="125"/>
  <c r="BK14" i="126"/>
  <c r="V14" i="126" s="1"/>
  <c r="V21" i="126" s="1"/>
  <c r="BK30" i="125"/>
  <c r="V30" i="125" s="1"/>
  <c r="V37" i="125" s="1"/>
  <c r="U32" i="125"/>
  <c r="BK14" i="125"/>
  <c r="V14" i="125" s="1"/>
  <c r="V21" i="125" s="1"/>
  <c r="AY30" i="124"/>
  <c r="U17" i="124"/>
  <c r="U31" i="123"/>
  <c r="U30" i="119"/>
  <c r="BK14" i="120"/>
  <c r="V14" i="120" s="1"/>
  <c r="V21" i="120" s="1"/>
  <c r="BD14" i="119"/>
  <c r="BF14" i="119" s="1"/>
  <c r="AS14" i="119"/>
  <c r="AU14" i="119" s="1"/>
  <c r="AV14" i="119" s="1"/>
  <c r="AW14" i="119" s="1"/>
  <c r="AD45" i="117"/>
  <c r="BP45" i="117"/>
  <c r="BK20" i="117"/>
  <c r="V20" i="117" s="1"/>
  <c r="BK14" i="117"/>
  <c r="V14" i="117" s="1"/>
  <c r="BK14" i="116"/>
  <c r="V14" i="116" s="1"/>
  <c r="BA23" i="115"/>
  <c r="AT24" i="115"/>
  <c r="U23" i="114"/>
  <c r="AT32" i="113"/>
  <c r="AH32" i="113"/>
  <c r="AT33" i="113" s="1"/>
  <c r="BI31" i="113"/>
  <c r="BC31" i="113"/>
  <c r="BA31" i="113"/>
  <c r="AP31" i="113"/>
  <c r="BJ19" i="113"/>
  <c r="BK19" i="113" s="1"/>
  <c r="V19" i="113" s="1"/>
  <c r="BK20" i="113"/>
  <c r="V20" i="113" s="1"/>
  <c r="BP16" i="113"/>
  <c r="BC23" i="131"/>
  <c r="AR23" i="131"/>
  <c r="AQ23" i="131"/>
  <c r="AI23" i="131"/>
  <c r="AY23" i="131" s="1"/>
  <c r="BI23" i="131"/>
  <c r="AH24" i="131"/>
  <c r="BA24" i="131" s="1"/>
  <c r="AT24" i="131"/>
  <c r="BE24" i="131"/>
  <c r="AP23" i="131"/>
  <c r="U26" i="131"/>
  <c r="U31" i="131"/>
  <c r="AH32" i="132"/>
  <c r="AP32" i="132" s="1"/>
  <c r="AK32" i="132" s="1"/>
  <c r="U30" i="129"/>
  <c r="U15" i="128"/>
  <c r="AI31" i="125"/>
  <c r="AY31" i="125" s="1"/>
  <c r="BI31" i="125"/>
  <c r="U30" i="124"/>
  <c r="U30" i="113"/>
  <c r="U18" i="133"/>
  <c r="AY14" i="133"/>
  <c r="AV30" i="131"/>
  <c r="AW30" i="131" s="1"/>
  <c r="U30" i="131"/>
  <c r="U16" i="128"/>
  <c r="U15" i="126"/>
  <c r="U21" i="126" s="1"/>
  <c r="BQ21" i="126" s="1"/>
  <c r="AV14" i="126"/>
  <c r="AW14" i="126" s="1"/>
  <c r="BP21" i="125"/>
  <c r="S21" i="125" s="1"/>
  <c r="AD21" i="125" s="1"/>
  <c r="AD37" i="124"/>
  <c r="BA31" i="124"/>
  <c r="BI31" i="124"/>
  <c r="V37" i="124"/>
  <c r="AV31" i="124"/>
  <c r="AW31" i="124" s="1"/>
  <c r="U38" i="123"/>
  <c r="BP45" i="123"/>
  <c r="U31" i="121"/>
  <c r="U17" i="120"/>
  <c r="U15" i="120"/>
  <c r="U20" i="118"/>
  <c r="U34" i="116"/>
  <c r="U31" i="116"/>
  <c r="U34" i="115"/>
  <c r="U37" i="115" s="1"/>
  <c r="BQ37" i="115" s="1"/>
  <c r="U17" i="116"/>
  <c r="AH16" i="116"/>
  <c r="BA16" i="116" s="1"/>
  <c r="U20" i="113"/>
  <c r="U45" i="124"/>
  <c r="W45" i="124" s="1"/>
  <c r="U45" i="123"/>
  <c r="BJ15" i="113"/>
  <c r="U15" i="113" s="1"/>
  <c r="AV39" i="114"/>
  <c r="AW39" i="114" s="1"/>
  <c r="U41" i="115"/>
  <c r="AR23" i="115"/>
  <c r="BE24" i="115"/>
  <c r="AY38" i="118"/>
  <c r="BP37" i="119"/>
  <c r="U35" i="121"/>
  <c r="U27" i="122"/>
  <c r="BP29" i="125"/>
  <c r="U15" i="125"/>
  <c r="V29" i="131"/>
  <c r="S29" i="131" s="1"/>
  <c r="AD29" i="131" s="1"/>
  <c r="BP37" i="133"/>
  <c r="U32" i="117"/>
  <c r="U30" i="118"/>
  <c r="U17" i="121"/>
  <c r="U20" i="123"/>
  <c r="U19" i="128"/>
  <c r="U23" i="119"/>
  <c r="U44" i="132"/>
  <c r="U45" i="132" s="1"/>
  <c r="U27" i="128"/>
  <c r="U27" i="126"/>
  <c r="U29" i="126" s="1"/>
  <c r="BQ29" i="126" s="1"/>
  <c r="U27" i="125"/>
  <c r="U44" i="120"/>
  <c r="U41" i="133"/>
  <c r="U23" i="117"/>
  <c r="U29" i="117" s="1"/>
  <c r="BC23" i="115"/>
  <c r="AR15" i="117"/>
  <c r="V45" i="118"/>
  <c r="AE45" i="118" s="1"/>
  <c r="V29" i="118"/>
  <c r="S29" i="118" s="1"/>
  <c r="AD29" i="118" s="1"/>
  <c r="U35" i="118"/>
  <c r="V37" i="119"/>
  <c r="U35" i="123"/>
  <c r="U24" i="125"/>
  <c r="U45" i="129"/>
  <c r="U33" i="130"/>
  <c r="U37" i="130" s="1"/>
  <c r="BQ37" i="130" s="1"/>
  <c r="BI23" i="125"/>
  <c r="AT24" i="125"/>
  <c r="AQ23" i="125"/>
  <c r="AP23" i="125"/>
  <c r="BA23" i="125"/>
  <c r="U39" i="114"/>
  <c r="U45" i="114" s="1"/>
  <c r="U28" i="113"/>
  <c r="U34" i="114"/>
  <c r="U33" i="114"/>
  <c r="U19" i="115"/>
  <c r="U21" i="115" s="1"/>
  <c r="AH24" i="115"/>
  <c r="BA24" i="115" s="1"/>
  <c r="U34" i="117"/>
  <c r="U24" i="118"/>
  <c r="V45" i="120"/>
  <c r="AD37" i="120"/>
  <c r="U42" i="121"/>
  <c r="U45" i="121" s="1"/>
  <c r="AH32" i="122"/>
  <c r="BA32" i="122" s="1"/>
  <c r="U32" i="122"/>
  <c r="U37" i="122" s="1"/>
  <c r="BQ37" i="122" s="1"/>
  <c r="U35" i="124"/>
  <c r="U22" i="124"/>
  <c r="U23" i="125"/>
  <c r="BP45" i="125"/>
  <c r="U23" i="128"/>
  <c r="U28" i="128"/>
  <c r="AV23" i="128"/>
  <c r="AW23" i="128" s="1"/>
  <c r="V45" i="130"/>
  <c r="W45" i="130" s="1"/>
  <c r="U34" i="133"/>
  <c r="AV30" i="118"/>
  <c r="AW30" i="118" s="1"/>
  <c r="U30" i="127"/>
  <c r="U39" i="127"/>
  <c r="U45" i="127" s="1"/>
  <c r="W45" i="127" s="1"/>
  <c r="BE32" i="124"/>
  <c r="BC31" i="124"/>
  <c r="AP31" i="124"/>
  <c r="BA39" i="122"/>
  <c r="AI39" i="122"/>
  <c r="AP39" i="122"/>
  <c r="U31" i="113"/>
  <c r="U24" i="114"/>
  <c r="U24" i="115"/>
  <c r="AI23" i="115"/>
  <c r="AY23" i="115" s="1"/>
  <c r="AQ23" i="115"/>
  <c r="V37" i="117"/>
  <c r="S37" i="117" s="1"/>
  <c r="AD37" i="117" s="1"/>
  <c r="U33" i="120"/>
  <c r="AV22" i="120"/>
  <c r="AW22" i="120" s="1"/>
  <c r="BP45" i="121"/>
  <c r="U33" i="128"/>
  <c r="U45" i="128"/>
  <c r="U33" i="129"/>
  <c r="U20" i="129"/>
  <c r="U32" i="128"/>
  <c r="BE24" i="128"/>
  <c r="AT24" i="128"/>
  <c r="AQ23" i="128"/>
  <c r="BI23" i="128"/>
  <c r="AP23" i="128"/>
  <c r="BC23" i="128"/>
  <c r="U28" i="125"/>
  <c r="U40" i="120"/>
  <c r="U44" i="119"/>
  <c r="U45" i="119" s="1"/>
  <c r="W45" i="119" s="1"/>
  <c r="U39" i="124"/>
  <c r="U26" i="122"/>
  <c r="U16" i="120"/>
  <c r="U44" i="117"/>
  <c r="V29" i="117"/>
  <c r="S29" i="117" s="1"/>
  <c r="AD29" i="117" s="1"/>
  <c r="V45" i="114"/>
  <c r="BP45" i="114"/>
  <c r="V29" i="114"/>
  <c r="S29" i="114" s="1"/>
  <c r="AD29" i="114" s="1"/>
  <c r="U45" i="115"/>
  <c r="AP23" i="115"/>
  <c r="BP45" i="116"/>
  <c r="BP29" i="117"/>
  <c r="U34" i="119"/>
  <c r="U41" i="120"/>
  <c r="U45" i="120" s="1"/>
  <c r="V29" i="122"/>
  <c r="S29" i="122" s="1"/>
  <c r="AD29" i="122" s="1"/>
  <c r="U34" i="124"/>
  <c r="U41" i="124"/>
  <c r="U19" i="125"/>
  <c r="BP45" i="126"/>
  <c r="U31" i="127"/>
  <c r="BP45" i="128"/>
  <c r="U34" i="128"/>
  <c r="U34" i="130"/>
  <c r="AV22" i="130"/>
  <c r="AW22" i="130" s="1"/>
  <c r="U25" i="131"/>
  <c r="U31" i="126"/>
  <c r="U37" i="126" s="1"/>
  <c r="BQ37" i="126" s="1"/>
  <c r="U30" i="128"/>
  <c r="U31" i="125"/>
  <c r="AY30" i="119"/>
  <c r="AR23" i="122"/>
  <c r="BA23" i="122"/>
  <c r="U43" i="114"/>
  <c r="BK27" i="133"/>
  <c r="V27" i="133" s="1"/>
  <c r="U24" i="133"/>
  <c r="U29" i="133" s="1"/>
  <c r="U27" i="132"/>
  <c r="U24" i="132"/>
  <c r="V29" i="132"/>
  <c r="AL29" i="132" s="1"/>
  <c r="T29" i="132" s="1"/>
  <c r="BP29" i="132"/>
  <c r="U34" i="131"/>
  <c r="U33" i="131"/>
  <c r="BK35" i="131"/>
  <c r="V35" i="131" s="1"/>
  <c r="V37" i="131" s="1"/>
  <c r="U25" i="130"/>
  <c r="U29" i="130" s="1"/>
  <c r="V29" i="130"/>
  <c r="S29" i="130" s="1"/>
  <c r="U24" i="129"/>
  <c r="BP29" i="129"/>
  <c r="BK27" i="127"/>
  <c r="V27" i="127" s="1"/>
  <c r="V29" i="127" s="1"/>
  <c r="S29" i="127" s="1"/>
  <c r="AL29" i="127" s="1"/>
  <c r="T29" i="127" s="1"/>
  <c r="U29" i="127"/>
  <c r="BQ29" i="127" s="1"/>
  <c r="BP29" i="127"/>
  <c r="BK19" i="127"/>
  <c r="V19" i="127" s="1"/>
  <c r="V21" i="127" s="1"/>
  <c r="U16" i="127"/>
  <c r="O46" i="126"/>
  <c r="BP21" i="126"/>
  <c r="AE45" i="126"/>
  <c r="AY23" i="124"/>
  <c r="BK27" i="124"/>
  <c r="V27" i="124" s="1"/>
  <c r="V29" i="124" s="1"/>
  <c r="S29" i="124" s="1"/>
  <c r="U26" i="124"/>
  <c r="U25" i="123"/>
  <c r="U24" i="123"/>
  <c r="V29" i="123"/>
  <c r="S29" i="123" s="1"/>
  <c r="AL29" i="123" s="1"/>
  <c r="T29" i="123" s="1"/>
  <c r="BK27" i="121"/>
  <c r="V27" i="121" s="1"/>
  <c r="V29" i="121" s="1"/>
  <c r="S29" i="121" s="1"/>
  <c r="U29" i="121"/>
  <c r="BQ29" i="121" s="1"/>
  <c r="U25" i="120"/>
  <c r="U23" i="120"/>
  <c r="U27" i="120"/>
  <c r="BK27" i="120"/>
  <c r="V27" i="120" s="1"/>
  <c r="V29" i="120" s="1"/>
  <c r="O46" i="120"/>
  <c r="U24" i="120"/>
  <c r="U27" i="119"/>
  <c r="U26" i="119"/>
  <c r="V29" i="119"/>
  <c r="S29" i="119" s="1"/>
  <c r="U27" i="116"/>
  <c r="BK27" i="116"/>
  <c r="V27" i="116" s="1"/>
  <c r="V29" i="116" s="1"/>
  <c r="S29" i="116" s="1"/>
  <c r="U25" i="116"/>
  <c r="BP29" i="116"/>
  <c r="U26" i="115"/>
  <c r="BP29" i="115"/>
  <c r="BP29" i="114"/>
  <c r="AL29" i="114"/>
  <c r="T29" i="114" s="1"/>
  <c r="U24" i="113"/>
  <c r="V29" i="113"/>
  <c r="S29" i="113" s="1"/>
  <c r="AL29" i="113" s="1"/>
  <c r="T29" i="113" s="1"/>
  <c r="U23" i="113"/>
  <c r="AD37" i="132"/>
  <c r="O46" i="132"/>
  <c r="O46" i="133"/>
  <c r="AD45" i="131"/>
  <c r="AV14" i="132"/>
  <c r="AW14" i="132" s="1"/>
  <c r="AV30" i="130"/>
  <c r="AW30" i="130" s="1"/>
  <c r="O46" i="130"/>
  <c r="AV14" i="130"/>
  <c r="AW14" i="130" s="1"/>
  <c r="AT16" i="129"/>
  <c r="AP15" i="129"/>
  <c r="AI15" i="129"/>
  <c r="AY15" i="129" s="1"/>
  <c r="BA15" i="129"/>
  <c r="AQ15" i="129"/>
  <c r="BC15" i="129"/>
  <c r="AP15" i="128"/>
  <c r="BE16" i="128"/>
  <c r="AI15" i="128"/>
  <c r="AV15" i="128" s="1"/>
  <c r="AW15" i="128" s="1"/>
  <c r="AT16" i="128"/>
  <c r="AH16" i="128"/>
  <c r="BE17" i="128" s="1"/>
  <c r="BA15" i="128"/>
  <c r="BI15" i="128"/>
  <c r="AQ15" i="128"/>
  <c r="AR15" i="128"/>
  <c r="BP21" i="127"/>
  <c r="AD37" i="123"/>
  <c r="U15" i="123"/>
  <c r="AQ15" i="122"/>
  <c r="BC15" i="118"/>
  <c r="BA15" i="118"/>
  <c r="BC31" i="117"/>
  <c r="BP20" i="113"/>
  <c r="U14" i="133"/>
  <c r="BP21" i="133"/>
  <c r="V37" i="132"/>
  <c r="BP37" i="132"/>
  <c r="AV30" i="132"/>
  <c r="AW30" i="132" s="1"/>
  <c r="BP21" i="132"/>
  <c r="U45" i="131"/>
  <c r="BP45" i="131"/>
  <c r="U14" i="132"/>
  <c r="U15" i="131"/>
  <c r="V21" i="131"/>
  <c r="BP21" i="131"/>
  <c r="AV14" i="131"/>
  <c r="AW14" i="131" s="1"/>
  <c r="V37" i="129"/>
  <c r="S37" i="129" s="1"/>
  <c r="AD37" i="129" s="1"/>
  <c r="U14" i="130"/>
  <c r="U16" i="130"/>
  <c r="BP21" i="130"/>
  <c r="V21" i="130"/>
  <c r="U17" i="129"/>
  <c r="O46" i="129"/>
  <c r="AV14" i="129"/>
  <c r="AW14" i="129" s="1"/>
  <c r="V37" i="128"/>
  <c r="S37" i="128" s="1"/>
  <c r="AD37" i="128" s="1"/>
  <c r="AR15" i="129"/>
  <c r="BI15" i="129"/>
  <c r="V21" i="129"/>
  <c r="U14" i="128"/>
  <c r="V21" i="128"/>
  <c r="O46" i="128"/>
  <c r="V37" i="127"/>
  <c r="AD37" i="127"/>
  <c r="BP37" i="127"/>
  <c r="AV30" i="127"/>
  <c r="AW30" i="127" s="1"/>
  <c r="BP21" i="128"/>
  <c r="AV14" i="128"/>
  <c r="AW14" i="128" s="1"/>
  <c r="BI15" i="127"/>
  <c r="BE16" i="127"/>
  <c r="BP37" i="126"/>
  <c r="AD37" i="126"/>
  <c r="V37" i="126"/>
  <c r="AY14" i="127"/>
  <c r="O46" i="127"/>
  <c r="AV30" i="126"/>
  <c r="AW30" i="126" s="1"/>
  <c r="AR15" i="127"/>
  <c r="AP15" i="127"/>
  <c r="AT16" i="127"/>
  <c r="AI15" i="127"/>
  <c r="AY15" i="127" s="1"/>
  <c r="BC15" i="127"/>
  <c r="U14" i="127"/>
  <c r="AH16" i="127"/>
  <c r="BI16" i="127" s="1"/>
  <c r="AQ15" i="127"/>
  <c r="U14" i="124"/>
  <c r="U18" i="124"/>
  <c r="O46" i="124"/>
  <c r="BP21" i="124"/>
  <c r="V21" i="124"/>
  <c r="S21" i="124" s="1"/>
  <c r="AD21" i="124" s="1"/>
  <c r="AT32" i="122"/>
  <c r="AR31" i="122"/>
  <c r="BE32" i="122"/>
  <c r="AQ31" i="122"/>
  <c r="AP31" i="122"/>
  <c r="BA31" i="122"/>
  <c r="AI31" i="122"/>
  <c r="AV31" i="122" s="1"/>
  <c r="AW31" i="122" s="1"/>
  <c r="BC31" i="122"/>
  <c r="O46" i="123"/>
  <c r="AV30" i="122"/>
  <c r="AW30" i="122" s="1"/>
  <c r="U17" i="123"/>
  <c r="V37" i="122"/>
  <c r="S37" i="122" s="1"/>
  <c r="BP37" i="122"/>
  <c r="U15" i="122"/>
  <c r="BE16" i="122"/>
  <c r="AR15" i="122"/>
  <c r="BI15" i="122"/>
  <c r="AI15" i="122"/>
  <c r="AY15" i="122" s="1"/>
  <c r="AH16" i="122"/>
  <c r="AH17" i="122" s="1"/>
  <c r="AP15" i="122"/>
  <c r="AT16" i="122"/>
  <c r="BC15" i="122"/>
  <c r="O46" i="122"/>
  <c r="V37" i="121"/>
  <c r="S37" i="121" s="1"/>
  <c r="AD37" i="121" s="1"/>
  <c r="V37" i="120"/>
  <c r="U14" i="121"/>
  <c r="O46" i="121"/>
  <c r="AH32" i="118"/>
  <c r="AR32" i="118" s="1"/>
  <c r="AY14" i="119"/>
  <c r="U18" i="119"/>
  <c r="BE32" i="118"/>
  <c r="BC31" i="118"/>
  <c r="BA31" i="118"/>
  <c r="AI31" i="118"/>
  <c r="AY31" i="118" s="1"/>
  <c r="O46" i="119"/>
  <c r="V37" i="118"/>
  <c r="BI31" i="118"/>
  <c r="AT32" i="118"/>
  <c r="AP31" i="118"/>
  <c r="AR31" i="118"/>
  <c r="V21" i="119"/>
  <c r="BP21" i="119"/>
  <c r="U19" i="119"/>
  <c r="U14" i="119"/>
  <c r="V21" i="118"/>
  <c r="AH32" i="117"/>
  <c r="AP32" i="117" s="1"/>
  <c r="AQ31" i="117"/>
  <c r="BE32" i="117"/>
  <c r="BP21" i="118"/>
  <c r="BA31" i="117"/>
  <c r="AR31" i="117"/>
  <c r="AP31" i="117"/>
  <c r="AT32" i="117"/>
  <c r="AV30" i="117"/>
  <c r="AW30" i="117" s="1"/>
  <c r="AY14" i="118"/>
  <c r="BI15" i="118"/>
  <c r="AT16" i="118"/>
  <c r="AR15" i="118"/>
  <c r="AH16" i="118"/>
  <c r="AI16" i="118" s="1"/>
  <c r="AQ15" i="118"/>
  <c r="AP15" i="118"/>
  <c r="AI15" i="117"/>
  <c r="AY15" i="117" s="1"/>
  <c r="AT16" i="117"/>
  <c r="AH16" i="117"/>
  <c r="AR16" i="117" s="1"/>
  <c r="AP15" i="117"/>
  <c r="BE16" i="117"/>
  <c r="AY14" i="117"/>
  <c r="BI15" i="117"/>
  <c r="BA15" i="117"/>
  <c r="AQ15" i="117"/>
  <c r="U19" i="116"/>
  <c r="AP15" i="116"/>
  <c r="BE16" i="116"/>
  <c r="BC15" i="116"/>
  <c r="AR15" i="116"/>
  <c r="AT16" i="116"/>
  <c r="AL21" i="116"/>
  <c r="T21" i="116" s="1"/>
  <c r="AT32" i="115"/>
  <c r="BA31" i="115"/>
  <c r="BI31" i="115"/>
  <c r="AH32" i="115"/>
  <c r="AT33" i="115" s="1"/>
  <c r="AR31" i="115"/>
  <c r="AV14" i="116"/>
  <c r="AW14" i="116" s="1"/>
  <c r="BE32" i="115"/>
  <c r="BC31" i="115"/>
  <c r="AP31" i="115"/>
  <c r="AI31" i="115"/>
  <c r="BP21" i="116"/>
  <c r="BI15" i="116"/>
  <c r="BA15" i="116"/>
  <c r="AQ15" i="116"/>
  <c r="AV30" i="114"/>
  <c r="AW30" i="114" s="1"/>
  <c r="O46" i="115"/>
  <c r="V37" i="114"/>
  <c r="AD37" i="114"/>
  <c r="AV14" i="115"/>
  <c r="AW14" i="115" s="1"/>
  <c r="BP21" i="115"/>
  <c r="BA15" i="113"/>
  <c r="BC15" i="113"/>
  <c r="O21" i="113"/>
  <c r="O46" i="113" s="1"/>
  <c r="BK16" i="113"/>
  <c r="V16" i="113" s="1"/>
  <c r="BJ18" i="113"/>
  <c r="U18" i="113" s="1"/>
  <c r="BK17" i="113"/>
  <c r="V17" i="113" s="1"/>
  <c r="U19" i="114"/>
  <c r="BP18" i="113"/>
  <c r="BO18" i="113"/>
  <c r="BO16" i="113"/>
  <c r="U16" i="113"/>
  <c r="BP29" i="133"/>
  <c r="BE16" i="133"/>
  <c r="AH16" i="133"/>
  <c r="AI15" i="133"/>
  <c r="BA15" i="133"/>
  <c r="AR15" i="133"/>
  <c r="BC15" i="133"/>
  <c r="AP15" i="133"/>
  <c r="AK15" i="133" s="1"/>
  <c r="AT16" i="133"/>
  <c r="BI15" i="133"/>
  <c r="AQ15" i="133"/>
  <c r="AT33" i="133"/>
  <c r="V45" i="133"/>
  <c r="U45" i="133"/>
  <c r="BA39" i="133"/>
  <c r="AR39" i="133"/>
  <c r="AT40" i="133"/>
  <c r="BI39" i="133"/>
  <c r="AQ39" i="133"/>
  <c r="BE40" i="133"/>
  <c r="AP39" i="133"/>
  <c r="AI39" i="133"/>
  <c r="AH40" i="133"/>
  <c r="BC39" i="133"/>
  <c r="AV38" i="133"/>
  <c r="AW38" i="133" s="1"/>
  <c r="U15" i="133"/>
  <c r="AP24" i="133"/>
  <c r="AK24" i="133" s="1"/>
  <c r="BA24" i="133"/>
  <c r="AR24" i="133"/>
  <c r="AH25" i="133"/>
  <c r="BP45" i="133"/>
  <c r="AV31" i="133"/>
  <c r="AW31" i="133" s="1"/>
  <c r="BA39" i="132"/>
  <c r="AR39" i="132"/>
  <c r="AT40" i="132"/>
  <c r="BI39" i="132"/>
  <c r="AQ39" i="132"/>
  <c r="BC39" i="132"/>
  <c r="AP39" i="132"/>
  <c r="BE40" i="132"/>
  <c r="AI39" i="132"/>
  <c r="AH40" i="132"/>
  <c r="BE16" i="132"/>
  <c r="AH16" i="132"/>
  <c r="AI15" i="132"/>
  <c r="BA15" i="132"/>
  <c r="AR15" i="132"/>
  <c r="AT16" i="132"/>
  <c r="BI15" i="132"/>
  <c r="AQ15" i="132"/>
  <c r="BC15" i="132"/>
  <c r="AP15" i="132"/>
  <c r="AK15" i="132" s="1"/>
  <c r="BP45" i="132"/>
  <c r="V45" i="132"/>
  <c r="AV38" i="132"/>
  <c r="AW38" i="132" s="1"/>
  <c r="AY38" i="132"/>
  <c r="BE24" i="132"/>
  <c r="AH24" i="132"/>
  <c r="AI23" i="132"/>
  <c r="AT24" i="132"/>
  <c r="AP23" i="132"/>
  <c r="BI23" i="132"/>
  <c r="BC23" i="132"/>
  <c r="AR23" i="132"/>
  <c r="BA23" i="132"/>
  <c r="AQ23" i="132"/>
  <c r="AV38" i="131"/>
  <c r="AW38" i="131" s="1"/>
  <c r="AY38" i="131"/>
  <c r="V45" i="131"/>
  <c r="AL21" i="131"/>
  <c r="T21" i="131" s="1"/>
  <c r="BA39" i="131"/>
  <c r="AR39" i="131"/>
  <c r="AT40" i="131"/>
  <c r="BI39" i="131"/>
  <c r="AQ39" i="131"/>
  <c r="BC39" i="131"/>
  <c r="AP39" i="131"/>
  <c r="AH40" i="131"/>
  <c r="AI39" i="131"/>
  <c r="BE40" i="131"/>
  <c r="BE32" i="131"/>
  <c r="AH32" i="131"/>
  <c r="AI31" i="131"/>
  <c r="BA31" i="131"/>
  <c r="AR31" i="131"/>
  <c r="AT32" i="131"/>
  <c r="BI31" i="131"/>
  <c r="AQ31" i="131"/>
  <c r="BC31" i="131"/>
  <c r="AP31" i="131"/>
  <c r="AK31" i="131" s="1"/>
  <c r="AY22" i="131"/>
  <c r="AV22" i="131"/>
  <c r="AW22" i="131" s="1"/>
  <c r="BP29" i="131"/>
  <c r="BP37" i="131"/>
  <c r="AT16" i="131"/>
  <c r="BE16" i="131"/>
  <c r="BC15" i="131"/>
  <c r="AP15" i="131"/>
  <c r="AH16" i="131"/>
  <c r="AI15" i="131"/>
  <c r="BI15" i="131"/>
  <c r="BA15" i="131"/>
  <c r="AR15" i="131"/>
  <c r="AQ15" i="131"/>
  <c r="O46" i="131"/>
  <c r="BP37" i="130"/>
  <c r="BP45" i="130"/>
  <c r="BC23" i="130"/>
  <c r="AP23" i="130"/>
  <c r="AQ23" i="130"/>
  <c r="AI23" i="130"/>
  <c r="BA23" i="130"/>
  <c r="BI23" i="130"/>
  <c r="AH24" i="130"/>
  <c r="BE24" i="130"/>
  <c r="AT24" i="130"/>
  <c r="AR23" i="130"/>
  <c r="AD37" i="130"/>
  <c r="U20" i="130"/>
  <c r="BA15" i="130"/>
  <c r="AR15" i="130"/>
  <c r="AT16" i="130"/>
  <c r="BI15" i="130"/>
  <c r="AQ15" i="130"/>
  <c r="BC15" i="130"/>
  <c r="AP15" i="130"/>
  <c r="AH16" i="130"/>
  <c r="BE16" i="130"/>
  <c r="AI15" i="130"/>
  <c r="AV38" i="130"/>
  <c r="AW38" i="130" s="1"/>
  <c r="AY38" i="130"/>
  <c r="BP29" i="130"/>
  <c r="AE45" i="130"/>
  <c r="BA31" i="130"/>
  <c r="AR31" i="130"/>
  <c r="AT32" i="130"/>
  <c r="BI31" i="130"/>
  <c r="AQ31" i="130"/>
  <c r="BC31" i="130"/>
  <c r="AP31" i="130"/>
  <c r="BE32" i="130"/>
  <c r="AH32" i="130"/>
  <c r="AI31" i="130"/>
  <c r="BA39" i="130"/>
  <c r="AR39" i="130"/>
  <c r="AT40" i="130"/>
  <c r="BI39" i="130"/>
  <c r="AQ39" i="130"/>
  <c r="BC39" i="130"/>
  <c r="AP39" i="130"/>
  <c r="AH40" i="130"/>
  <c r="AI39" i="130"/>
  <c r="BE40" i="130"/>
  <c r="V37" i="130"/>
  <c r="V45" i="129"/>
  <c r="BA16" i="129"/>
  <c r="AR16" i="129"/>
  <c r="AY23" i="129"/>
  <c r="BC24" i="129"/>
  <c r="AP24" i="129"/>
  <c r="BE25" i="129"/>
  <c r="AH25" i="129"/>
  <c r="AI24" i="129"/>
  <c r="AT25" i="129"/>
  <c r="AQ24" i="129"/>
  <c r="BI24" i="129"/>
  <c r="BA24" i="129"/>
  <c r="AR24" i="129"/>
  <c r="AV38" i="129"/>
  <c r="AW38" i="129" s="1"/>
  <c r="AY38" i="129"/>
  <c r="AV30" i="129"/>
  <c r="AW30" i="129" s="1"/>
  <c r="AY30" i="129"/>
  <c r="BP45" i="129"/>
  <c r="BP37" i="129"/>
  <c r="BA39" i="129"/>
  <c r="AR39" i="129"/>
  <c r="AT40" i="129"/>
  <c r="BI39" i="129"/>
  <c r="AQ39" i="129"/>
  <c r="BC39" i="129"/>
  <c r="AP39" i="129"/>
  <c r="BE40" i="129"/>
  <c r="AI39" i="129"/>
  <c r="AH40" i="129"/>
  <c r="BP21" i="129"/>
  <c r="BA31" i="129"/>
  <c r="AR31" i="129"/>
  <c r="AT32" i="129"/>
  <c r="BI31" i="129"/>
  <c r="AQ31" i="129"/>
  <c r="BC31" i="129"/>
  <c r="AP31" i="129"/>
  <c r="BE32" i="129"/>
  <c r="AH32" i="129"/>
  <c r="AI31" i="129"/>
  <c r="V29" i="129"/>
  <c r="W45" i="128"/>
  <c r="BC31" i="128"/>
  <c r="AP31" i="128"/>
  <c r="BA31" i="128"/>
  <c r="AQ31" i="128"/>
  <c r="AI31" i="128"/>
  <c r="BI31" i="128"/>
  <c r="AR31" i="128"/>
  <c r="BE32" i="128"/>
  <c r="AH32" i="128"/>
  <c r="AT32" i="128"/>
  <c r="AY38" i="128"/>
  <c r="AV38" i="128"/>
  <c r="AW38" i="128" s="1"/>
  <c r="BP29" i="128"/>
  <c r="AY30" i="128"/>
  <c r="AV30" i="128"/>
  <c r="AW30" i="128" s="1"/>
  <c r="BA24" i="128"/>
  <c r="AR24" i="128"/>
  <c r="AT25" i="128"/>
  <c r="BI24" i="128"/>
  <c r="AQ24" i="128"/>
  <c r="BE25" i="128"/>
  <c r="AP24" i="128"/>
  <c r="AI24" i="128"/>
  <c r="AH25" i="128"/>
  <c r="BC24" i="128"/>
  <c r="BP37" i="128"/>
  <c r="V45" i="128"/>
  <c r="BC40" i="128"/>
  <c r="AP40" i="128"/>
  <c r="BE41" i="128"/>
  <c r="AH41" i="128"/>
  <c r="AI40" i="128"/>
  <c r="AT41" i="128"/>
  <c r="AQ40" i="128"/>
  <c r="BA40" i="128"/>
  <c r="AR40" i="128"/>
  <c r="BI40" i="128"/>
  <c r="AE45" i="128"/>
  <c r="AL21" i="128"/>
  <c r="T21" i="128" s="1"/>
  <c r="T46" i="128" s="1"/>
  <c r="AV38" i="127"/>
  <c r="AW38" i="127" s="1"/>
  <c r="AY38" i="127"/>
  <c r="AV22" i="127"/>
  <c r="AW22" i="127" s="1"/>
  <c r="BC31" i="127"/>
  <c r="AP31" i="127"/>
  <c r="BE32" i="127"/>
  <c r="AH32" i="127"/>
  <c r="AI31" i="127"/>
  <c r="BA31" i="127"/>
  <c r="AR31" i="127"/>
  <c r="BI31" i="127"/>
  <c r="AQ31" i="127"/>
  <c r="AT32" i="127"/>
  <c r="AE45" i="127"/>
  <c r="BP45" i="127"/>
  <c r="BE24" i="127"/>
  <c r="BA23" i="127"/>
  <c r="AR23" i="127"/>
  <c r="AH24" i="127"/>
  <c r="AP23" i="127"/>
  <c r="BC23" i="127"/>
  <c r="AQ23" i="127"/>
  <c r="AT24" i="127"/>
  <c r="AI23" i="127"/>
  <c r="BI23" i="127"/>
  <c r="BA39" i="127"/>
  <c r="AR39" i="127"/>
  <c r="AT40" i="127"/>
  <c r="BI39" i="127"/>
  <c r="AQ39" i="127"/>
  <c r="BC39" i="127"/>
  <c r="AP39" i="127"/>
  <c r="BE40" i="127"/>
  <c r="AI39" i="127"/>
  <c r="AH40" i="127"/>
  <c r="AV38" i="126"/>
  <c r="AW38" i="126" s="1"/>
  <c r="AY38" i="126"/>
  <c r="Z15" i="126"/>
  <c r="A16" i="126"/>
  <c r="BA39" i="126"/>
  <c r="AR39" i="126"/>
  <c r="AT40" i="126"/>
  <c r="BI39" i="126"/>
  <c r="AQ39" i="126"/>
  <c r="BC39" i="126"/>
  <c r="AP39" i="126"/>
  <c r="BE40" i="126"/>
  <c r="AH40" i="126"/>
  <c r="AI39" i="126"/>
  <c r="BA23" i="126"/>
  <c r="AR23" i="126"/>
  <c r="BE24" i="126"/>
  <c r="BI23" i="126"/>
  <c r="BC23" i="126"/>
  <c r="AQ23" i="126"/>
  <c r="AT24" i="126"/>
  <c r="AH24" i="126"/>
  <c r="AP23" i="126"/>
  <c r="AI23" i="126"/>
  <c r="BP29" i="126"/>
  <c r="BC31" i="126"/>
  <c r="AP31" i="126"/>
  <c r="BE32" i="126"/>
  <c r="AH32" i="126"/>
  <c r="AI31" i="126"/>
  <c r="BA31" i="126"/>
  <c r="AR31" i="126"/>
  <c r="AT32" i="126"/>
  <c r="AQ31" i="126"/>
  <c r="BI31" i="126"/>
  <c r="V29" i="126"/>
  <c r="S29" i="126" s="1"/>
  <c r="AD29" i="126" s="1"/>
  <c r="BC15" i="126"/>
  <c r="AP15" i="126"/>
  <c r="AK15" i="126" s="1"/>
  <c r="BE16" i="126"/>
  <c r="AH16" i="126"/>
  <c r="AI15" i="126"/>
  <c r="BA15" i="126"/>
  <c r="AJ15" i="126" s="1"/>
  <c r="AR15" i="126"/>
  <c r="AT16" i="126"/>
  <c r="AQ15" i="126"/>
  <c r="BI15" i="126"/>
  <c r="BC32" i="125"/>
  <c r="AP32" i="125"/>
  <c r="BE33" i="125"/>
  <c r="AH33" i="125"/>
  <c r="AI32" i="125"/>
  <c r="AR32" i="125"/>
  <c r="AT33" i="125"/>
  <c r="AQ32" i="125"/>
  <c r="BI32" i="125"/>
  <c r="BC24" i="125"/>
  <c r="BA24" i="125"/>
  <c r="AR24" i="125"/>
  <c r="BE25" i="125"/>
  <c r="AT25" i="125"/>
  <c r="AI24" i="125"/>
  <c r="AP24" i="125"/>
  <c r="BI24" i="125"/>
  <c r="AQ24" i="125"/>
  <c r="AH25" i="125"/>
  <c r="AV38" i="125"/>
  <c r="AW38" i="125" s="1"/>
  <c r="AY38" i="125"/>
  <c r="V45" i="125"/>
  <c r="W45" i="125" s="1"/>
  <c r="BP37" i="125"/>
  <c r="AD29" i="125"/>
  <c r="BC15" i="125"/>
  <c r="AP15" i="125"/>
  <c r="BE16" i="125"/>
  <c r="AH16" i="125"/>
  <c r="AI15" i="125"/>
  <c r="BA15" i="125"/>
  <c r="AR15" i="125"/>
  <c r="AT16" i="125"/>
  <c r="BI15" i="125"/>
  <c r="AQ15" i="125"/>
  <c r="O46" i="125"/>
  <c r="BA39" i="125"/>
  <c r="AR39" i="125"/>
  <c r="AT40" i="125"/>
  <c r="BI39" i="125"/>
  <c r="AQ39" i="125"/>
  <c r="BC39" i="125"/>
  <c r="AP39" i="125"/>
  <c r="AH40" i="125"/>
  <c r="AI39" i="125"/>
  <c r="BE40" i="125"/>
  <c r="T46" i="125"/>
  <c r="AV23" i="125"/>
  <c r="AW23" i="125" s="1"/>
  <c r="AT40" i="124"/>
  <c r="BI39" i="124"/>
  <c r="AQ39" i="124"/>
  <c r="BC39" i="124"/>
  <c r="AP39" i="124"/>
  <c r="BA39" i="124"/>
  <c r="AI39" i="124"/>
  <c r="AR39" i="124"/>
  <c r="AH40" i="124"/>
  <c r="BE40" i="124"/>
  <c r="BP45" i="124"/>
  <c r="BC24" i="124"/>
  <c r="AP24" i="124"/>
  <c r="BA24" i="124"/>
  <c r="BE25" i="124"/>
  <c r="AT25" i="124"/>
  <c r="BI24" i="124"/>
  <c r="AR24" i="124"/>
  <c r="AH25" i="124"/>
  <c r="AQ24" i="124"/>
  <c r="AI24" i="124"/>
  <c r="BP37" i="124"/>
  <c r="U19" i="124"/>
  <c r="BP29" i="124"/>
  <c r="BE16" i="124"/>
  <c r="AH16" i="124"/>
  <c r="BA15" i="124"/>
  <c r="AR15" i="124"/>
  <c r="AT16" i="124"/>
  <c r="AP15" i="124"/>
  <c r="BI15" i="124"/>
  <c r="AI15" i="124"/>
  <c r="BC15" i="124"/>
  <c r="AQ15" i="124"/>
  <c r="AY38" i="124"/>
  <c r="AV38" i="124"/>
  <c r="AW38" i="124" s="1"/>
  <c r="AV14" i="124"/>
  <c r="AW14" i="124" s="1"/>
  <c r="AT32" i="123"/>
  <c r="BI31" i="123"/>
  <c r="AQ31" i="123"/>
  <c r="BC31" i="123"/>
  <c r="AP31" i="123"/>
  <c r="BA31" i="123"/>
  <c r="AI31" i="123"/>
  <c r="AR31" i="123"/>
  <c r="BE32" i="123"/>
  <c r="AH32" i="123"/>
  <c r="AY22" i="123"/>
  <c r="AV22" i="123"/>
  <c r="AW22" i="123" s="1"/>
  <c r="AV30" i="123"/>
  <c r="AW30" i="123" s="1"/>
  <c r="V45" i="123"/>
  <c r="W45" i="123" s="1"/>
  <c r="AY23" i="123"/>
  <c r="AV23" i="123"/>
  <c r="AW23" i="123" s="1"/>
  <c r="AT16" i="123"/>
  <c r="BI15" i="123"/>
  <c r="AQ15" i="123"/>
  <c r="BC15" i="123"/>
  <c r="AP15" i="123"/>
  <c r="BA15" i="123"/>
  <c r="AI15" i="123"/>
  <c r="AR15" i="123"/>
  <c r="BE16" i="123"/>
  <c r="AH16" i="123"/>
  <c r="AL21" i="123"/>
  <c r="T21" i="123" s="1"/>
  <c r="AY14" i="123"/>
  <c r="AV14" i="123"/>
  <c r="AW14" i="123" s="1"/>
  <c r="AV38" i="123"/>
  <c r="AW38" i="123" s="1"/>
  <c r="AL37" i="123"/>
  <c r="T37" i="123" s="1"/>
  <c r="BP37" i="123"/>
  <c r="AE45" i="123"/>
  <c r="BP29" i="123"/>
  <c r="BC24" i="123"/>
  <c r="AH25" i="123"/>
  <c r="AI24" i="123"/>
  <c r="BP21" i="123"/>
  <c r="V21" i="123"/>
  <c r="BA39" i="123"/>
  <c r="AR39" i="123"/>
  <c r="AT40" i="123"/>
  <c r="BI39" i="123"/>
  <c r="AQ39" i="123"/>
  <c r="BC39" i="123"/>
  <c r="AP39" i="123"/>
  <c r="BE40" i="123"/>
  <c r="AI39" i="123"/>
  <c r="AH40" i="123"/>
  <c r="V37" i="123"/>
  <c r="V21" i="122"/>
  <c r="AY14" i="122"/>
  <c r="AV14" i="122"/>
  <c r="AW14" i="122" s="1"/>
  <c r="BA24" i="122"/>
  <c r="AR24" i="122"/>
  <c r="AT25" i="122"/>
  <c r="AH25" i="122"/>
  <c r="AP24" i="122"/>
  <c r="AI24" i="122"/>
  <c r="BI24" i="122"/>
  <c r="AQ24" i="122"/>
  <c r="BC24" i="122"/>
  <c r="BE25" i="122"/>
  <c r="AL29" i="122"/>
  <c r="T29" i="122" s="1"/>
  <c r="BC40" i="122"/>
  <c r="AP40" i="122"/>
  <c r="BA40" i="122"/>
  <c r="AR40" i="122"/>
  <c r="BE41" i="122"/>
  <c r="AH41" i="122"/>
  <c r="AQ40" i="122"/>
  <c r="AI40" i="122"/>
  <c r="AT41" i="122"/>
  <c r="BI40" i="122"/>
  <c r="BP45" i="122"/>
  <c r="V45" i="122"/>
  <c r="AE45" i="122" s="1"/>
  <c r="W45" i="122"/>
  <c r="AY22" i="122"/>
  <c r="AV22" i="122"/>
  <c r="AW22" i="122" s="1"/>
  <c r="BP29" i="122"/>
  <c r="U17" i="122"/>
  <c r="BP21" i="122"/>
  <c r="AV23" i="122"/>
  <c r="AW23" i="122" s="1"/>
  <c r="BE32" i="121"/>
  <c r="AH32" i="121"/>
  <c r="AI31" i="121"/>
  <c r="BA31" i="121"/>
  <c r="AR31" i="121"/>
  <c r="AQ31" i="121"/>
  <c r="AP31" i="121"/>
  <c r="AT32" i="121"/>
  <c r="BC31" i="121"/>
  <c r="BI31" i="121"/>
  <c r="BA15" i="121"/>
  <c r="AR15" i="121"/>
  <c r="AT16" i="121"/>
  <c r="BI15" i="121"/>
  <c r="AQ15" i="121"/>
  <c r="BC15" i="121"/>
  <c r="BE16" i="121"/>
  <c r="AH16" i="121"/>
  <c r="AP15" i="121"/>
  <c r="AI15" i="121"/>
  <c r="AV22" i="121"/>
  <c r="AW22" i="121" s="1"/>
  <c r="V21" i="121"/>
  <c r="AV38" i="121"/>
  <c r="AW38" i="121" s="1"/>
  <c r="BP37" i="121"/>
  <c r="U18" i="121"/>
  <c r="BA39" i="121"/>
  <c r="AR39" i="121"/>
  <c r="AT40" i="121"/>
  <c r="BI39" i="121"/>
  <c r="AQ39" i="121"/>
  <c r="BC39" i="121"/>
  <c r="AP39" i="121"/>
  <c r="AI39" i="121"/>
  <c r="BE40" i="121"/>
  <c r="AH40" i="121"/>
  <c r="BP29" i="121"/>
  <c r="BA23" i="121"/>
  <c r="AR23" i="121"/>
  <c r="AT24" i="121"/>
  <c r="BI23" i="121"/>
  <c r="AQ23" i="121"/>
  <c r="BC23" i="121"/>
  <c r="AP23" i="121"/>
  <c r="BE24" i="121"/>
  <c r="AH24" i="121"/>
  <c r="AI23" i="121"/>
  <c r="BP21" i="121"/>
  <c r="BP45" i="120"/>
  <c r="BA15" i="120"/>
  <c r="AR15" i="120"/>
  <c r="AT16" i="120"/>
  <c r="BI15" i="120"/>
  <c r="AQ15" i="120"/>
  <c r="BC15" i="120"/>
  <c r="AP15" i="120"/>
  <c r="AH16" i="120"/>
  <c r="AI15" i="120"/>
  <c r="BE16" i="120"/>
  <c r="AT24" i="120"/>
  <c r="BI23" i="120"/>
  <c r="BC23" i="120"/>
  <c r="AP23" i="120"/>
  <c r="BE24" i="120"/>
  <c r="AH24" i="120"/>
  <c r="AR23" i="120"/>
  <c r="AQ23" i="120"/>
  <c r="AI23" i="120"/>
  <c r="BA23" i="120"/>
  <c r="AV38" i="120"/>
  <c r="AW38" i="120" s="1"/>
  <c r="AY38" i="120"/>
  <c r="BP37" i="120"/>
  <c r="BA31" i="120"/>
  <c r="AR31" i="120"/>
  <c r="AT32" i="120"/>
  <c r="BI31" i="120"/>
  <c r="AQ31" i="120"/>
  <c r="BC31" i="120"/>
  <c r="AP31" i="120"/>
  <c r="AH32" i="120"/>
  <c r="AI31" i="120"/>
  <c r="BE32" i="120"/>
  <c r="AV14" i="120"/>
  <c r="AW14" i="120" s="1"/>
  <c r="AY14" i="120"/>
  <c r="BP21" i="120"/>
  <c r="BA39" i="120"/>
  <c r="AR39" i="120"/>
  <c r="AT40" i="120"/>
  <c r="BI39" i="120"/>
  <c r="AQ39" i="120"/>
  <c r="BC39" i="120"/>
  <c r="AP39" i="120"/>
  <c r="BE40" i="120"/>
  <c r="AH40" i="120"/>
  <c r="AI39" i="120"/>
  <c r="AV30" i="120"/>
  <c r="AW30" i="120" s="1"/>
  <c r="AY30" i="120"/>
  <c r="BP29" i="120"/>
  <c r="BP29" i="119"/>
  <c r="AD37" i="119"/>
  <c r="U15" i="119"/>
  <c r="AV22" i="119"/>
  <c r="AW22" i="119" s="1"/>
  <c r="AE45" i="119"/>
  <c r="AV23" i="119"/>
  <c r="AW23" i="119" s="1"/>
  <c r="AV38" i="119"/>
  <c r="AW38" i="119" s="1"/>
  <c r="AY38" i="119"/>
  <c r="BE16" i="119"/>
  <c r="AH16" i="119"/>
  <c r="AI15" i="119"/>
  <c r="BA15" i="119"/>
  <c r="AR15" i="119"/>
  <c r="AP15" i="119"/>
  <c r="AT16" i="119"/>
  <c r="BI15" i="119"/>
  <c r="AQ15" i="119"/>
  <c r="BC15" i="119"/>
  <c r="BA39" i="119"/>
  <c r="AR39" i="119"/>
  <c r="AT40" i="119"/>
  <c r="BI39" i="119"/>
  <c r="AQ39" i="119"/>
  <c r="BC39" i="119"/>
  <c r="AP39" i="119"/>
  <c r="AH40" i="119"/>
  <c r="AI39" i="119"/>
  <c r="BE40" i="119"/>
  <c r="BP45" i="119"/>
  <c r="BA31" i="119"/>
  <c r="AR31" i="119"/>
  <c r="AI31" i="119"/>
  <c r="AT32" i="119"/>
  <c r="AH32" i="119"/>
  <c r="BC31" i="119"/>
  <c r="AP31" i="119"/>
  <c r="BE32" i="119"/>
  <c r="BI31" i="119"/>
  <c r="AQ31" i="119"/>
  <c r="AL37" i="118"/>
  <c r="T37" i="118" s="1"/>
  <c r="AY23" i="118"/>
  <c r="AV23" i="118"/>
  <c r="AW23" i="118" s="1"/>
  <c r="BP37" i="118"/>
  <c r="AL21" i="118"/>
  <c r="T21" i="118" s="1"/>
  <c r="BA39" i="118"/>
  <c r="AR39" i="118"/>
  <c r="AT40" i="118"/>
  <c r="BI39" i="118"/>
  <c r="AQ39" i="118"/>
  <c r="BC39" i="118"/>
  <c r="AP39" i="118"/>
  <c r="AI39" i="118"/>
  <c r="BE40" i="118"/>
  <c r="AH40" i="118"/>
  <c r="BP45" i="118"/>
  <c r="AV38" i="118"/>
  <c r="AW38" i="118" s="1"/>
  <c r="AD37" i="118"/>
  <c r="AY15" i="118"/>
  <c r="AV15" i="118"/>
  <c r="AW15" i="118" s="1"/>
  <c r="O46" i="118"/>
  <c r="BP37" i="117"/>
  <c r="BP21" i="117"/>
  <c r="BC32" i="117"/>
  <c r="AL21" i="117"/>
  <c r="T21" i="117" s="1"/>
  <c r="O46" i="117"/>
  <c r="BA24" i="117"/>
  <c r="AR24" i="117"/>
  <c r="BI24" i="117"/>
  <c r="BC24" i="117"/>
  <c r="AQ24" i="117"/>
  <c r="BE25" i="117"/>
  <c r="AT25" i="117"/>
  <c r="AH25" i="117"/>
  <c r="AP24" i="117"/>
  <c r="AI24" i="117"/>
  <c r="U16" i="117"/>
  <c r="V45" i="117"/>
  <c r="BA39" i="117"/>
  <c r="AR39" i="117"/>
  <c r="AT40" i="117"/>
  <c r="BI39" i="117"/>
  <c r="AQ39" i="117"/>
  <c r="BC39" i="117"/>
  <c r="AP39" i="117"/>
  <c r="BE40" i="117"/>
  <c r="AH40" i="117"/>
  <c r="AI39" i="117"/>
  <c r="AL29" i="117"/>
  <c r="T29" i="117" s="1"/>
  <c r="U15" i="117"/>
  <c r="AV23" i="117"/>
  <c r="AW23" i="117" s="1"/>
  <c r="AV38" i="117"/>
  <c r="AW38" i="117" s="1"/>
  <c r="AY38" i="117"/>
  <c r="AY23" i="116"/>
  <c r="AV23" i="116"/>
  <c r="AW23" i="116" s="1"/>
  <c r="V45" i="116"/>
  <c r="W45" i="116" s="1"/>
  <c r="AE45" i="116"/>
  <c r="U15" i="116"/>
  <c r="BP37" i="116"/>
  <c r="AT25" i="116"/>
  <c r="BC24" i="116"/>
  <c r="AP24" i="116"/>
  <c r="AH25" i="116"/>
  <c r="AI24" i="116"/>
  <c r="BE25" i="116"/>
  <c r="BA24" i="116"/>
  <c r="AR24" i="116"/>
  <c r="BI24" i="116"/>
  <c r="AQ24" i="116"/>
  <c r="AV15" i="116"/>
  <c r="AW15" i="116" s="1"/>
  <c r="BA39" i="116"/>
  <c r="AR39" i="116"/>
  <c r="AT40" i="116"/>
  <c r="BI39" i="116"/>
  <c r="AQ39" i="116"/>
  <c r="BC39" i="116"/>
  <c r="AP39" i="116"/>
  <c r="BE40" i="116"/>
  <c r="AH40" i="116"/>
  <c r="AI39" i="116"/>
  <c r="V37" i="116"/>
  <c r="S37" i="116" s="1"/>
  <c r="AD37" i="116" s="1"/>
  <c r="BA31" i="116"/>
  <c r="AR31" i="116"/>
  <c r="BC31" i="116"/>
  <c r="AP31" i="116"/>
  <c r="AH32" i="116"/>
  <c r="BI31" i="116"/>
  <c r="BE32" i="116"/>
  <c r="AT32" i="116"/>
  <c r="AQ31" i="116"/>
  <c r="AI31" i="116"/>
  <c r="O46" i="116"/>
  <c r="AV38" i="116"/>
  <c r="AW38" i="116" s="1"/>
  <c r="AY38" i="116"/>
  <c r="AV30" i="116"/>
  <c r="AW30" i="116" s="1"/>
  <c r="V45" i="115"/>
  <c r="AE45" i="115" s="1"/>
  <c r="V29" i="115"/>
  <c r="S29" i="115" s="1"/>
  <c r="AD29" i="115" s="1"/>
  <c r="BP45" i="115"/>
  <c r="BA39" i="115"/>
  <c r="AR39" i="115"/>
  <c r="AT40" i="115"/>
  <c r="BI39" i="115"/>
  <c r="AQ39" i="115"/>
  <c r="BC39" i="115"/>
  <c r="AP39" i="115"/>
  <c r="BE40" i="115"/>
  <c r="AI39" i="115"/>
  <c r="AH40" i="115"/>
  <c r="BE16" i="115"/>
  <c r="AH16" i="115"/>
  <c r="BA15" i="115"/>
  <c r="AR15" i="115"/>
  <c r="AP15" i="115"/>
  <c r="AT16" i="115"/>
  <c r="AI15" i="115"/>
  <c r="BI15" i="115"/>
  <c r="BC15" i="115"/>
  <c r="AQ15" i="115"/>
  <c r="BP37" i="115"/>
  <c r="AV38" i="115"/>
  <c r="AW38" i="115" s="1"/>
  <c r="AY38" i="115"/>
  <c r="AC21" i="114"/>
  <c r="BJ18" i="114"/>
  <c r="U18" i="114" s="1"/>
  <c r="BJ16" i="114"/>
  <c r="U16" i="114" s="1"/>
  <c r="BP17" i="114"/>
  <c r="BP20" i="114"/>
  <c r="BE15" i="114"/>
  <c r="BI14" i="114"/>
  <c r="BC14" i="114"/>
  <c r="BD14" i="114" s="1"/>
  <c r="BF14" i="114" s="1"/>
  <c r="AI14" i="114"/>
  <c r="AV14" i="114" s="1"/>
  <c r="AW14" i="114" s="1"/>
  <c r="AP14" i="114"/>
  <c r="AK14" i="114" s="1"/>
  <c r="AR14" i="114"/>
  <c r="BA14" i="114"/>
  <c r="AJ14" i="114" s="1"/>
  <c r="AT15" i="114"/>
  <c r="AQ14" i="114"/>
  <c r="BJ15" i="114"/>
  <c r="U15" i="114" s="1"/>
  <c r="BK15" i="114"/>
  <c r="V15" i="114" s="1"/>
  <c r="BB14" i="114"/>
  <c r="BE25" i="114"/>
  <c r="AP24" i="114"/>
  <c r="AT25" i="114"/>
  <c r="AH15" i="114"/>
  <c r="BP18" i="114"/>
  <c r="BP37" i="114"/>
  <c r="BP14" i="114"/>
  <c r="BO14" i="114"/>
  <c r="BN14" i="114"/>
  <c r="BO20" i="114"/>
  <c r="O21" i="114"/>
  <c r="BB16" i="114"/>
  <c r="AJ16" i="114"/>
  <c r="BK17" i="114"/>
  <c r="V17" i="114" s="1"/>
  <c r="BP16" i="114"/>
  <c r="BP15" i="114"/>
  <c r="BC40" i="114"/>
  <c r="AP40" i="114"/>
  <c r="BE41" i="114"/>
  <c r="AH41" i="114"/>
  <c r="AI40" i="114"/>
  <c r="AT41" i="114"/>
  <c r="AQ40" i="114"/>
  <c r="BI40" i="114"/>
  <c r="BA40" i="114"/>
  <c r="AR40" i="114"/>
  <c r="BP19" i="114"/>
  <c r="BJ14" i="114"/>
  <c r="BK14" i="114" s="1"/>
  <c r="V14" i="114" s="1"/>
  <c r="BJ20" i="114"/>
  <c r="U20" i="114" s="1"/>
  <c r="AL21" i="114"/>
  <c r="T21" i="114" s="1"/>
  <c r="BO17" i="114"/>
  <c r="BJ17" i="114"/>
  <c r="U17" i="114" s="1"/>
  <c r="AY38" i="114"/>
  <c r="AV38" i="114"/>
  <c r="AW38" i="114" s="1"/>
  <c r="BC31" i="114"/>
  <c r="AP31" i="114"/>
  <c r="BE32" i="114"/>
  <c r="AH32" i="114"/>
  <c r="BA31" i="114"/>
  <c r="AR31" i="114"/>
  <c r="BI31" i="114"/>
  <c r="AT32" i="114"/>
  <c r="AI31" i="114"/>
  <c r="AQ31" i="114"/>
  <c r="AJ15" i="114"/>
  <c r="BB15" i="114"/>
  <c r="BO19" i="114"/>
  <c r="BK18" i="114"/>
  <c r="V18" i="114" s="1"/>
  <c r="AP15" i="113"/>
  <c r="AK15" i="113" s="1"/>
  <c r="AR15" i="113"/>
  <c r="U14" i="113"/>
  <c r="AQ15" i="113"/>
  <c r="AT16" i="113"/>
  <c r="AH16" i="113"/>
  <c r="BE17" i="113" s="1"/>
  <c r="AI15" i="113"/>
  <c r="BI15" i="113"/>
  <c r="V37" i="113"/>
  <c r="V45" i="113"/>
  <c r="W45" i="113" s="1"/>
  <c r="AD45" i="113"/>
  <c r="BP45" i="113"/>
  <c r="BP29" i="113"/>
  <c r="AL21" i="113"/>
  <c r="T21" i="113" s="1"/>
  <c r="AD37" i="113"/>
  <c r="BP37" i="113"/>
  <c r="AV38" i="113"/>
  <c r="AW38" i="113" s="1"/>
  <c r="AY38" i="113"/>
  <c r="AV31" i="113"/>
  <c r="AW31" i="113" s="1"/>
  <c r="AY31" i="113"/>
  <c r="AY23" i="113"/>
  <c r="AV23" i="113"/>
  <c r="AW23" i="113" s="1"/>
  <c r="BC24" i="113"/>
  <c r="BE25" i="113"/>
  <c r="AR24" i="113"/>
  <c r="AQ24" i="113"/>
  <c r="BA39" i="113"/>
  <c r="AR39" i="113"/>
  <c r="AT40" i="113"/>
  <c r="BI39" i="113"/>
  <c r="AQ39" i="113"/>
  <c r="BC39" i="113"/>
  <c r="AP39" i="113"/>
  <c r="AH40" i="113"/>
  <c r="AI39" i="113"/>
  <c r="BE40" i="113"/>
  <c r="AV14" i="113"/>
  <c r="AW14" i="113" s="1"/>
  <c r="AY14" i="113"/>
  <c r="AD37" i="122" l="1"/>
  <c r="AL37" i="122"/>
  <c r="T37" i="122" s="1"/>
  <c r="BE33" i="133"/>
  <c r="BI32" i="133"/>
  <c r="AI32" i="133"/>
  <c r="AR32" i="133"/>
  <c r="AQ32" i="133"/>
  <c r="BA32" i="133"/>
  <c r="AP32" i="133"/>
  <c r="AK32" i="133" s="1"/>
  <c r="U37" i="133"/>
  <c r="BQ37" i="133" s="1"/>
  <c r="BC32" i="133"/>
  <c r="AI16" i="129"/>
  <c r="AH17" i="129"/>
  <c r="AP16" i="129"/>
  <c r="BC16" i="129"/>
  <c r="BI32" i="124"/>
  <c r="AT33" i="124"/>
  <c r="AK15" i="116"/>
  <c r="AK30" i="115"/>
  <c r="AY31" i="115"/>
  <c r="AS31" i="115"/>
  <c r="AU31" i="115" s="1"/>
  <c r="AV31" i="115" s="1"/>
  <c r="AW31" i="115" s="1"/>
  <c r="AK31" i="115"/>
  <c r="V21" i="116"/>
  <c r="BE33" i="113"/>
  <c r="U37" i="113"/>
  <c r="BQ37" i="113" s="1"/>
  <c r="BA24" i="114"/>
  <c r="AQ24" i="114"/>
  <c r="AI24" i="114"/>
  <c r="AY24" i="114" s="1"/>
  <c r="BC24" i="114"/>
  <c r="AH25" i="114"/>
  <c r="BA25" i="114" s="1"/>
  <c r="BI24" i="114"/>
  <c r="V21" i="117"/>
  <c r="AI16" i="117"/>
  <c r="BA16" i="117"/>
  <c r="U37" i="117"/>
  <c r="BQ37" i="117" s="1"/>
  <c r="U45" i="117"/>
  <c r="W45" i="117" s="1"/>
  <c r="AV31" i="117"/>
  <c r="AW31" i="117" s="1"/>
  <c r="BA24" i="119"/>
  <c r="BC24" i="119"/>
  <c r="AI24" i="119"/>
  <c r="AY24" i="119" s="1"/>
  <c r="BI24" i="119"/>
  <c r="AH25" i="119"/>
  <c r="AT26" i="119" s="1"/>
  <c r="AQ24" i="119"/>
  <c r="AR24" i="119"/>
  <c r="AP24" i="119"/>
  <c r="BE25" i="119"/>
  <c r="U37" i="120"/>
  <c r="BQ37" i="120" s="1"/>
  <c r="AP32" i="122"/>
  <c r="AT33" i="122"/>
  <c r="U29" i="122"/>
  <c r="W29" i="122" s="1"/>
  <c r="AQ24" i="123"/>
  <c r="BI24" i="123"/>
  <c r="AP24" i="123"/>
  <c r="AR24" i="123"/>
  <c r="AT25" i="123"/>
  <c r="BA24" i="123"/>
  <c r="BE33" i="124"/>
  <c r="AR32" i="124"/>
  <c r="AI32" i="124"/>
  <c r="AY32" i="124" s="1"/>
  <c r="AH33" i="124"/>
  <c r="BE34" i="124" s="1"/>
  <c r="AP32" i="124"/>
  <c r="BA32" i="124"/>
  <c r="BC32" i="124"/>
  <c r="U29" i="124"/>
  <c r="BQ29" i="124" s="1"/>
  <c r="AQ16" i="129"/>
  <c r="BI16" i="129"/>
  <c r="V21" i="132"/>
  <c r="U21" i="132"/>
  <c r="BQ21" i="132" s="1"/>
  <c r="AV23" i="131"/>
  <c r="AW23" i="131" s="1"/>
  <c r="U21" i="131"/>
  <c r="V21" i="133"/>
  <c r="AV31" i="132"/>
  <c r="AW31" i="132" s="1"/>
  <c r="U29" i="132"/>
  <c r="BQ29" i="132" s="1"/>
  <c r="BI24" i="133"/>
  <c r="AQ24" i="133"/>
  <c r="V29" i="133"/>
  <c r="S29" i="133" s="1"/>
  <c r="W29" i="133" s="1"/>
  <c r="AV23" i="133"/>
  <c r="AW23" i="133" s="1"/>
  <c r="AT25" i="133"/>
  <c r="BC24" i="133"/>
  <c r="BE25" i="133"/>
  <c r="U29" i="120"/>
  <c r="BQ29" i="120" s="1"/>
  <c r="U29" i="118"/>
  <c r="BQ29" i="118" s="1"/>
  <c r="BC24" i="118"/>
  <c r="AR24" i="118"/>
  <c r="BA24" i="118"/>
  <c r="AI24" i="118"/>
  <c r="AV24" i="118" s="1"/>
  <c r="AW24" i="118" s="1"/>
  <c r="BI24" i="118"/>
  <c r="AH25" i="118"/>
  <c r="BE26" i="118" s="1"/>
  <c r="AT25" i="118"/>
  <c r="BE25" i="118"/>
  <c r="AQ24" i="118"/>
  <c r="U21" i="118"/>
  <c r="BQ21" i="118" s="1"/>
  <c r="AT33" i="117"/>
  <c r="BI32" i="117"/>
  <c r="W37" i="117"/>
  <c r="U37" i="116"/>
  <c r="BQ37" i="116" s="1"/>
  <c r="U29" i="116"/>
  <c r="BQ29" i="116" s="1"/>
  <c r="AQ16" i="116"/>
  <c r="AI16" i="116"/>
  <c r="AT17" i="116"/>
  <c r="AP16" i="116"/>
  <c r="AR16" i="116"/>
  <c r="BE17" i="116"/>
  <c r="AH17" i="116"/>
  <c r="BC17" i="116" s="1"/>
  <c r="AV23" i="114"/>
  <c r="AW23" i="114" s="1"/>
  <c r="AI24" i="113"/>
  <c r="AY24" i="113" s="1"/>
  <c r="AI32" i="113"/>
  <c r="AY32" i="113" s="1"/>
  <c r="AQ32" i="113"/>
  <c r="BI32" i="113"/>
  <c r="AR32" i="113"/>
  <c r="U19" i="113"/>
  <c r="U21" i="113" s="1"/>
  <c r="AP32" i="113"/>
  <c r="BA32" i="113"/>
  <c r="BC32" i="113"/>
  <c r="AH33" i="113"/>
  <c r="BE34" i="113" s="1"/>
  <c r="BI24" i="113"/>
  <c r="AH25" i="113"/>
  <c r="AT25" i="113"/>
  <c r="AP24" i="113"/>
  <c r="AR32" i="132"/>
  <c r="AH33" i="132"/>
  <c r="BI33" i="132" s="1"/>
  <c r="BE17" i="129"/>
  <c r="AV15" i="129"/>
  <c r="AW15" i="129" s="1"/>
  <c r="U21" i="127"/>
  <c r="BQ21" i="127" s="1"/>
  <c r="AV31" i="125"/>
  <c r="AW31" i="125" s="1"/>
  <c r="U21" i="124"/>
  <c r="AE21" i="124" s="1"/>
  <c r="U37" i="123"/>
  <c r="BQ37" i="123" s="1"/>
  <c r="AQ32" i="122"/>
  <c r="BE17" i="117"/>
  <c r="AI24" i="115"/>
  <c r="AV24" i="115" s="1"/>
  <c r="AW24" i="115" s="1"/>
  <c r="AP24" i="115"/>
  <c r="AV23" i="115"/>
  <c r="AW23" i="115" s="1"/>
  <c r="U29" i="114"/>
  <c r="BQ29" i="114" s="1"/>
  <c r="BE33" i="132"/>
  <c r="BC32" i="132"/>
  <c r="AT33" i="132"/>
  <c r="AQ32" i="132"/>
  <c r="W37" i="130"/>
  <c r="U37" i="129"/>
  <c r="BQ37" i="129" s="1"/>
  <c r="U37" i="128"/>
  <c r="BQ37" i="128" s="1"/>
  <c r="U29" i="128"/>
  <c r="AE29" i="128" s="1"/>
  <c r="U37" i="127"/>
  <c r="BQ37" i="127" s="1"/>
  <c r="BC16" i="128"/>
  <c r="AI16" i="128"/>
  <c r="AY16" i="128" s="1"/>
  <c r="AP16" i="128"/>
  <c r="AQ16" i="128"/>
  <c r="AR16" i="128"/>
  <c r="BA16" i="128"/>
  <c r="U21" i="128"/>
  <c r="BQ21" i="128" s="1"/>
  <c r="BD15" i="126"/>
  <c r="BF15" i="126" s="1"/>
  <c r="AS15" i="126"/>
  <c r="AU15" i="126" s="1"/>
  <c r="U37" i="125"/>
  <c r="W37" i="125" s="1"/>
  <c r="S46" i="125"/>
  <c r="BC16" i="122"/>
  <c r="U37" i="121"/>
  <c r="BQ37" i="121" s="1"/>
  <c r="U21" i="120"/>
  <c r="BQ21" i="120" s="1"/>
  <c r="U37" i="119"/>
  <c r="BQ37" i="119" s="1"/>
  <c r="U37" i="118"/>
  <c r="BQ37" i="118" s="1"/>
  <c r="AI32" i="115"/>
  <c r="BI16" i="116"/>
  <c r="U37" i="114"/>
  <c r="W37" i="114" s="1"/>
  <c r="T46" i="114"/>
  <c r="U29" i="113"/>
  <c r="W29" i="113" s="1"/>
  <c r="AY15" i="113"/>
  <c r="AS15" i="113"/>
  <c r="AU15" i="113" s="1"/>
  <c r="AV15" i="113" s="1"/>
  <c r="AW15" i="113" s="1"/>
  <c r="BK15" i="113"/>
  <c r="V15" i="113" s="1"/>
  <c r="AT25" i="131"/>
  <c r="AP24" i="131"/>
  <c r="AI24" i="131"/>
  <c r="AY24" i="131" s="1"/>
  <c r="AQ24" i="131"/>
  <c r="BE25" i="131"/>
  <c r="BC24" i="131"/>
  <c r="BI24" i="131"/>
  <c r="AH25" i="131"/>
  <c r="AI25" i="131" s="1"/>
  <c r="AR24" i="131"/>
  <c r="U29" i="131"/>
  <c r="BQ29" i="131" s="1"/>
  <c r="U37" i="131"/>
  <c r="BQ37" i="131" s="1"/>
  <c r="S21" i="131"/>
  <c r="AD21" i="131" s="1"/>
  <c r="AE21" i="131" s="1"/>
  <c r="BA32" i="132"/>
  <c r="AI32" i="132"/>
  <c r="AY32" i="132" s="1"/>
  <c r="BI32" i="132"/>
  <c r="AR32" i="115"/>
  <c r="BC16" i="116"/>
  <c r="S21" i="133"/>
  <c r="AD21" i="133" s="1"/>
  <c r="S21" i="132"/>
  <c r="S21" i="130"/>
  <c r="AD21" i="130" s="1"/>
  <c r="U21" i="129"/>
  <c r="BQ21" i="129" s="1"/>
  <c r="S21" i="129"/>
  <c r="AD21" i="129" s="1"/>
  <c r="S21" i="128"/>
  <c r="BI16" i="128"/>
  <c r="AH17" i="128"/>
  <c r="AT18" i="128" s="1"/>
  <c r="AT17" i="128"/>
  <c r="AV15" i="127"/>
  <c r="AW15" i="127" s="1"/>
  <c r="S21" i="126"/>
  <c r="W21" i="126" s="1"/>
  <c r="U37" i="124"/>
  <c r="BQ37" i="124" s="1"/>
  <c r="S46" i="124"/>
  <c r="S21" i="123"/>
  <c r="AI32" i="122"/>
  <c r="AY32" i="122" s="1"/>
  <c r="BI32" i="122"/>
  <c r="AH33" i="122"/>
  <c r="AT34" i="122" s="1"/>
  <c r="BC32" i="122"/>
  <c r="BE33" i="122"/>
  <c r="AR32" i="122"/>
  <c r="U21" i="123"/>
  <c r="S21" i="122"/>
  <c r="U21" i="122"/>
  <c r="BQ21" i="122" s="1"/>
  <c r="S21" i="121"/>
  <c r="AD21" i="121" s="1"/>
  <c r="U21" i="121"/>
  <c r="S21" i="120"/>
  <c r="AD21" i="120" s="1"/>
  <c r="S21" i="119"/>
  <c r="AD21" i="119" s="1"/>
  <c r="S21" i="118"/>
  <c r="S21" i="117"/>
  <c r="AT17" i="117"/>
  <c r="AP16" i="117"/>
  <c r="BI16" i="117"/>
  <c r="AQ16" i="117"/>
  <c r="S21" i="116"/>
  <c r="AD21" i="116" s="1"/>
  <c r="W37" i="115"/>
  <c r="BC32" i="115"/>
  <c r="BP21" i="113"/>
  <c r="W45" i="120"/>
  <c r="AE45" i="120"/>
  <c r="BQ29" i="117"/>
  <c r="W29" i="117"/>
  <c r="AE29" i="117"/>
  <c r="W45" i="121"/>
  <c r="AE45" i="121"/>
  <c r="W45" i="114"/>
  <c r="AE45" i="114"/>
  <c r="AE45" i="113"/>
  <c r="AH25" i="115"/>
  <c r="BI25" i="115" s="1"/>
  <c r="U21" i="117"/>
  <c r="U46" i="117" s="1"/>
  <c r="U21" i="133"/>
  <c r="U29" i="125"/>
  <c r="AE29" i="125" s="1"/>
  <c r="U21" i="125"/>
  <c r="W45" i="118"/>
  <c r="AT25" i="115"/>
  <c r="W45" i="129"/>
  <c r="U29" i="115"/>
  <c r="BQ29" i="115" s="1"/>
  <c r="U29" i="119"/>
  <c r="BQ29" i="119" s="1"/>
  <c r="AY39" i="122"/>
  <c r="AV39" i="122"/>
  <c r="AW39" i="122" s="1"/>
  <c r="AQ24" i="115"/>
  <c r="BE25" i="115"/>
  <c r="AE45" i="124"/>
  <c r="V46" i="125"/>
  <c r="AR24" i="115"/>
  <c r="BC24" i="115"/>
  <c r="AE45" i="125"/>
  <c r="AE29" i="126"/>
  <c r="W29" i="126"/>
  <c r="W45" i="132"/>
  <c r="AD29" i="113"/>
  <c r="BI24" i="115"/>
  <c r="AL29" i="133"/>
  <c r="T29" i="133" s="1"/>
  <c r="T46" i="133" s="1"/>
  <c r="BQ29" i="133"/>
  <c r="AE45" i="133"/>
  <c r="AD29" i="132"/>
  <c r="S37" i="131"/>
  <c r="W45" i="131"/>
  <c r="AL29" i="130"/>
  <c r="T29" i="130" s="1"/>
  <c r="T46" i="130" s="1"/>
  <c r="AD29" i="130"/>
  <c r="AE29" i="130" s="1"/>
  <c r="BQ29" i="130"/>
  <c r="W29" i="130"/>
  <c r="S29" i="129"/>
  <c r="AD29" i="127"/>
  <c r="AE29" i="127" s="1"/>
  <c r="W29" i="127"/>
  <c r="V46" i="127"/>
  <c r="S21" i="127"/>
  <c r="AL21" i="126"/>
  <c r="T21" i="126" s="1"/>
  <c r="T46" i="126" s="1"/>
  <c r="S46" i="126"/>
  <c r="V46" i="126"/>
  <c r="AL29" i="124"/>
  <c r="T29" i="124" s="1"/>
  <c r="T46" i="124" s="1"/>
  <c r="AD29" i="124"/>
  <c r="V46" i="124"/>
  <c r="U29" i="123"/>
  <c r="W29" i="123" s="1"/>
  <c r="AD29" i="123"/>
  <c r="AL29" i="121"/>
  <c r="T29" i="121" s="1"/>
  <c r="T46" i="121" s="1"/>
  <c r="AD29" i="121"/>
  <c r="AE29" i="121" s="1"/>
  <c r="W29" i="121"/>
  <c r="S29" i="120"/>
  <c r="V46" i="119"/>
  <c r="AD29" i="119"/>
  <c r="AL29" i="119"/>
  <c r="T29" i="119" s="1"/>
  <c r="T46" i="119" s="1"/>
  <c r="AL29" i="116"/>
  <c r="T29" i="116" s="1"/>
  <c r="T46" i="116" s="1"/>
  <c r="AD29" i="116"/>
  <c r="W29" i="116"/>
  <c r="AL29" i="115"/>
  <c r="T29" i="115" s="1"/>
  <c r="BK18" i="113"/>
  <c r="V18" i="113" s="1"/>
  <c r="U21" i="130"/>
  <c r="U46" i="130" s="1"/>
  <c r="V46" i="129"/>
  <c r="AY15" i="128"/>
  <c r="AQ16" i="122"/>
  <c r="BA16" i="122"/>
  <c r="AI16" i="122"/>
  <c r="AY16" i="122" s="1"/>
  <c r="BI16" i="122"/>
  <c r="BE17" i="122"/>
  <c r="AR16" i="122"/>
  <c r="AP16" i="122"/>
  <c r="V46" i="120"/>
  <c r="BC32" i="118"/>
  <c r="BA32" i="118"/>
  <c r="AI32" i="118"/>
  <c r="AY32" i="118" s="1"/>
  <c r="AP32" i="118"/>
  <c r="BI32" i="118"/>
  <c r="AT33" i="118"/>
  <c r="AH33" i="118"/>
  <c r="AT34" i="118" s="1"/>
  <c r="BE33" i="118"/>
  <c r="AQ32" i="118"/>
  <c r="AI32" i="117"/>
  <c r="AY32" i="117" s="1"/>
  <c r="AH33" i="117"/>
  <c r="AI33" i="117" s="1"/>
  <c r="AR32" i="117"/>
  <c r="BE33" i="117"/>
  <c r="V46" i="118"/>
  <c r="AQ32" i="117"/>
  <c r="BA32" i="117"/>
  <c r="AH17" i="117"/>
  <c r="BC17" i="117" s="1"/>
  <c r="BC16" i="117"/>
  <c r="U21" i="116"/>
  <c r="AE37" i="113"/>
  <c r="W37" i="132"/>
  <c r="AE37" i="132"/>
  <c r="V46" i="131"/>
  <c r="BQ21" i="131"/>
  <c r="V46" i="128"/>
  <c r="W37" i="126"/>
  <c r="AE37" i="126"/>
  <c r="U46" i="126"/>
  <c r="AI16" i="127"/>
  <c r="AY16" i="127" s="1"/>
  <c r="AT17" i="127"/>
  <c r="AR16" i="127"/>
  <c r="AH17" i="127"/>
  <c r="BI17" i="127" s="1"/>
  <c r="AP16" i="127"/>
  <c r="BA16" i="127"/>
  <c r="AQ16" i="127"/>
  <c r="BC16" i="127"/>
  <c r="BE17" i="127"/>
  <c r="T46" i="123"/>
  <c r="AY31" i="122"/>
  <c r="AE37" i="122"/>
  <c r="W37" i="122"/>
  <c r="AT17" i="122"/>
  <c r="AV15" i="122"/>
  <c r="AW15" i="122" s="1"/>
  <c r="V46" i="121"/>
  <c r="U21" i="119"/>
  <c r="AV31" i="118"/>
  <c r="AW31" i="118" s="1"/>
  <c r="T46" i="118"/>
  <c r="AE37" i="117"/>
  <c r="AT17" i="118"/>
  <c r="AH17" i="118"/>
  <c r="BA17" i="118" s="1"/>
  <c r="AP16" i="118"/>
  <c r="AR16" i="118"/>
  <c r="BE17" i="118"/>
  <c r="AQ16" i="118"/>
  <c r="BA16" i="118"/>
  <c r="BC16" i="118"/>
  <c r="BI16" i="118"/>
  <c r="AV15" i="117"/>
  <c r="AW15" i="117" s="1"/>
  <c r="AH33" i="115"/>
  <c r="AQ33" i="115" s="1"/>
  <c r="AQ32" i="115"/>
  <c r="BA32" i="115"/>
  <c r="AE37" i="115"/>
  <c r="BE33" i="115"/>
  <c r="BI32" i="115"/>
  <c r="AP32" i="115"/>
  <c r="V46" i="116"/>
  <c r="S21" i="115"/>
  <c r="W21" i="115" s="1"/>
  <c r="BQ21" i="115"/>
  <c r="V46" i="115"/>
  <c r="BA16" i="113"/>
  <c r="AY24" i="133"/>
  <c r="AV24" i="133"/>
  <c r="AW24" i="133" s="1"/>
  <c r="AT41" i="133"/>
  <c r="BI40" i="133"/>
  <c r="AQ40" i="133"/>
  <c r="BC40" i="133"/>
  <c r="AP40" i="133"/>
  <c r="AR40" i="133"/>
  <c r="AI40" i="133"/>
  <c r="AH41" i="133"/>
  <c r="BA40" i="133"/>
  <c r="BE41" i="133"/>
  <c r="AY15" i="133"/>
  <c r="AV15" i="133"/>
  <c r="AW15" i="133" s="1"/>
  <c r="BA16" i="133"/>
  <c r="AR16" i="133"/>
  <c r="AI16" i="133"/>
  <c r="AT17" i="133"/>
  <c r="BI16" i="133"/>
  <c r="AQ16" i="133"/>
  <c r="BE17" i="133"/>
  <c r="AH17" i="133"/>
  <c r="BC16" i="133"/>
  <c r="AP16" i="133"/>
  <c r="AK16" i="133" s="1"/>
  <c r="AT34" i="133"/>
  <c r="BE34" i="133"/>
  <c r="AH34" i="133"/>
  <c r="BI33" i="133"/>
  <c r="AQ33" i="133"/>
  <c r="BC33" i="133"/>
  <c r="AP33" i="133"/>
  <c r="AK33" i="133" s="1"/>
  <c r="BA33" i="133"/>
  <c r="AR33" i="133"/>
  <c r="AI33" i="133"/>
  <c r="BE26" i="133"/>
  <c r="AH26" i="133"/>
  <c r="AI25" i="133"/>
  <c r="BI25" i="133"/>
  <c r="BC25" i="133"/>
  <c r="AR25" i="133"/>
  <c r="BA25" i="133"/>
  <c r="AQ25" i="133"/>
  <c r="AT26" i="133"/>
  <c r="AP25" i="133"/>
  <c r="AK25" i="133" s="1"/>
  <c r="AY39" i="133"/>
  <c r="AV39" i="133"/>
  <c r="AW39" i="133" s="1"/>
  <c r="W45" i="133"/>
  <c r="AY32" i="133"/>
  <c r="AV32" i="133"/>
  <c r="AW32" i="133" s="1"/>
  <c r="V46" i="132"/>
  <c r="AT41" i="132"/>
  <c r="BI40" i="132"/>
  <c r="AQ40" i="132"/>
  <c r="BC40" i="132"/>
  <c r="AP40" i="132"/>
  <c r="BE41" i="132"/>
  <c r="AH41" i="132"/>
  <c r="AI40" i="132"/>
  <c r="BA40" i="132"/>
  <c r="AR40" i="132"/>
  <c r="AE45" i="132"/>
  <c r="AY39" i="132"/>
  <c r="AV39" i="132"/>
  <c r="AW39" i="132" s="1"/>
  <c r="BE25" i="132"/>
  <c r="AH25" i="132"/>
  <c r="BA24" i="132"/>
  <c r="AR24" i="132"/>
  <c r="AI24" i="132"/>
  <c r="AT25" i="132"/>
  <c r="BI24" i="132"/>
  <c r="BC24" i="132"/>
  <c r="AQ24" i="132"/>
  <c r="AP24" i="132"/>
  <c r="AY15" i="132"/>
  <c r="AV15" i="132"/>
  <c r="AW15" i="132" s="1"/>
  <c r="AY23" i="132"/>
  <c r="AV23" i="132"/>
  <c r="AW23" i="132" s="1"/>
  <c r="BA16" i="132"/>
  <c r="AR16" i="132"/>
  <c r="AT17" i="132"/>
  <c r="BI16" i="132"/>
  <c r="AQ16" i="132"/>
  <c r="BC16" i="132"/>
  <c r="AP16" i="132"/>
  <c r="AK16" i="132" s="1"/>
  <c r="BE17" i="132"/>
  <c r="AH17" i="132"/>
  <c r="AI16" i="132"/>
  <c r="BE26" i="131"/>
  <c r="AH26" i="131"/>
  <c r="AR25" i="131"/>
  <c r="BA25" i="131"/>
  <c r="AQ25" i="131"/>
  <c r="AY31" i="131"/>
  <c r="AV31" i="131"/>
  <c r="AW31" i="131" s="1"/>
  <c r="AE45" i="131"/>
  <c r="AY15" i="131"/>
  <c r="AV15" i="131"/>
  <c r="AW15" i="131" s="1"/>
  <c r="BE33" i="131"/>
  <c r="BA32" i="131"/>
  <c r="AR32" i="131"/>
  <c r="AT33" i="131"/>
  <c r="BI32" i="131"/>
  <c r="AQ32" i="131"/>
  <c r="BC32" i="131"/>
  <c r="AP32" i="131"/>
  <c r="AK32" i="131" s="1"/>
  <c r="AH33" i="131"/>
  <c r="AI32" i="131"/>
  <c r="AT41" i="131"/>
  <c r="BI40" i="131"/>
  <c r="AQ40" i="131"/>
  <c r="BC40" i="131"/>
  <c r="AP40" i="131"/>
  <c r="BE41" i="131"/>
  <c r="AH41" i="131"/>
  <c r="AI40" i="131"/>
  <c r="BA40" i="131"/>
  <c r="AR40" i="131"/>
  <c r="BC16" i="131"/>
  <c r="AP16" i="131"/>
  <c r="BA16" i="131"/>
  <c r="BE17" i="131"/>
  <c r="AT17" i="131"/>
  <c r="BI16" i="131"/>
  <c r="AR16" i="131"/>
  <c r="AH17" i="131"/>
  <c r="AQ16" i="131"/>
  <c r="AI16" i="131"/>
  <c r="AY39" i="131"/>
  <c r="AV39" i="131"/>
  <c r="AW39" i="131" s="1"/>
  <c r="AY39" i="130"/>
  <c r="AV39" i="130"/>
  <c r="AW39" i="130" s="1"/>
  <c r="BE17" i="130"/>
  <c r="AH17" i="130"/>
  <c r="BI16" i="130"/>
  <c r="AQ16" i="130"/>
  <c r="BC16" i="130"/>
  <c r="AP16" i="130"/>
  <c r="AT17" i="130"/>
  <c r="AI16" i="130"/>
  <c r="BA16" i="130"/>
  <c r="AR16" i="130"/>
  <c r="AT25" i="130"/>
  <c r="BI24" i="130"/>
  <c r="AQ24" i="130"/>
  <c r="BE25" i="130"/>
  <c r="AH25" i="130"/>
  <c r="AI24" i="130"/>
  <c r="BC24" i="130"/>
  <c r="AR24" i="130"/>
  <c r="BA24" i="130"/>
  <c r="AP24" i="130"/>
  <c r="AT41" i="130"/>
  <c r="BI40" i="130"/>
  <c r="AQ40" i="130"/>
  <c r="BC40" i="130"/>
  <c r="AP40" i="130"/>
  <c r="BE41" i="130"/>
  <c r="AH41" i="130"/>
  <c r="AI40" i="130"/>
  <c r="BA40" i="130"/>
  <c r="AR40" i="130"/>
  <c r="AY31" i="130"/>
  <c r="AV31" i="130"/>
  <c r="AW31" i="130" s="1"/>
  <c r="AY15" i="130"/>
  <c r="AV15" i="130"/>
  <c r="AW15" i="130" s="1"/>
  <c r="V46" i="130"/>
  <c r="AY23" i="130"/>
  <c r="AV23" i="130"/>
  <c r="AW23" i="130" s="1"/>
  <c r="AT33" i="130"/>
  <c r="BI32" i="130"/>
  <c r="AQ32" i="130"/>
  <c r="BC32" i="130"/>
  <c r="AP32" i="130"/>
  <c r="BE33" i="130"/>
  <c r="AH33" i="130"/>
  <c r="AI32" i="130"/>
  <c r="AR32" i="130"/>
  <c r="BA32" i="130"/>
  <c r="AE37" i="130"/>
  <c r="AT33" i="129"/>
  <c r="BI32" i="129"/>
  <c r="AQ32" i="129"/>
  <c r="BC32" i="129"/>
  <c r="AP32" i="129"/>
  <c r="BE33" i="129"/>
  <c r="AH33" i="129"/>
  <c r="AI32" i="129"/>
  <c r="AR32" i="129"/>
  <c r="BA32" i="129"/>
  <c r="AY39" i="129"/>
  <c r="AV39" i="129"/>
  <c r="AW39" i="129" s="1"/>
  <c r="AT41" i="129"/>
  <c r="BI40" i="129"/>
  <c r="AQ40" i="129"/>
  <c r="BC40" i="129"/>
  <c r="AP40" i="129"/>
  <c r="BE41" i="129"/>
  <c r="AH41" i="129"/>
  <c r="AI40" i="129"/>
  <c r="BA40" i="129"/>
  <c r="AR40" i="129"/>
  <c r="BE26" i="129"/>
  <c r="AH26" i="129"/>
  <c r="AI25" i="129"/>
  <c r="BA25" i="129"/>
  <c r="AR25" i="129"/>
  <c r="AT26" i="129"/>
  <c r="BC25" i="129"/>
  <c r="BI25" i="129"/>
  <c r="AQ25" i="129"/>
  <c r="AP25" i="129"/>
  <c r="AY31" i="129"/>
  <c r="AV31" i="129"/>
  <c r="AW31" i="129" s="1"/>
  <c r="AT18" i="129"/>
  <c r="BI17" i="129"/>
  <c r="AQ17" i="129"/>
  <c r="BC17" i="129"/>
  <c r="AP17" i="129"/>
  <c r="BE18" i="129"/>
  <c r="AH18" i="129"/>
  <c r="AI17" i="129"/>
  <c r="BA17" i="129"/>
  <c r="AR17" i="129"/>
  <c r="AE45" i="129"/>
  <c r="AY24" i="129"/>
  <c r="AV24" i="129"/>
  <c r="AW24" i="129" s="1"/>
  <c r="AY16" i="129"/>
  <c r="AV16" i="129"/>
  <c r="AW16" i="129" s="1"/>
  <c r="AY40" i="128"/>
  <c r="AV40" i="128"/>
  <c r="AW40" i="128" s="1"/>
  <c r="AY24" i="128"/>
  <c r="AV24" i="128"/>
  <c r="AW24" i="128" s="1"/>
  <c r="BE42" i="128"/>
  <c r="AH42" i="128"/>
  <c r="AI41" i="128"/>
  <c r="BA41" i="128"/>
  <c r="AR41" i="128"/>
  <c r="AT42" i="128"/>
  <c r="BC41" i="128"/>
  <c r="BI41" i="128"/>
  <c r="AQ41" i="128"/>
  <c r="AP41" i="128"/>
  <c r="BE33" i="128"/>
  <c r="AH33" i="128"/>
  <c r="AI32" i="128"/>
  <c r="BI32" i="128"/>
  <c r="BC32" i="128"/>
  <c r="AR32" i="128"/>
  <c r="BA32" i="128"/>
  <c r="AQ32" i="128"/>
  <c r="AP32" i="128"/>
  <c r="AT33" i="128"/>
  <c r="AY31" i="128"/>
  <c r="AV31" i="128"/>
  <c r="AW31" i="128" s="1"/>
  <c r="AT26" i="128"/>
  <c r="BI25" i="128"/>
  <c r="AQ25" i="128"/>
  <c r="BC25" i="128"/>
  <c r="AP25" i="128"/>
  <c r="AR25" i="128"/>
  <c r="AI25" i="128"/>
  <c r="BA25" i="128"/>
  <c r="BE26" i="128"/>
  <c r="AH26" i="128"/>
  <c r="BE33" i="127"/>
  <c r="AH33" i="127"/>
  <c r="AI32" i="127"/>
  <c r="BA32" i="127"/>
  <c r="AR32" i="127"/>
  <c r="AT33" i="127"/>
  <c r="BI32" i="127"/>
  <c r="AQ32" i="127"/>
  <c r="AP32" i="127"/>
  <c r="BC32" i="127"/>
  <c r="AT41" i="127"/>
  <c r="BI40" i="127"/>
  <c r="AQ40" i="127"/>
  <c r="BC40" i="127"/>
  <c r="AP40" i="127"/>
  <c r="BE41" i="127"/>
  <c r="AH41" i="127"/>
  <c r="AI40" i="127"/>
  <c r="BA40" i="127"/>
  <c r="AR40" i="127"/>
  <c r="AY23" i="127"/>
  <c r="AV23" i="127"/>
  <c r="AW23" i="127" s="1"/>
  <c r="AY39" i="127"/>
  <c r="AV39" i="127"/>
  <c r="AW39" i="127" s="1"/>
  <c r="BA24" i="127"/>
  <c r="AR24" i="127"/>
  <c r="AT25" i="127"/>
  <c r="BI24" i="127"/>
  <c r="AQ24" i="127"/>
  <c r="BC24" i="127"/>
  <c r="BE25" i="127"/>
  <c r="AP24" i="127"/>
  <c r="AH25" i="127"/>
  <c r="AI24" i="127"/>
  <c r="AY31" i="127"/>
  <c r="AV31" i="127"/>
  <c r="AW31" i="127" s="1"/>
  <c r="BE17" i="126"/>
  <c r="AH17" i="126"/>
  <c r="AI16" i="126"/>
  <c r="BA16" i="126"/>
  <c r="AR16" i="126"/>
  <c r="AT17" i="126"/>
  <c r="BI16" i="126"/>
  <c r="AQ16" i="126"/>
  <c r="BC16" i="126"/>
  <c r="AP16" i="126"/>
  <c r="AY31" i="126"/>
  <c r="AV31" i="126"/>
  <c r="AW31" i="126" s="1"/>
  <c r="BE33" i="126"/>
  <c r="AH33" i="126"/>
  <c r="AI32" i="126"/>
  <c r="BA32" i="126"/>
  <c r="AR32" i="126"/>
  <c r="AT33" i="126"/>
  <c r="BI32" i="126"/>
  <c r="AQ32" i="126"/>
  <c r="BC32" i="126"/>
  <c r="AP32" i="126"/>
  <c r="BE25" i="126"/>
  <c r="AH25" i="126"/>
  <c r="AT25" i="126"/>
  <c r="BI24" i="126"/>
  <c r="AQ24" i="126"/>
  <c r="AR24" i="126"/>
  <c r="BA24" i="126"/>
  <c r="AP24" i="126"/>
  <c r="AI24" i="126"/>
  <c r="BC24" i="126"/>
  <c r="Z16" i="126"/>
  <c r="A17" i="126"/>
  <c r="AY23" i="126"/>
  <c r="AV23" i="126"/>
  <c r="AW23" i="126" s="1"/>
  <c r="AT41" i="126"/>
  <c r="BI40" i="126"/>
  <c r="AQ40" i="126"/>
  <c r="BC40" i="126"/>
  <c r="AP40" i="126"/>
  <c r="BE41" i="126"/>
  <c r="AH41" i="126"/>
  <c r="AI40" i="126"/>
  <c r="BA40" i="126"/>
  <c r="AR40" i="126"/>
  <c r="AY15" i="126"/>
  <c r="AV15" i="126"/>
  <c r="AW15" i="126" s="1"/>
  <c r="AY39" i="126"/>
  <c r="AV39" i="126"/>
  <c r="AW39" i="126" s="1"/>
  <c r="AT41" i="125"/>
  <c r="BI40" i="125"/>
  <c r="AQ40" i="125"/>
  <c r="BC40" i="125"/>
  <c r="AP40" i="125"/>
  <c r="BE41" i="125"/>
  <c r="AH41" i="125"/>
  <c r="AI40" i="125"/>
  <c r="BA40" i="125"/>
  <c r="AR40" i="125"/>
  <c r="BE26" i="125"/>
  <c r="AH26" i="125"/>
  <c r="AI25" i="125"/>
  <c r="AT26" i="125"/>
  <c r="BI25" i="125"/>
  <c r="AQ25" i="125"/>
  <c r="BA25" i="125"/>
  <c r="AP25" i="125"/>
  <c r="BC25" i="125"/>
  <c r="AR25" i="125"/>
  <c r="AY24" i="125"/>
  <c r="AV24" i="125"/>
  <c r="AW24" i="125" s="1"/>
  <c r="AY15" i="125"/>
  <c r="AV15" i="125"/>
  <c r="AW15" i="125" s="1"/>
  <c r="AY32" i="125"/>
  <c r="AV32" i="125"/>
  <c r="AW32" i="125" s="1"/>
  <c r="AY39" i="125"/>
  <c r="AV39" i="125"/>
  <c r="AW39" i="125" s="1"/>
  <c r="BE17" i="125"/>
  <c r="AI16" i="125"/>
  <c r="AT17" i="125"/>
  <c r="AH17" i="125"/>
  <c r="BA16" i="125"/>
  <c r="AR16" i="125"/>
  <c r="BI16" i="125"/>
  <c r="AQ16" i="125"/>
  <c r="BC16" i="125"/>
  <c r="AP16" i="125"/>
  <c r="BE34" i="125"/>
  <c r="AH34" i="125"/>
  <c r="AI33" i="125"/>
  <c r="BA33" i="125"/>
  <c r="AR33" i="125"/>
  <c r="BI33" i="125"/>
  <c r="AQ33" i="125"/>
  <c r="AT34" i="125"/>
  <c r="BC33" i="125"/>
  <c r="AP33" i="125"/>
  <c r="AH34" i="124"/>
  <c r="AI33" i="124"/>
  <c r="AY24" i="124"/>
  <c r="AV24" i="124"/>
  <c r="AW24" i="124" s="1"/>
  <c r="AY15" i="124"/>
  <c r="AV15" i="124"/>
  <c r="AW15" i="124" s="1"/>
  <c r="BC40" i="124"/>
  <c r="AP40" i="124"/>
  <c r="BE41" i="124"/>
  <c r="AH41" i="124"/>
  <c r="AI40" i="124"/>
  <c r="BI40" i="124"/>
  <c r="BA40" i="124"/>
  <c r="AR40" i="124"/>
  <c r="AQ40" i="124"/>
  <c r="AT41" i="124"/>
  <c r="AT26" i="124"/>
  <c r="BE26" i="124"/>
  <c r="AH26" i="124"/>
  <c r="AI25" i="124"/>
  <c r="BI25" i="124"/>
  <c r="BC25" i="124"/>
  <c r="AR25" i="124"/>
  <c r="BA25" i="124"/>
  <c r="AQ25" i="124"/>
  <c r="AP25" i="124"/>
  <c r="BE17" i="124"/>
  <c r="AH17" i="124"/>
  <c r="BA16" i="124"/>
  <c r="AR16" i="124"/>
  <c r="AT17" i="124"/>
  <c r="BI16" i="124"/>
  <c r="AQ16" i="124"/>
  <c r="AP16" i="124"/>
  <c r="AI16" i="124"/>
  <c r="BC16" i="124"/>
  <c r="AY39" i="124"/>
  <c r="AV39" i="124"/>
  <c r="AW39" i="124" s="1"/>
  <c r="AY24" i="123"/>
  <c r="AV24" i="123"/>
  <c r="AW24" i="123" s="1"/>
  <c r="V46" i="123"/>
  <c r="BA25" i="123"/>
  <c r="AR25" i="123"/>
  <c r="AI25" i="123"/>
  <c r="BE26" i="123"/>
  <c r="BI25" i="123"/>
  <c r="BC25" i="123"/>
  <c r="AQ25" i="123"/>
  <c r="AP25" i="123"/>
  <c r="AT26" i="123"/>
  <c r="AH26" i="123"/>
  <c r="BC32" i="123"/>
  <c r="AP32" i="123"/>
  <c r="AH33" i="123"/>
  <c r="AI32" i="123"/>
  <c r="BE33" i="123"/>
  <c r="BI32" i="123"/>
  <c r="BA32" i="123"/>
  <c r="AR32" i="123"/>
  <c r="AT33" i="123"/>
  <c r="AQ32" i="123"/>
  <c r="AY31" i="123"/>
  <c r="AV31" i="123"/>
  <c r="AW31" i="123" s="1"/>
  <c r="AY39" i="123"/>
  <c r="AV39" i="123"/>
  <c r="AW39" i="123" s="1"/>
  <c r="W37" i="123"/>
  <c r="AT41" i="123"/>
  <c r="BI40" i="123"/>
  <c r="AQ40" i="123"/>
  <c r="BC40" i="123"/>
  <c r="AP40" i="123"/>
  <c r="BE41" i="123"/>
  <c r="AH41" i="123"/>
  <c r="AI40" i="123"/>
  <c r="BA40" i="123"/>
  <c r="AR40" i="123"/>
  <c r="BC16" i="123"/>
  <c r="AP16" i="123"/>
  <c r="BE17" i="123"/>
  <c r="AH17" i="123"/>
  <c r="AI16" i="123"/>
  <c r="BI16" i="123"/>
  <c r="BA16" i="123"/>
  <c r="AR16" i="123"/>
  <c r="AT17" i="123"/>
  <c r="AQ16" i="123"/>
  <c r="AY15" i="123"/>
  <c r="AV15" i="123"/>
  <c r="AW15" i="123" s="1"/>
  <c r="AT26" i="122"/>
  <c r="BI25" i="122"/>
  <c r="AQ25" i="122"/>
  <c r="AH26" i="122"/>
  <c r="BC25" i="122"/>
  <c r="BE26" i="122"/>
  <c r="AR25" i="122"/>
  <c r="BA25" i="122"/>
  <c r="AP25" i="122"/>
  <c r="AI25" i="122"/>
  <c r="BE18" i="122"/>
  <c r="AH18" i="122"/>
  <c r="AI17" i="122"/>
  <c r="BA17" i="122"/>
  <c r="AR17" i="122"/>
  <c r="AT18" i="122"/>
  <c r="BI17" i="122"/>
  <c r="AQ17" i="122"/>
  <c r="AP17" i="122"/>
  <c r="BC17" i="122"/>
  <c r="BE42" i="122"/>
  <c r="AH42" i="122"/>
  <c r="AI41" i="122"/>
  <c r="BI41" i="122"/>
  <c r="BC41" i="122"/>
  <c r="AR41" i="122"/>
  <c r="BA41" i="122"/>
  <c r="AQ41" i="122"/>
  <c r="AT42" i="122"/>
  <c r="AP41" i="122"/>
  <c r="AY40" i="122"/>
  <c r="AV40" i="122"/>
  <c r="AW40" i="122" s="1"/>
  <c r="AY24" i="122"/>
  <c r="AV24" i="122"/>
  <c r="AW24" i="122" s="1"/>
  <c r="V46" i="122"/>
  <c r="AY23" i="121"/>
  <c r="AV23" i="121"/>
  <c r="AW23" i="121" s="1"/>
  <c r="AY39" i="121"/>
  <c r="AV39" i="121"/>
  <c r="AW39" i="121" s="1"/>
  <c r="AY15" i="121"/>
  <c r="AV15" i="121"/>
  <c r="AW15" i="121" s="1"/>
  <c r="AT25" i="121"/>
  <c r="BI24" i="121"/>
  <c r="AQ24" i="121"/>
  <c r="BC24" i="121"/>
  <c r="AP24" i="121"/>
  <c r="BE25" i="121"/>
  <c r="AH25" i="121"/>
  <c r="AI24" i="121"/>
  <c r="BA24" i="121"/>
  <c r="AR24" i="121"/>
  <c r="AT41" i="121"/>
  <c r="BI40" i="121"/>
  <c r="AQ40" i="121"/>
  <c r="BC40" i="121"/>
  <c r="AP40" i="121"/>
  <c r="BE41" i="121"/>
  <c r="AH41" i="121"/>
  <c r="AI40" i="121"/>
  <c r="BA40" i="121"/>
  <c r="AR40" i="121"/>
  <c r="AY31" i="121"/>
  <c r="AV31" i="121"/>
  <c r="AW31" i="121" s="1"/>
  <c r="AT17" i="121"/>
  <c r="BI16" i="121"/>
  <c r="AQ16" i="121"/>
  <c r="BC16" i="121"/>
  <c r="AP16" i="121"/>
  <c r="BE17" i="121"/>
  <c r="AH17" i="121"/>
  <c r="BA16" i="121"/>
  <c r="AI16" i="121"/>
  <c r="AR16" i="121"/>
  <c r="AT33" i="121"/>
  <c r="BA32" i="121"/>
  <c r="AR32" i="121"/>
  <c r="BI32" i="121"/>
  <c r="AQ32" i="121"/>
  <c r="BE33" i="121"/>
  <c r="AP32" i="121"/>
  <c r="AI32" i="121"/>
  <c r="AH33" i="121"/>
  <c r="BC32" i="121"/>
  <c r="AY39" i="120"/>
  <c r="AV39" i="120"/>
  <c r="AW39" i="120" s="1"/>
  <c r="AY31" i="120"/>
  <c r="AV31" i="120"/>
  <c r="AW31" i="120" s="1"/>
  <c r="AT33" i="120"/>
  <c r="BI32" i="120"/>
  <c r="AQ32" i="120"/>
  <c r="BC32" i="120"/>
  <c r="AP32" i="120"/>
  <c r="BE33" i="120"/>
  <c r="AH33" i="120"/>
  <c r="AI32" i="120"/>
  <c r="BA32" i="120"/>
  <c r="AR32" i="120"/>
  <c r="AY23" i="120"/>
  <c r="AV23" i="120"/>
  <c r="AW23" i="120" s="1"/>
  <c r="AT41" i="120"/>
  <c r="BI40" i="120"/>
  <c r="AQ40" i="120"/>
  <c r="BC40" i="120"/>
  <c r="AP40" i="120"/>
  <c r="BE41" i="120"/>
  <c r="AH41" i="120"/>
  <c r="AI40" i="120"/>
  <c r="BA40" i="120"/>
  <c r="AR40" i="120"/>
  <c r="AY15" i="120"/>
  <c r="AV15" i="120"/>
  <c r="AW15" i="120" s="1"/>
  <c r="BC24" i="120"/>
  <c r="AP24" i="120"/>
  <c r="BE25" i="120"/>
  <c r="AH25" i="120"/>
  <c r="AI24" i="120"/>
  <c r="AT25" i="120"/>
  <c r="AQ24" i="120"/>
  <c r="BI24" i="120"/>
  <c r="BA24" i="120"/>
  <c r="AR24" i="120"/>
  <c r="AT17" i="120"/>
  <c r="BI16" i="120"/>
  <c r="AQ16" i="120"/>
  <c r="BC16" i="120"/>
  <c r="AP16" i="120"/>
  <c r="BE17" i="120"/>
  <c r="AH17" i="120"/>
  <c r="AI16" i="120"/>
  <c r="AR16" i="120"/>
  <c r="BA16" i="120"/>
  <c r="AT33" i="119"/>
  <c r="BI32" i="119"/>
  <c r="AQ32" i="119"/>
  <c r="AH33" i="119"/>
  <c r="BC32" i="119"/>
  <c r="BE33" i="119"/>
  <c r="BA32" i="119"/>
  <c r="AR32" i="119"/>
  <c r="AP32" i="119"/>
  <c r="AI32" i="119"/>
  <c r="AY39" i="119"/>
  <c r="AV39" i="119"/>
  <c r="AW39" i="119" s="1"/>
  <c r="AY15" i="119"/>
  <c r="AV15" i="119"/>
  <c r="AW15" i="119" s="1"/>
  <c r="BA25" i="119"/>
  <c r="AR25" i="119"/>
  <c r="AT41" i="119"/>
  <c r="BI40" i="119"/>
  <c r="AQ40" i="119"/>
  <c r="BC40" i="119"/>
  <c r="AP40" i="119"/>
  <c r="BE41" i="119"/>
  <c r="AH41" i="119"/>
  <c r="AI40" i="119"/>
  <c r="BA40" i="119"/>
  <c r="AR40" i="119"/>
  <c r="BA16" i="119"/>
  <c r="AR16" i="119"/>
  <c r="BE17" i="119"/>
  <c r="AH17" i="119"/>
  <c r="AT17" i="119"/>
  <c r="BI16" i="119"/>
  <c r="AQ16" i="119"/>
  <c r="BC16" i="119"/>
  <c r="AP16" i="119"/>
  <c r="AI16" i="119"/>
  <c r="AY31" i="119"/>
  <c r="AV31" i="119"/>
  <c r="AW31" i="119" s="1"/>
  <c r="AY16" i="118"/>
  <c r="AV16" i="118"/>
  <c r="AW16" i="118" s="1"/>
  <c r="AY39" i="118"/>
  <c r="AV39" i="118"/>
  <c r="AW39" i="118" s="1"/>
  <c r="AY24" i="118"/>
  <c r="AT41" i="118"/>
  <c r="BI40" i="118"/>
  <c r="AQ40" i="118"/>
  <c r="BC40" i="118"/>
  <c r="AP40" i="118"/>
  <c r="BE41" i="118"/>
  <c r="AH41" i="118"/>
  <c r="AI40" i="118"/>
  <c r="BA40" i="118"/>
  <c r="AR40" i="118"/>
  <c r="AY39" i="117"/>
  <c r="AV39" i="117"/>
  <c r="AW39" i="117" s="1"/>
  <c r="AE45" i="117"/>
  <c r="AT41" i="117"/>
  <c r="BI40" i="117"/>
  <c r="AQ40" i="117"/>
  <c r="BC40" i="117"/>
  <c r="AP40" i="117"/>
  <c r="BE41" i="117"/>
  <c r="AH41" i="117"/>
  <c r="AI40" i="117"/>
  <c r="BA40" i="117"/>
  <c r="AR40" i="117"/>
  <c r="BE26" i="117"/>
  <c r="AH26" i="117"/>
  <c r="AT26" i="117"/>
  <c r="BI25" i="117"/>
  <c r="AQ25" i="117"/>
  <c r="AP25" i="117"/>
  <c r="AI25" i="117"/>
  <c r="BA25" i="117"/>
  <c r="AR25" i="117"/>
  <c r="BC25" i="117"/>
  <c r="V46" i="117"/>
  <c r="BI33" i="117"/>
  <c r="AY16" i="117"/>
  <c r="AV16" i="117"/>
  <c r="AW16" i="117" s="1"/>
  <c r="AY24" i="117"/>
  <c r="AV24" i="117"/>
  <c r="AW24" i="117" s="1"/>
  <c r="T46" i="117"/>
  <c r="BC25" i="116"/>
  <c r="AP25" i="116"/>
  <c r="AH26" i="116"/>
  <c r="AQ25" i="116"/>
  <c r="AI25" i="116"/>
  <c r="BA25" i="116"/>
  <c r="AT26" i="116"/>
  <c r="BI25" i="116"/>
  <c r="AR25" i="116"/>
  <c r="BE26" i="116"/>
  <c r="AY31" i="116"/>
  <c r="AV31" i="116"/>
  <c r="AW31" i="116" s="1"/>
  <c r="AY39" i="116"/>
  <c r="AV39" i="116"/>
  <c r="AW39" i="116" s="1"/>
  <c r="AT33" i="116"/>
  <c r="BI32" i="116"/>
  <c r="AQ32" i="116"/>
  <c r="BE33" i="116"/>
  <c r="AH33" i="116"/>
  <c r="AI32" i="116"/>
  <c r="AP32" i="116"/>
  <c r="BA32" i="116"/>
  <c r="BC32" i="116"/>
  <c r="AR32" i="116"/>
  <c r="AT41" i="116"/>
  <c r="BI40" i="116"/>
  <c r="AQ40" i="116"/>
  <c r="BC40" i="116"/>
  <c r="AP40" i="116"/>
  <c r="BE41" i="116"/>
  <c r="AH41" i="116"/>
  <c r="AI40" i="116"/>
  <c r="BA40" i="116"/>
  <c r="AR40" i="116"/>
  <c r="AY24" i="116"/>
  <c r="AV24" i="116"/>
  <c r="AW24" i="116" s="1"/>
  <c r="AT41" i="115"/>
  <c r="BI40" i="115"/>
  <c r="AQ40" i="115"/>
  <c r="BC40" i="115"/>
  <c r="AP40" i="115"/>
  <c r="BE41" i="115"/>
  <c r="AH41" i="115"/>
  <c r="AI40" i="115"/>
  <c r="BA40" i="115"/>
  <c r="AR40" i="115"/>
  <c r="AY15" i="115"/>
  <c r="AV15" i="115"/>
  <c r="AW15" i="115" s="1"/>
  <c r="AY39" i="115"/>
  <c r="AV39" i="115"/>
  <c r="AW39" i="115" s="1"/>
  <c r="W45" i="115"/>
  <c r="BA16" i="115"/>
  <c r="AR16" i="115"/>
  <c r="AT17" i="115"/>
  <c r="BI16" i="115"/>
  <c r="AQ16" i="115"/>
  <c r="BE17" i="115"/>
  <c r="AH17" i="115"/>
  <c r="AP16" i="115"/>
  <c r="AI16" i="115"/>
  <c r="BC16" i="115"/>
  <c r="U14" i="114"/>
  <c r="U21" i="114" s="1"/>
  <c r="V21" i="114"/>
  <c r="AY40" i="114"/>
  <c r="AV40" i="114"/>
  <c r="AW40" i="114" s="1"/>
  <c r="BP21" i="114"/>
  <c r="AY31" i="114"/>
  <c r="AV31" i="114"/>
  <c r="AW31" i="114" s="1"/>
  <c r="BE42" i="114"/>
  <c r="AH42" i="114"/>
  <c r="AI41" i="114"/>
  <c r="BA41" i="114"/>
  <c r="AR41" i="114"/>
  <c r="AT42" i="114"/>
  <c r="BC41" i="114"/>
  <c r="BI41" i="114"/>
  <c r="AQ41" i="114"/>
  <c r="AP41" i="114"/>
  <c r="AY14" i="114"/>
  <c r="BE33" i="114"/>
  <c r="AH33" i="114"/>
  <c r="AI32" i="114"/>
  <c r="BA32" i="114"/>
  <c r="AR32" i="114"/>
  <c r="AT33" i="114"/>
  <c r="BI32" i="114"/>
  <c r="AQ32" i="114"/>
  <c r="BC32" i="114"/>
  <c r="AP32" i="114"/>
  <c r="O46" i="114"/>
  <c r="BA15" i="114"/>
  <c r="AR15" i="114"/>
  <c r="BC15" i="114"/>
  <c r="AT16" i="114"/>
  <c r="BE16" i="114"/>
  <c r="BI15" i="114"/>
  <c r="AQ15" i="114"/>
  <c r="AP15" i="114"/>
  <c r="AI15" i="114"/>
  <c r="AH16" i="114"/>
  <c r="AI16" i="113"/>
  <c r="BC16" i="113"/>
  <c r="AR16" i="113"/>
  <c r="AQ16" i="113"/>
  <c r="AP16" i="113"/>
  <c r="AK16" i="113" s="1"/>
  <c r="AH17" i="113"/>
  <c r="BA17" i="113" s="1"/>
  <c r="BI16" i="113"/>
  <c r="AT17" i="113"/>
  <c r="T46" i="113"/>
  <c r="AT41" i="113"/>
  <c r="BI40" i="113"/>
  <c r="AQ40" i="113"/>
  <c r="BC40" i="113"/>
  <c r="AP40" i="113"/>
  <c r="BE41" i="113"/>
  <c r="AH41" i="113"/>
  <c r="AI40" i="113"/>
  <c r="BA40" i="113"/>
  <c r="AR40" i="113"/>
  <c r="AT26" i="113"/>
  <c r="BI25" i="113"/>
  <c r="AH26" i="113"/>
  <c r="BC25" i="113"/>
  <c r="AI25" i="113"/>
  <c r="BE26" i="113"/>
  <c r="AR25" i="113"/>
  <c r="BA25" i="113"/>
  <c r="AQ25" i="113"/>
  <c r="AP25" i="113"/>
  <c r="AY39" i="113"/>
  <c r="AV39" i="113"/>
  <c r="AW39" i="113" s="1"/>
  <c r="BC33" i="113"/>
  <c r="AP33" i="113"/>
  <c r="BA33" i="113"/>
  <c r="AR33" i="113"/>
  <c r="AE29" i="122" l="1"/>
  <c r="AD21" i="122"/>
  <c r="AL21" i="122"/>
  <c r="T21" i="122" s="1"/>
  <c r="T46" i="122" s="1"/>
  <c r="AD21" i="132"/>
  <c r="AL21" i="132"/>
  <c r="T21" i="132" s="1"/>
  <c r="T46" i="132" s="1"/>
  <c r="W37" i="133"/>
  <c r="AE37" i="133"/>
  <c r="AV32" i="124"/>
  <c r="AW32" i="124" s="1"/>
  <c r="BC33" i="124"/>
  <c r="AT34" i="124"/>
  <c r="W37" i="120"/>
  <c r="AE37" i="120"/>
  <c r="AK32" i="115"/>
  <c r="AH18" i="116"/>
  <c r="AS32" i="115"/>
  <c r="AU32" i="115" s="1"/>
  <c r="AV32" i="115" s="1"/>
  <c r="AW32" i="115" s="1"/>
  <c r="AY16" i="116"/>
  <c r="AS16" i="116"/>
  <c r="AU16" i="116" s="1"/>
  <c r="AK16" i="116" s="1"/>
  <c r="AI17" i="116"/>
  <c r="AS17" i="116" s="1"/>
  <c r="AU17" i="116" s="1"/>
  <c r="AV17" i="116" s="1"/>
  <c r="AW17" i="116" s="1"/>
  <c r="AQ33" i="113"/>
  <c r="W37" i="113"/>
  <c r="AV32" i="113"/>
  <c r="AW32" i="113" s="1"/>
  <c r="AV24" i="113"/>
  <c r="AW24" i="113" s="1"/>
  <c r="AV24" i="114"/>
  <c r="AW24" i="114" s="1"/>
  <c r="BC25" i="114"/>
  <c r="BE26" i="114"/>
  <c r="AQ25" i="114"/>
  <c r="BI25" i="114"/>
  <c r="AI25" i="114"/>
  <c r="AY25" i="114" s="1"/>
  <c r="AT26" i="114"/>
  <c r="AP25" i="114"/>
  <c r="AR25" i="114"/>
  <c r="AH26" i="114"/>
  <c r="BI26" i="114" s="1"/>
  <c r="AE29" i="116"/>
  <c r="AV32" i="117"/>
  <c r="AW32" i="117" s="1"/>
  <c r="AR33" i="117"/>
  <c r="BA33" i="117"/>
  <c r="W29" i="118"/>
  <c r="AE29" i="118"/>
  <c r="AV24" i="119"/>
  <c r="AW24" i="119" s="1"/>
  <c r="BI25" i="119"/>
  <c r="BE26" i="119"/>
  <c r="AI25" i="119"/>
  <c r="AY25" i="119" s="1"/>
  <c r="AP25" i="119"/>
  <c r="AQ25" i="119"/>
  <c r="AH26" i="119"/>
  <c r="BI26" i="119" s="1"/>
  <c r="BC25" i="119"/>
  <c r="BQ29" i="122"/>
  <c r="AE29" i="123"/>
  <c r="U46" i="123"/>
  <c r="BA33" i="124"/>
  <c r="AQ33" i="124"/>
  <c r="AR33" i="124"/>
  <c r="BI33" i="124"/>
  <c r="AP33" i="124"/>
  <c r="W29" i="124"/>
  <c r="AE29" i="124"/>
  <c r="W21" i="124"/>
  <c r="BQ21" i="124"/>
  <c r="AV16" i="128"/>
  <c r="AW16" i="128" s="1"/>
  <c r="AR17" i="128"/>
  <c r="W37" i="127"/>
  <c r="W21" i="127"/>
  <c r="W37" i="128"/>
  <c r="BQ29" i="128"/>
  <c r="AE21" i="132"/>
  <c r="AV24" i="131"/>
  <c r="AW24" i="131" s="1"/>
  <c r="BC33" i="132"/>
  <c r="AI33" i="132"/>
  <c r="AY33" i="132" s="1"/>
  <c r="AR33" i="132"/>
  <c r="BA33" i="132"/>
  <c r="AT34" i="132"/>
  <c r="AP33" i="132"/>
  <c r="AK33" i="132" s="1"/>
  <c r="AH34" i="132"/>
  <c r="AH35" i="132" s="1"/>
  <c r="AQ33" i="132"/>
  <c r="BE34" i="132"/>
  <c r="W29" i="132"/>
  <c r="U46" i="132"/>
  <c r="AE29" i="132"/>
  <c r="AD29" i="133"/>
  <c r="AE29" i="133" s="1"/>
  <c r="V46" i="133"/>
  <c r="AE29" i="119"/>
  <c r="W29" i="119"/>
  <c r="AR25" i="118"/>
  <c r="W21" i="118"/>
  <c r="BC25" i="118"/>
  <c r="BA25" i="118"/>
  <c r="AP25" i="118"/>
  <c r="AH26" i="118"/>
  <c r="BC26" i="118" s="1"/>
  <c r="AQ25" i="118"/>
  <c r="AI25" i="118"/>
  <c r="AV25" i="118" s="1"/>
  <c r="AW25" i="118" s="1"/>
  <c r="BI25" i="118"/>
  <c r="AT26" i="118"/>
  <c r="BC33" i="117"/>
  <c r="AH34" i="117"/>
  <c r="BI34" i="117" s="1"/>
  <c r="AT34" i="117"/>
  <c r="BE34" i="117"/>
  <c r="AP33" i="117"/>
  <c r="AE37" i="116"/>
  <c r="W37" i="116"/>
  <c r="AI25" i="115"/>
  <c r="AQ25" i="115"/>
  <c r="AY24" i="115"/>
  <c r="AP25" i="115"/>
  <c r="AH26" i="115"/>
  <c r="AR26" i="115" s="1"/>
  <c r="BE26" i="115"/>
  <c r="BA25" i="115"/>
  <c r="AT26" i="115"/>
  <c r="BC25" i="115"/>
  <c r="BI33" i="115"/>
  <c r="AY32" i="115"/>
  <c r="BA17" i="116"/>
  <c r="BI17" i="116"/>
  <c r="AQ17" i="116"/>
  <c r="AR17" i="116"/>
  <c r="AT18" i="116"/>
  <c r="AP17" i="116"/>
  <c r="BE18" i="116"/>
  <c r="AE29" i="115"/>
  <c r="W29" i="115"/>
  <c r="W46" i="115" s="1"/>
  <c r="BQ37" i="114"/>
  <c r="AE37" i="114"/>
  <c r="W29" i="114"/>
  <c r="AE29" i="114"/>
  <c r="BI33" i="113"/>
  <c r="U46" i="113"/>
  <c r="AI33" i="113"/>
  <c r="AY33" i="113" s="1"/>
  <c r="AH34" i="113"/>
  <c r="AT35" i="113" s="1"/>
  <c r="AT34" i="113"/>
  <c r="AE29" i="113"/>
  <c r="AV32" i="132"/>
  <c r="AW32" i="132" s="1"/>
  <c r="AE37" i="123"/>
  <c r="U46" i="118"/>
  <c r="W37" i="118"/>
  <c r="W37" i="131"/>
  <c r="W37" i="129"/>
  <c r="AE37" i="129"/>
  <c r="AE37" i="128"/>
  <c r="AE21" i="129"/>
  <c r="W21" i="129"/>
  <c r="W29" i="128"/>
  <c r="U46" i="127"/>
  <c r="AE37" i="127"/>
  <c r="BA17" i="128"/>
  <c r="W21" i="128"/>
  <c r="U46" i="128"/>
  <c r="BE18" i="128"/>
  <c r="AD21" i="126"/>
  <c r="AE21" i="126" s="1"/>
  <c r="BQ37" i="125"/>
  <c r="AE37" i="125"/>
  <c r="AH34" i="122"/>
  <c r="AI34" i="122" s="1"/>
  <c r="AV32" i="122"/>
  <c r="AW32" i="122" s="1"/>
  <c r="AE37" i="121"/>
  <c r="W37" i="121"/>
  <c r="U46" i="121"/>
  <c r="S46" i="122"/>
  <c r="AE21" i="121"/>
  <c r="U46" i="120"/>
  <c r="AE21" i="120"/>
  <c r="U46" i="119"/>
  <c r="W37" i="119"/>
  <c r="AE37" i="119"/>
  <c r="AE37" i="118"/>
  <c r="BQ21" i="117"/>
  <c r="AT18" i="117"/>
  <c r="AE21" i="116"/>
  <c r="AR25" i="115"/>
  <c r="BQ29" i="113"/>
  <c r="V21" i="113"/>
  <c r="V46" i="113" s="1"/>
  <c r="AY16" i="113"/>
  <c r="AS16" i="113"/>
  <c r="AU16" i="113" s="1"/>
  <c r="AV16" i="113" s="1"/>
  <c r="AW16" i="113" s="1"/>
  <c r="BC25" i="131"/>
  <c r="AP25" i="131"/>
  <c r="BI25" i="131"/>
  <c r="AT26" i="131"/>
  <c r="AE29" i="131"/>
  <c r="W21" i="131"/>
  <c r="W29" i="131"/>
  <c r="U46" i="131"/>
  <c r="W21" i="132"/>
  <c r="U46" i="124"/>
  <c r="W37" i="124"/>
  <c r="AE37" i="124"/>
  <c r="AE21" i="122"/>
  <c r="W21" i="117"/>
  <c r="W46" i="117" s="1"/>
  <c r="S46" i="133"/>
  <c r="AE21" i="133"/>
  <c r="BQ21" i="133"/>
  <c r="W21" i="133"/>
  <c r="U46" i="133"/>
  <c r="S46" i="132"/>
  <c r="AE21" i="130"/>
  <c r="S46" i="130"/>
  <c r="W21" i="130"/>
  <c r="W46" i="130" s="1"/>
  <c r="S46" i="128"/>
  <c r="AD21" i="128"/>
  <c r="AE21" i="128" s="1"/>
  <c r="BC17" i="128"/>
  <c r="AP17" i="128"/>
  <c r="AH18" i="128"/>
  <c r="AQ18" i="128" s="1"/>
  <c r="AQ17" i="128"/>
  <c r="BI17" i="128"/>
  <c r="AI17" i="128"/>
  <c r="AV17" i="128" s="1"/>
  <c r="AW17" i="128" s="1"/>
  <c r="AD21" i="123"/>
  <c r="AE21" i="123" s="1"/>
  <c r="S46" i="123"/>
  <c r="BE34" i="122"/>
  <c r="AQ33" i="122"/>
  <c r="AP33" i="122"/>
  <c r="BA33" i="122"/>
  <c r="BC33" i="122"/>
  <c r="AR33" i="122"/>
  <c r="BI33" i="122"/>
  <c r="AI33" i="122"/>
  <c r="AY33" i="122" s="1"/>
  <c r="W21" i="123"/>
  <c r="W46" i="123" s="1"/>
  <c r="BQ21" i="123"/>
  <c r="W21" i="122"/>
  <c r="W46" i="122" s="1"/>
  <c r="U46" i="122"/>
  <c r="AV16" i="122"/>
  <c r="AW16" i="122" s="1"/>
  <c r="BQ21" i="121"/>
  <c r="S46" i="121"/>
  <c r="W21" i="121"/>
  <c r="W21" i="120"/>
  <c r="S46" i="119"/>
  <c r="AE21" i="119"/>
  <c r="AV32" i="118"/>
  <c r="AW32" i="118" s="1"/>
  <c r="W21" i="119"/>
  <c r="BQ21" i="119"/>
  <c r="BI33" i="118"/>
  <c r="AQ33" i="118"/>
  <c r="AI17" i="118"/>
  <c r="AV17" i="118" s="1"/>
  <c r="AW17" i="118" s="1"/>
  <c r="AD21" i="118"/>
  <c r="AE21" i="118" s="1"/>
  <c r="S46" i="118"/>
  <c r="BI17" i="118"/>
  <c r="S46" i="117"/>
  <c r="AD21" i="117"/>
  <c r="AE21" i="117" s="1"/>
  <c r="AI17" i="117"/>
  <c r="AY17" i="117" s="1"/>
  <c r="BA17" i="117"/>
  <c r="AR17" i="117"/>
  <c r="AQ17" i="117"/>
  <c r="AP17" i="117"/>
  <c r="BI17" i="117"/>
  <c r="AH18" i="117"/>
  <c r="BI18" i="117" s="1"/>
  <c r="BE18" i="117"/>
  <c r="S46" i="116"/>
  <c r="AR33" i="115"/>
  <c r="BA33" i="115"/>
  <c r="BQ21" i="116"/>
  <c r="BE34" i="115"/>
  <c r="W21" i="116"/>
  <c r="AI33" i="115"/>
  <c r="AH34" i="115"/>
  <c r="AI34" i="115" s="1"/>
  <c r="AS34" i="115" s="1"/>
  <c r="AU34" i="115" s="1"/>
  <c r="AP33" i="115"/>
  <c r="BC33" i="115"/>
  <c r="U46" i="116"/>
  <c r="AT34" i="115"/>
  <c r="V46" i="114"/>
  <c r="S21" i="114"/>
  <c r="W21" i="114" s="1"/>
  <c r="U46" i="115"/>
  <c r="W21" i="125"/>
  <c r="AE21" i="125"/>
  <c r="U46" i="125"/>
  <c r="BQ21" i="125"/>
  <c r="BQ29" i="125"/>
  <c r="W29" i="125"/>
  <c r="W46" i="126"/>
  <c r="AL37" i="131"/>
  <c r="T37" i="131" s="1"/>
  <c r="T46" i="131" s="1"/>
  <c r="AD37" i="131"/>
  <c r="AE37" i="131" s="1"/>
  <c r="S46" i="131"/>
  <c r="AL29" i="129"/>
  <c r="T29" i="129" s="1"/>
  <c r="T46" i="129" s="1"/>
  <c r="S46" i="129"/>
  <c r="AD29" i="129"/>
  <c r="AV16" i="127"/>
  <c r="AW16" i="127" s="1"/>
  <c r="AL21" i="127"/>
  <c r="T21" i="127" s="1"/>
  <c r="T46" i="127" s="1"/>
  <c r="S46" i="127"/>
  <c r="AD21" i="127"/>
  <c r="AE21" i="127" s="1"/>
  <c r="BQ29" i="123"/>
  <c r="S46" i="120"/>
  <c r="AD29" i="120"/>
  <c r="AE29" i="120" s="1"/>
  <c r="AL29" i="120"/>
  <c r="T29" i="120" s="1"/>
  <c r="T46" i="120" s="1"/>
  <c r="W29" i="120"/>
  <c r="BQ21" i="113"/>
  <c r="BQ21" i="130"/>
  <c r="AH34" i="118"/>
  <c r="AR34" i="118" s="1"/>
  <c r="AP33" i="118"/>
  <c r="BE34" i="118"/>
  <c r="BA33" i="118"/>
  <c r="BC33" i="118"/>
  <c r="AI33" i="118"/>
  <c r="AY33" i="118" s="1"/>
  <c r="AR33" i="118"/>
  <c r="AQ33" i="117"/>
  <c r="BE18" i="113"/>
  <c r="AR17" i="127"/>
  <c r="AI17" i="127"/>
  <c r="AV17" i="127" s="1"/>
  <c r="AW17" i="127" s="1"/>
  <c r="AT18" i="127"/>
  <c r="BA17" i="127"/>
  <c r="AH18" i="127"/>
  <c r="AH19" i="127" s="1"/>
  <c r="BE18" i="127"/>
  <c r="AP17" i="127"/>
  <c r="BC17" i="127"/>
  <c r="AQ17" i="127"/>
  <c r="AP17" i="118"/>
  <c r="AT18" i="118"/>
  <c r="AH18" i="118"/>
  <c r="AQ18" i="118" s="1"/>
  <c r="BC17" i="118"/>
  <c r="AR17" i="118"/>
  <c r="BE18" i="118"/>
  <c r="AQ17" i="118"/>
  <c r="S46" i="115"/>
  <c r="AL21" i="115"/>
  <c r="T21" i="115" s="1"/>
  <c r="T46" i="115" s="1"/>
  <c r="AD21" i="115"/>
  <c r="AE21" i="115" s="1"/>
  <c r="AP17" i="113"/>
  <c r="AK17" i="113" s="1"/>
  <c r="AT18" i="113"/>
  <c r="AI17" i="113"/>
  <c r="BC17" i="113"/>
  <c r="AQ17" i="113"/>
  <c r="AH18" i="113"/>
  <c r="BC18" i="113" s="1"/>
  <c r="BI17" i="113"/>
  <c r="AY16" i="133"/>
  <c r="AV16" i="133"/>
  <c r="AW16" i="133" s="1"/>
  <c r="BC41" i="133"/>
  <c r="AP41" i="133"/>
  <c r="BE42" i="133"/>
  <c r="AH42" i="133"/>
  <c r="AI41" i="133"/>
  <c r="AT42" i="133"/>
  <c r="AR41" i="133"/>
  <c r="BI41" i="133"/>
  <c r="BA41" i="133"/>
  <c r="AQ41" i="133"/>
  <c r="AY25" i="133"/>
  <c r="AV25" i="133"/>
  <c r="AW25" i="133" s="1"/>
  <c r="AY33" i="133"/>
  <c r="AV33" i="133"/>
  <c r="AW33" i="133" s="1"/>
  <c r="BC34" i="133"/>
  <c r="AP34" i="133"/>
  <c r="AK34" i="133" s="1"/>
  <c r="AH35" i="133"/>
  <c r="AQ34" i="133"/>
  <c r="BI34" i="133"/>
  <c r="BA34" i="133"/>
  <c r="BE35" i="133"/>
  <c r="AR34" i="133"/>
  <c r="AI34" i="133"/>
  <c r="AT35" i="133"/>
  <c r="AY40" i="133"/>
  <c r="AV40" i="133"/>
  <c r="AW40" i="133" s="1"/>
  <c r="BA26" i="133"/>
  <c r="AR26" i="133"/>
  <c r="BE27" i="133"/>
  <c r="BI26" i="133"/>
  <c r="BC26" i="133"/>
  <c r="AQ26" i="133"/>
  <c r="AT27" i="133"/>
  <c r="AH27" i="133"/>
  <c r="AP26" i="133"/>
  <c r="AK26" i="133" s="1"/>
  <c r="AI26" i="133"/>
  <c r="AT18" i="133"/>
  <c r="BI17" i="133"/>
  <c r="AQ17" i="133"/>
  <c r="BC17" i="133"/>
  <c r="AP17" i="133"/>
  <c r="AK17" i="133" s="1"/>
  <c r="BA17" i="133"/>
  <c r="AR17" i="133"/>
  <c r="BE18" i="133"/>
  <c r="AH18" i="133"/>
  <c r="AI17" i="133"/>
  <c r="AY40" i="132"/>
  <c r="AV40" i="132"/>
  <c r="AW40" i="132" s="1"/>
  <c r="AY16" i="132"/>
  <c r="AV16" i="132"/>
  <c r="AW16" i="132" s="1"/>
  <c r="AY24" i="132"/>
  <c r="AV24" i="132"/>
  <c r="AW24" i="132" s="1"/>
  <c r="AT18" i="132"/>
  <c r="BI17" i="132"/>
  <c r="AQ17" i="132"/>
  <c r="BC17" i="132"/>
  <c r="AP17" i="132"/>
  <c r="AK17" i="132" s="1"/>
  <c r="BE18" i="132"/>
  <c r="AH18" i="132"/>
  <c r="AI17" i="132"/>
  <c r="AR17" i="132"/>
  <c r="BA17" i="132"/>
  <c r="BC41" i="132"/>
  <c r="AP41" i="132"/>
  <c r="BE42" i="132"/>
  <c r="AH42" i="132"/>
  <c r="AI41" i="132"/>
  <c r="BA41" i="132"/>
  <c r="AR41" i="132"/>
  <c r="AT42" i="132"/>
  <c r="BI41" i="132"/>
  <c r="AQ41" i="132"/>
  <c r="BA25" i="132"/>
  <c r="AR25" i="132"/>
  <c r="AT26" i="132"/>
  <c r="BI25" i="132"/>
  <c r="AQ25" i="132"/>
  <c r="BC25" i="132"/>
  <c r="AH26" i="132"/>
  <c r="AI25" i="132"/>
  <c r="AP25" i="132"/>
  <c r="BE26" i="132"/>
  <c r="BE34" i="131"/>
  <c r="AH34" i="131"/>
  <c r="AT34" i="131"/>
  <c r="AQ33" i="131"/>
  <c r="AP33" i="131"/>
  <c r="BI33" i="131"/>
  <c r="BC33" i="131"/>
  <c r="AI33" i="131"/>
  <c r="BA33" i="131"/>
  <c r="AR33" i="131"/>
  <c r="AY25" i="131"/>
  <c r="AV25" i="131"/>
  <c r="AW25" i="131" s="1"/>
  <c r="BE18" i="131"/>
  <c r="AH18" i="131"/>
  <c r="AI17" i="131"/>
  <c r="AT18" i="131"/>
  <c r="BA17" i="131"/>
  <c r="AQ17" i="131"/>
  <c r="AP17" i="131"/>
  <c r="BC17" i="131"/>
  <c r="AR17" i="131"/>
  <c r="BI17" i="131"/>
  <c r="AY16" i="131"/>
  <c r="AV16" i="131"/>
  <c r="AW16" i="131" s="1"/>
  <c r="AY40" i="131"/>
  <c r="AV40" i="131"/>
  <c r="AW40" i="131" s="1"/>
  <c r="BE27" i="131"/>
  <c r="AH27" i="131"/>
  <c r="AI26" i="131"/>
  <c r="BA26" i="131"/>
  <c r="AR26" i="131"/>
  <c r="BI26" i="131"/>
  <c r="AQ26" i="131"/>
  <c r="AP26" i="131"/>
  <c r="AT27" i="131"/>
  <c r="BC26" i="131"/>
  <c r="AY32" i="131"/>
  <c r="AV32" i="131"/>
  <c r="AW32" i="131" s="1"/>
  <c r="BC41" i="131"/>
  <c r="AP41" i="131"/>
  <c r="BE42" i="131"/>
  <c r="AH42" i="131"/>
  <c r="AI41" i="131"/>
  <c r="BA41" i="131"/>
  <c r="AR41" i="131"/>
  <c r="AQ41" i="131"/>
  <c r="AT42" i="131"/>
  <c r="BI41" i="131"/>
  <c r="BC41" i="130"/>
  <c r="AP41" i="130"/>
  <c r="BE42" i="130"/>
  <c r="AH42" i="130"/>
  <c r="AI41" i="130"/>
  <c r="BA41" i="130"/>
  <c r="AR41" i="130"/>
  <c r="AQ41" i="130"/>
  <c r="AT42" i="130"/>
  <c r="BI41" i="130"/>
  <c r="AY24" i="130"/>
  <c r="AV24" i="130"/>
  <c r="AW24" i="130" s="1"/>
  <c r="AY32" i="130"/>
  <c r="AV32" i="130"/>
  <c r="AW32" i="130" s="1"/>
  <c r="BE34" i="130"/>
  <c r="AH34" i="130"/>
  <c r="AT34" i="130"/>
  <c r="BC33" i="130"/>
  <c r="AP33" i="130"/>
  <c r="AI33" i="130"/>
  <c r="BA33" i="130"/>
  <c r="AR33" i="130"/>
  <c r="BI33" i="130"/>
  <c r="AQ33" i="130"/>
  <c r="AY40" i="130"/>
  <c r="AV40" i="130"/>
  <c r="AW40" i="130" s="1"/>
  <c r="BA17" i="130"/>
  <c r="AR17" i="130"/>
  <c r="BE18" i="130"/>
  <c r="BI17" i="130"/>
  <c r="BC17" i="130"/>
  <c r="AQ17" i="130"/>
  <c r="AT18" i="130"/>
  <c r="AH18" i="130"/>
  <c r="AP17" i="130"/>
  <c r="AI17" i="130"/>
  <c r="BC25" i="130"/>
  <c r="AP25" i="130"/>
  <c r="BA25" i="130"/>
  <c r="AR25" i="130"/>
  <c r="AH26" i="130"/>
  <c r="BI25" i="130"/>
  <c r="BE26" i="130"/>
  <c r="AT26" i="130"/>
  <c r="AQ25" i="130"/>
  <c r="AI25" i="130"/>
  <c r="AY16" i="130"/>
  <c r="AV16" i="130"/>
  <c r="AW16" i="130" s="1"/>
  <c r="BE27" i="129"/>
  <c r="AH27" i="129"/>
  <c r="BA26" i="129"/>
  <c r="AR26" i="129"/>
  <c r="AT27" i="129"/>
  <c r="BI26" i="129"/>
  <c r="AQ26" i="129"/>
  <c r="AP26" i="129"/>
  <c r="AK26" i="129" s="1"/>
  <c r="AI26" i="129"/>
  <c r="BC26" i="129"/>
  <c r="AY25" i="129"/>
  <c r="AV25" i="129"/>
  <c r="AW25" i="129" s="1"/>
  <c r="BE34" i="129"/>
  <c r="AH34" i="129"/>
  <c r="AT34" i="129"/>
  <c r="BC33" i="129"/>
  <c r="AP33" i="129"/>
  <c r="AI33" i="129"/>
  <c r="BA33" i="129"/>
  <c r="AR33" i="129"/>
  <c r="BI33" i="129"/>
  <c r="AQ33" i="129"/>
  <c r="AY17" i="129"/>
  <c r="AV17" i="129"/>
  <c r="AW17" i="129" s="1"/>
  <c r="AY40" i="129"/>
  <c r="AV40" i="129"/>
  <c r="AW40" i="129" s="1"/>
  <c r="AT19" i="129"/>
  <c r="BI18" i="129"/>
  <c r="AH19" i="129"/>
  <c r="BC18" i="129"/>
  <c r="AP18" i="129"/>
  <c r="BE19" i="129"/>
  <c r="AI18" i="129"/>
  <c r="BA18" i="129"/>
  <c r="AR18" i="129"/>
  <c r="AQ18" i="129"/>
  <c r="BC41" i="129"/>
  <c r="AP41" i="129"/>
  <c r="BE42" i="129"/>
  <c r="AH42" i="129"/>
  <c r="AI41" i="129"/>
  <c r="BA41" i="129"/>
  <c r="AR41" i="129"/>
  <c r="AT42" i="129"/>
  <c r="BI41" i="129"/>
  <c r="AQ41" i="129"/>
  <c r="AY32" i="129"/>
  <c r="AV32" i="129"/>
  <c r="AW32" i="129" s="1"/>
  <c r="AY32" i="128"/>
  <c r="AV32" i="128"/>
  <c r="AW32" i="128" s="1"/>
  <c r="AY41" i="128"/>
  <c r="AV41" i="128"/>
  <c r="AW41" i="128" s="1"/>
  <c r="BA42" i="128"/>
  <c r="AR42" i="128"/>
  <c r="AT43" i="128"/>
  <c r="BI42" i="128"/>
  <c r="AQ42" i="128"/>
  <c r="AH43" i="128"/>
  <c r="AP42" i="128"/>
  <c r="AI42" i="128"/>
  <c r="BC42" i="128"/>
  <c r="BE43" i="128"/>
  <c r="BE34" i="128"/>
  <c r="AH34" i="128"/>
  <c r="BA33" i="128"/>
  <c r="AR33" i="128"/>
  <c r="BI33" i="128"/>
  <c r="BC33" i="128"/>
  <c r="AQ33" i="128"/>
  <c r="AP33" i="128"/>
  <c r="AI33" i="128"/>
  <c r="AT34" i="128"/>
  <c r="BC26" i="128"/>
  <c r="AP26" i="128"/>
  <c r="AH27" i="128"/>
  <c r="AI26" i="128"/>
  <c r="AT27" i="128"/>
  <c r="AR26" i="128"/>
  <c r="BE27" i="128"/>
  <c r="BI26" i="128"/>
  <c r="BA26" i="128"/>
  <c r="AQ26" i="128"/>
  <c r="AY25" i="128"/>
  <c r="AV25" i="128"/>
  <c r="AW25" i="128" s="1"/>
  <c r="BC41" i="127"/>
  <c r="AP41" i="127"/>
  <c r="BE42" i="127"/>
  <c r="AH42" i="127"/>
  <c r="AI41" i="127"/>
  <c r="BA41" i="127"/>
  <c r="AR41" i="127"/>
  <c r="AT42" i="127"/>
  <c r="BI41" i="127"/>
  <c r="AQ41" i="127"/>
  <c r="BE34" i="127"/>
  <c r="AH34" i="127"/>
  <c r="BA33" i="127"/>
  <c r="AR33" i="127"/>
  <c r="BI33" i="127"/>
  <c r="AQ33" i="127"/>
  <c r="AT34" i="127"/>
  <c r="BC33" i="127"/>
  <c r="AP33" i="127"/>
  <c r="AI33" i="127"/>
  <c r="AY24" i="127"/>
  <c r="AV24" i="127"/>
  <c r="AW24" i="127" s="1"/>
  <c r="AT26" i="127"/>
  <c r="BI25" i="127"/>
  <c r="AQ25" i="127"/>
  <c r="BC25" i="127"/>
  <c r="AP25" i="127"/>
  <c r="AH26" i="127"/>
  <c r="BE26" i="127"/>
  <c r="BA25" i="127"/>
  <c r="AI25" i="127"/>
  <c r="AR25" i="127"/>
  <c r="AY40" i="127"/>
  <c r="AV40" i="127"/>
  <c r="AW40" i="127" s="1"/>
  <c r="AY32" i="127"/>
  <c r="AV32" i="127"/>
  <c r="AW32" i="127" s="1"/>
  <c r="BA25" i="126"/>
  <c r="AR25" i="126"/>
  <c r="AT26" i="126"/>
  <c r="BC25" i="126"/>
  <c r="AP25" i="126"/>
  <c r="BE26" i="126"/>
  <c r="AH26" i="126"/>
  <c r="BI25" i="126"/>
  <c r="AQ25" i="126"/>
  <c r="AI25" i="126"/>
  <c r="AY24" i="126"/>
  <c r="AV24" i="126"/>
  <c r="AW24" i="126" s="1"/>
  <c r="BA17" i="126"/>
  <c r="AR17" i="126"/>
  <c r="BE18" i="126"/>
  <c r="AT18" i="126"/>
  <c r="BI17" i="126"/>
  <c r="AQ17" i="126"/>
  <c r="BC17" i="126"/>
  <c r="AP17" i="126"/>
  <c r="AH18" i="126"/>
  <c r="AI17" i="126"/>
  <c r="Z17" i="126"/>
  <c r="A18" i="126"/>
  <c r="AY32" i="126"/>
  <c r="AV32" i="126"/>
  <c r="AW32" i="126" s="1"/>
  <c r="BC41" i="126"/>
  <c r="AP41" i="126"/>
  <c r="BE42" i="126"/>
  <c r="AH42" i="126"/>
  <c r="AI41" i="126"/>
  <c r="BA41" i="126"/>
  <c r="AR41" i="126"/>
  <c r="AT42" i="126"/>
  <c r="BI41" i="126"/>
  <c r="AQ41" i="126"/>
  <c r="AY16" i="126"/>
  <c r="AV16" i="126"/>
  <c r="AW16" i="126" s="1"/>
  <c r="AY40" i="126"/>
  <c r="AV40" i="126"/>
  <c r="AW40" i="126" s="1"/>
  <c r="BE34" i="126"/>
  <c r="AH34" i="126"/>
  <c r="BA33" i="126"/>
  <c r="AR33" i="126"/>
  <c r="BI33" i="126"/>
  <c r="AQ33" i="126"/>
  <c r="AT34" i="126"/>
  <c r="BC33" i="126"/>
  <c r="AP33" i="126"/>
  <c r="AI33" i="126"/>
  <c r="AY16" i="125"/>
  <c r="AV16" i="125"/>
  <c r="AW16" i="125" s="1"/>
  <c r="BA26" i="125"/>
  <c r="AR26" i="125"/>
  <c r="AT27" i="125"/>
  <c r="BI26" i="125"/>
  <c r="AQ26" i="125"/>
  <c r="BC26" i="125"/>
  <c r="AP26" i="125"/>
  <c r="BE27" i="125"/>
  <c r="AH27" i="125"/>
  <c r="AI26" i="125"/>
  <c r="AY40" i="125"/>
  <c r="AV40" i="125"/>
  <c r="AW40" i="125" s="1"/>
  <c r="AY33" i="125"/>
  <c r="AV33" i="125"/>
  <c r="AW33" i="125" s="1"/>
  <c r="AT18" i="125"/>
  <c r="BI17" i="125"/>
  <c r="AQ17" i="125"/>
  <c r="BA17" i="125"/>
  <c r="AP17" i="125"/>
  <c r="AI17" i="125"/>
  <c r="BE18" i="125"/>
  <c r="AH18" i="125"/>
  <c r="BC17" i="125"/>
  <c r="AR17" i="125"/>
  <c r="BC41" i="125"/>
  <c r="AP41" i="125"/>
  <c r="BE42" i="125"/>
  <c r="AH42" i="125"/>
  <c r="AI41" i="125"/>
  <c r="BA41" i="125"/>
  <c r="AR41" i="125"/>
  <c r="AQ41" i="125"/>
  <c r="AT42" i="125"/>
  <c r="BI41" i="125"/>
  <c r="BA34" i="125"/>
  <c r="AR34" i="125"/>
  <c r="BE35" i="125"/>
  <c r="BI34" i="125"/>
  <c r="BC34" i="125"/>
  <c r="AQ34" i="125"/>
  <c r="AT35" i="125"/>
  <c r="AH35" i="125"/>
  <c r="AP34" i="125"/>
  <c r="AI34" i="125"/>
  <c r="AY25" i="125"/>
  <c r="AV25" i="125"/>
  <c r="AW25" i="125" s="1"/>
  <c r="AY16" i="124"/>
  <c r="AV16" i="124"/>
  <c r="AW16" i="124" s="1"/>
  <c r="AY25" i="124"/>
  <c r="AV25" i="124"/>
  <c r="AW25" i="124" s="1"/>
  <c r="BE42" i="124"/>
  <c r="AH42" i="124"/>
  <c r="AI41" i="124"/>
  <c r="BA41" i="124"/>
  <c r="AR41" i="124"/>
  <c r="BI41" i="124"/>
  <c r="AQ41" i="124"/>
  <c r="AP41" i="124"/>
  <c r="AT42" i="124"/>
  <c r="BC41" i="124"/>
  <c r="BC26" i="124"/>
  <c r="AP26" i="124"/>
  <c r="BA26" i="124"/>
  <c r="AR26" i="124"/>
  <c r="AH27" i="124"/>
  <c r="BI26" i="124"/>
  <c r="BE27" i="124"/>
  <c r="AT27" i="124"/>
  <c r="AQ26" i="124"/>
  <c r="AI26" i="124"/>
  <c r="AY33" i="124"/>
  <c r="AV33" i="124"/>
  <c r="AW33" i="124" s="1"/>
  <c r="BA17" i="124"/>
  <c r="AR17" i="124"/>
  <c r="AT18" i="124"/>
  <c r="BI17" i="124"/>
  <c r="AQ17" i="124"/>
  <c r="BC17" i="124"/>
  <c r="AP17" i="124"/>
  <c r="AH18" i="124"/>
  <c r="AI17" i="124"/>
  <c r="BE18" i="124"/>
  <c r="AY40" i="124"/>
  <c r="AV40" i="124"/>
  <c r="AW40" i="124" s="1"/>
  <c r="BE35" i="124"/>
  <c r="AH35" i="124"/>
  <c r="BA34" i="124"/>
  <c r="AR34" i="124"/>
  <c r="AP34" i="124"/>
  <c r="AI34" i="124"/>
  <c r="AT35" i="124"/>
  <c r="AQ34" i="124"/>
  <c r="BI34" i="124"/>
  <c r="BC34" i="124"/>
  <c r="BE18" i="123"/>
  <c r="AH18" i="123"/>
  <c r="AI17" i="123"/>
  <c r="BA17" i="123"/>
  <c r="AR17" i="123"/>
  <c r="AT18" i="123"/>
  <c r="BI17" i="123"/>
  <c r="AQ17" i="123"/>
  <c r="AP17" i="123"/>
  <c r="BC17" i="123"/>
  <c r="AT27" i="123"/>
  <c r="BI26" i="123"/>
  <c r="AQ26" i="123"/>
  <c r="AH27" i="123"/>
  <c r="BC26" i="123"/>
  <c r="BE27" i="123"/>
  <c r="AR26" i="123"/>
  <c r="BA26" i="123"/>
  <c r="AP26" i="123"/>
  <c r="AI26" i="123"/>
  <c r="AY25" i="123"/>
  <c r="AV25" i="123"/>
  <c r="AW25" i="123" s="1"/>
  <c r="AY16" i="123"/>
  <c r="AV16" i="123"/>
  <c r="AW16" i="123" s="1"/>
  <c r="AT34" i="123"/>
  <c r="BI33" i="123"/>
  <c r="BC33" i="123"/>
  <c r="AI33" i="123"/>
  <c r="AR33" i="123"/>
  <c r="AQ33" i="123"/>
  <c r="AP33" i="123"/>
  <c r="AH34" i="123"/>
  <c r="BA33" i="123"/>
  <c r="BE34" i="123"/>
  <c r="AY40" i="123"/>
  <c r="AV40" i="123"/>
  <c r="AW40" i="123" s="1"/>
  <c r="BC41" i="123"/>
  <c r="AP41" i="123"/>
  <c r="BE42" i="123"/>
  <c r="AH42" i="123"/>
  <c r="AI41" i="123"/>
  <c r="BA41" i="123"/>
  <c r="AR41" i="123"/>
  <c r="BI41" i="123"/>
  <c r="AT42" i="123"/>
  <c r="AQ41" i="123"/>
  <c r="AY32" i="123"/>
  <c r="AV32" i="123"/>
  <c r="AW32" i="123" s="1"/>
  <c r="AY41" i="122"/>
  <c r="AV41" i="122"/>
  <c r="AW41" i="122" s="1"/>
  <c r="BA18" i="122"/>
  <c r="AR18" i="122"/>
  <c r="AT19" i="122"/>
  <c r="BI18" i="122"/>
  <c r="AQ18" i="122"/>
  <c r="BC18" i="122"/>
  <c r="AP18" i="122"/>
  <c r="BE19" i="122"/>
  <c r="AH19" i="122"/>
  <c r="AI18" i="122"/>
  <c r="BA42" i="122"/>
  <c r="AR42" i="122"/>
  <c r="BE43" i="122"/>
  <c r="BI42" i="122"/>
  <c r="BC42" i="122"/>
  <c r="AQ42" i="122"/>
  <c r="AT43" i="122"/>
  <c r="AH43" i="122"/>
  <c r="AP42" i="122"/>
  <c r="AI42" i="122"/>
  <c r="BC26" i="122"/>
  <c r="AP26" i="122"/>
  <c r="AH27" i="122"/>
  <c r="AQ26" i="122"/>
  <c r="AI26" i="122"/>
  <c r="BA26" i="122"/>
  <c r="BI26" i="122"/>
  <c r="BE27" i="122"/>
  <c r="AT27" i="122"/>
  <c r="AR26" i="122"/>
  <c r="AY17" i="122"/>
  <c r="AV17" i="122"/>
  <c r="AW17" i="122" s="1"/>
  <c r="AY25" i="122"/>
  <c r="AV25" i="122"/>
  <c r="AW25" i="122" s="1"/>
  <c r="AY16" i="121"/>
  <c r="AV16" i="121"/>
  <c r="AW16" i="121" s="1"/>
  <c r="AT34" i="121"/>
  <c r="BC33" i="121"/>
  <c r="AP33" i="121"/>
  <c r="BI33" i="121"/>
  <c r="AR33" i="121"/>
  <c r="BE34" i="121"/>
  <c r="AH34" i="121"/>
  <c r="AQ33" i="121"/>
  <c r="AI33" i="121"/>
  <c r="BA33" i="121"/>
  <c r="AY40" i="121"/>
  <c r="AV40" i="121"/>
  <c r="AW40" i="121" s="1"/>
  <c r="AT26" i="121"/>
  <c r="BC25" i="121"/>
  <c r="AP25" i="121"/>
  <c r="BE26" i="121"/>
  <c r="AH26" i="121"/>
  <c r="AI25" i="121"/>
  <c r="BA25" i="121"/>
  <c r="AR25" i="121"/>
  <c r="BI25" i="121"/>
  <c r="AQ25" i="121"/>
  <c r="BC41" i="121"/>
  <c r="AP41" i="121"/>
  <c r="BE42" i="121"/>
  <c r="AH42" i="121"/>
  <c r="AI41" i="121"/>
  <c r="BA41" i="121"/>
  <c r="AR41" i="121"/>
  <c r="BI41" i="121"/>
  <c r="AT42" i="121"/>
  <c r="AQ41" i="121"/>
  <c r="AY32" i="121"/>
  <c r="AV32" i="121"/>
  <c r="AW32" i="121" s="1"/>
  <c r="BC17" i="121"/>
  <c r="AP17" i="121"/>
  <c r="BE18" i="121"/>
  <c r="AH18" i="121"/>
  <c r="AI17" i="121"/>
  <c r="BA17" i="121"/>
  <c r="AR17" i="121"/>
  <c r="BI17" i="121"/>
  <c r="AT18" i="121"/>
  <c r="AQ17" i="121"/>
  <c r="AY24" i="121"/>
  <c r="AV24" i="121"/>
  <c r="AW24" i="121" s="1"/>
  <c r="BC17" i="120"/>
  <c r="AP17" i="120"/>
  <c r="BE18" i="120"/>
  <c r="AH18" i="120"/>
  <c r="AI17" i="120"/>
  <c r="BA17" i="120"/>
  <c r="AR17" i="120"/>
  <c r="AQ17" i="120"/>
  <c r="AT18" i="120"/>
  <c r="BI17" i="120"/>
  <c r="BE34" i="120"/>
  <c r="AH34" i="120"/>
  <c r="AT34" i="120"/>
  <c r="BC33" i="120"/>
  <c r="AP33" i="120"/>
  <c r="AI33" i="120"/>
  <c r="BA33" i="120"/>
  <c r="AR33" i="120"/>
  <c r="BI33" i="120"/>
  <c r="AQ33" i="120"/>
  <c r="BC41" i="120"/>
  <c r="AP41" i="120"/>
  <c r="BE42" i="120"/>
  <c r="AH42" i="120"/>
  <c r="AI41" i="120"/>
  <c r="BA41" i="120"/>
  <c r="AR41" i="120"/>
  <c r="AT42" i="120"/>
  <c r="BI41" i="120"/>
  <c r="AQ41" i="120"/>
  <c r="AY16" i="120"/>
  <c r="AV16" i="120"/>
  <c r="AW16" i="120" s="1"/>
  <c r="AY32" i="120"/>
  <c r="AV32" i="120"/>
  <c r="AW32" i="120" s="1"/>
  <c r="AY24" i="120"/>
  <c r="AV24" i="120"/>
  <c r="AW24" i="120" s="1"/>
  <c r="AY40" i="120"/>
  <c r="AV40" i="120"/>
  <c r="AW40" i="120" s="1"/>
  <c r="BE26" i="120"/>
  <c r="AH26" i="120"/>
  <c r="AI25" i="120"/>
  <c r="BA25" i="120"/>
  <c r="AR25" i="120"/>
  <c r="AT26" i="120"/>
  <c r="BC25" i="120"/>
  <c r="BI25" i="120"/>
  <c r="AQ25" i="120"/>
  <c r="AP25" i="120"/>
  <c r="AT18" i="119"/>
  <c r="BI17" i="119"/>
  <c r="AQ17" i="119"/>
  <c r="BC17" i="119"/>
  <c r="AP17" i="119"/>
  <c r="BE18" i="119"/>
  <c r="AH18" i="119"/>
  <c r="AI17" i="119"/>
  <c r="BA17" i="119"/>
  <c r="AR17" i="119"/>
  <c r="AY32" i="119"/>
  <c r="AV32" i="119"/>
  <c r="AW32" i="119" s="1"/>
  <c r="AY16" i="119"/>
  <c r="AV16" i="119"/>
  <c r="AW16" i="119" s="1"/>
  <c r="BC41" i="119"/>
  <c r="AP41" i="119"/>
  <c r="BE42" i="119"/>
  <c r="AH42" i="119"/>
  <c r="AI41" i="119"/>
  <c r="BA41" i="119"/>
  <c r="AR41" i="119"/>
  <c r="AQ41" i="119"/>
  <c r="BI41" i="119"/>
  <c r="AT42" i="119"/>
  <c r="BE34" i="119"/>
  <c r="AH34" i="119"/>
  <c r="BC33" i="119"/>
  <c r="AP33" i="119"/>
  <c r="BA33" i="119"/>
  <c r="AQ33" i="119"/>
  <c r="AI33" i="119"/>
  <c r="BI33" i="119"/>
  <c r="AT34" i="119"/>
  <c r="AR33" i="119"/>
  <c r="AY40" i="119"/>
  <c r="AV40" i="119"/>
  <c r="AW40" i="119" s="1"/>
  <c r="AY40" i="118"/>
  <c r="AV40" i="118"/>
  <c r="AW40" i="118" s="1"/>
  <c r="BC41" i="118"/>
  <c r="AP41" i="118"/>
  <c r="BE42" i="118"/>
  <c r="AH42" i="118"/>
  <c r="AI41" i="118"/>
  <c r="BA41" i="118"/>
  <c r="AR41" i="118"/>
  <c r="BI41" i="118"/>
  <c r="AT42" i="118"/>
  <c r="AQ41" i="118"/>
  <c r="AY33" i="117"/>
  <c r="AV33" i="117"/>
  <c r="AW33" i="117" s="1"/>
  <c r="AY25" i="117"/>
  <c r="AV25" i="117"/>
  <c r="AW25" i="117" s="1"/>
  <c r="AY40" i="117"/>
  <c r="AV40" i="117"/>
  <c r="AW40" i="117" s="1"/>
  <c r="BA26" i="117"/>
  <c r="AR26" i="117"/>
  <c r="BC26" i="117"/>
  <c r="AP26" i="117"/>
  <c r="BE27" i="117"/>
  <c r="AT27" i="117"/>
  <c r="AH27" i="117"/>
  <c r="BI26" i="117"/>
  <c r="AI26" i="117"/>
  <c r="AQ26" i="117"/>
  <c r="BC41" i="117"/>
  <c r="AP41" i="117"/>
  <c r="BE42" i="117"/>
  <c r="AH42" i="117"/>
  <c r="AI41" i="117"/>
  <c r="BA41" i="117"/>
  <c r="AR41" i="117"/>
  <c r="AT42" i="117"/>
  <c r="BI41" i="117"/>
  <c r="AQ41" i="117"/>
  <c r="AY40" i="116"/>
  <c r="AV40" i="116"/>
  <c r="AW40" i="116" s="1"/>
  <c r="AY25" i="116"/>
  <c r="AV25" i="116"/>
  <c r="AW25" i="116" s="1"/>
  <c r="AY17" i="116"/>
  <c r="BC41" i="116"/>
  <c r="AP41" i="116"/>
  <c r="BE42" i="116"/>
  <c r="AH42" i="116"/>
  <c r="AI41" i="116"/>
  <c r="BA41" i="116"/>
  <c r="AR41" i="116"/>
  <c r="AT42" i="116"/>
  <c r="BI41" i="116"/>
  <c r="AQ41" i="116"/>
  <c r="AY32" i="116"/>
  <c r="AV32" i="116"/>
  <c r="AW32" i="116" s="1"/>
  <c r="BE34" i="116"/>
  <c r="AH34" i="116"/>
  <c r="AT34" i="116"/>
  <c r="BC33" i="116"/>
  <c r="AP33" i="116"/>
  <c r="BA33" i="116"/>
  <c r="AR33" i="116"/>
  <c r="BI33" i="116"/>
  <c r="AI33" i="116"/>
  <c r="AQ33" i="116"/>
  <c r="BE27" i="116"/>
  <c r="AH27" i="116"/>
  <c r="AI26" i="116"/>
  <c r="AT27" i="116"/>
  <c r="BI26" i="116"/>
  <c r="BC26" i="116"/>
  <c r="AR26" i="116"/>
  <c r="BA26" i="116"/>
  <c r="AQ26" i="116"/>
  <c r="AP26" i="116"/>
  <c r="AT19" i="116"/>
  <c r="BI18" i="116"/>
  <c r="BC18" i="116"/>
  <c r="AP18" i="116"/>
  <c r="AK18" i="116" s="1"/>
  <c r="BA18" i="116"/>
  <c r="AI18" i="116"/>
  <c r="AS18" i="116" s="1"/>
  <c r="AU18" i="116" s="1"/>
  <c r="BE19" i="116"/>
  <c r="AH19" i="116"/>
  <c r="AR18" i="116"/>
  <c r="AQ18" i="116"/>
  <c r="AY16" i="115"/>
  <c r="AV16" i="115"/>
  <c r="AW16" i="115" s="1"/>
  <c r="AT18" i="115"/>
  <c r="BI17" i="115"/>
  <c r="AQ17" i="115"/>
  <c r="BC17" i="115"/>
  <c r="AP17" i="115"/>
  <c r="BA17" i="115"/>
  <c r="AI17" i="115"/>
  <c r="AR17" i="115"/>
  <c r="BE18" i="115"/>
  <c r="AH18" i="115"/>
  <c r="AY25" i="115"/>
  <c r="AV25" i="115"/>
  <c r="AW25" i="115" s="1"/>
  <c r="AY40" i="115"/>
  <c r="AV40" i="115"/>
  <c r="AW40" i="115" s="1"/>
  <c r="BC41" i="115"/>
  <c r="AP41" i="115"/>
  <c r="BE42" i="115"/>
  <c r="AH42" i="115"/>
  <c r="AI41" i="115"/>
  <c r="BA41" i="115"/>
  <c r="AR41" i="115"/>
  <c r="AT42" i="115"/>
  <c r="BI41" i="115"/>
  <c r="AQ41" i="115"/>
  <c r="AT17" i="114"/>
  <c r="AI16" i="114"/>
  <c r="AQ16" i="114"/>
  <c r="BA16" i="114"/>
  <c r="AR16" i="114"/>
  <c r="BE17" i="114"/>
  <c r="AH17" i="114"/>
  <c r="BI16" i="114"/>
  <c r="BC16" i="114"/>
  <c r="AP16" i="114"/>
  <c r="AY15" i="114"/>
  <c r="AV15" i="114"/>
  <c r="AW15" i="114" s="1"/>
  <c r="U46" i="114"/>
  <c r="BQ21" i="114"/>
  <c r="AY32" i="114"/>
  <c r="AV32" i="114"/>
  <c r="AW32" i="114" s="1"/>
  <c r="BE34" i="114"/>
  <c r="AH34" i="114"/>
  <c r="BA33" i="114"/>
  <c r="AR33" i="114"/>
  <c r="BI33" i="114"/>
  <c r="AQ33" i="114"/>
  <c r="AT34" i="114"/>
  <c r="BC33" i="114"/>
  <c r="AP33" i="114"/>
  <c r="AI33" i="114"/>
  <c r="AY41" i="114"/>
  <c r="AV41" i="114"/>
  <c r="AW41" i="114" s="1"/>
  <c r="AT27" i="114"/>
  <c r="BA26" i="114"/>
  <c r="AJ26" i="114" s="1"/>
  <c r="BE43" i="114"/>
  <c r="AH43" i="114"/>
  <c r="AI42" i="114"/>
  <c r="BA42" i="114"/>
  <c r="AR42" i="114"/>
  <c r="AT43" i="114"/>
  <c r="BI42" i="114"/>
  <c r="AQ42" i="114"/>
  <c r="BC42" i="114"/>
  <c r="AP42" i="114"/>
  <c r="AR17" i="113"/>
  <c r="AY40" i="113"/>
  <c r="AV40" i="113"/>
  <c r="AW40" i="113" s="1"/>
  <c r="BC41" i="113"/>
  <c r="AP41" i="113"/>
  <c r="BE42" i="113"/>
  <c r="AH42" i="113"/>
  <c r="AI41" i="113"/>
  <c r="BA41" i="113"/>
  <c r="AR41" i="113"/>
  <c r="AQ41" i="113"/>
  <c r="AT42" i="113"/>
  <c r="BI41" i="113"/>
  <c r="BC26" i="113"/>
  <c r="AP26" i="113"/>
  <c r="BA26" i="113"/>
  <c r="BI26" i="113"/>
  <c r="AR26" i="113"/>
  <c r="BE27" i="113"/>
  <c r="AT27" i="113"/>
  <c r="AI26" i="113"/>
  <c r="AH27" i="113"/>
  <c r="AQ26" i="113"/>
  <c r="AY25" i="113"/>
  <c r="AV25" i="113"/>
  <c r="AW25" i="113" s="1"/>
  <c r="W46" i="133" l="1"/>
  <c r="W46" i="132"/>
  <c r="AP34" i="132"/>
  <c r="BA34" i="132"/>
  <c r="BE35" i="132"/>
  <c r="BI18" i="128"/>
  <c r="AT35" i="122"/>
  <c r="AP34" i="122"/>
  <c r="BE35" i="122"/>
  <c r="BC34" i="122"/>
  <c r="BI34" i="122"/>
  <c r="BA34" i="122"/>
  <c r="AV16" i="116"/>
  <c r="AW16" i="116" s="1"/>
  <c r="AS33" i="115"/>
  <c r="AU33" i="115" s="1"/>
  <c r="AV33" i="115" s="1"/>
  <c r="AW33" i="115" s="1"/>
  <c r="AK17" i="116"/>
  <c r="BA34" i="115"/>
  <c r="AV33" i="113"/>
  <c r="AW33" i="113" s="1"/>
  <c r="AH35" i="113"/>
  <c r="BE35" i="113"/>
  <c r="AV25" i="114"/>
  <c r="AW25" i="114" s="1"/>
  <c r="AI26" i="114"/>
  <c r="AP26" i="114"/>
  <c r="AR26" i="114"/>
  <c r="BC26" i="114"/>
  <c r="BD26" i="114" s="1"/>
  <c r="BF26" i="114" s="1"/>
  <c r="AH27" i="114"/>
  <c r="BI27" i="114" s="1"/>
  <c r="AQ26" i="114"/>
  <c r="BE27" i="114"/>
  <c r="AV17" i="117"/>
  <c r="AW17" i="117" s="1"/>
  <c r="AT35" i="117"/>
  <c r="AR34" i="117"/>
  <c r="BA34" i="117"/>
  <c r="AI34" i="117"/>
  <c r="AH35" i="117"/>
  <c r="AT36" i="117" s="1"/>
  <c r="AP34" i="117"/>
  <c r="AQ34" i="117"/>
  <c r="AV25" i="119"/>
  <c r="AW25" i="119" s="1"/>
  <c r="BA26" i="119"/>
  <c r="AH27" i="119"/>
  <c r="BE28" i="119" s="1"/>
  <c r="AT27" i="119"/>
  <c r="BE27" i="119"/>
  <c r="AR26" i="119"/>
  <c r="BC26" i="119"/>
  <c r="AI26" i="119"/>
  <c r="AV26" i="119" s="1"/>
  <c r="AW26" i="119" s="1"/>
  <c r="AQ26" i="119"/>
  <c r="AP26" i="119"/>
  <c r="AH35" i="122"/>
  <c r="BA35" i="122" s="1"/>
  <c r="AQ34" i="122"/>
  <c r="W46" i="124"/>
  <c r="W46" i="127"/>
  <c r="BC34" i="132"/>
  <c r="AT35" i="132"/>
  <c r="AV33" i="132"/>
  <c r="AW33" i="132" s="1"/>
  <c r="BI34" i="132"/>
  <c r="AI34" i="132"/>
  <c r="AY34" i="132" s="1"/>
  <c r="AR34" i="132"/>
  <c r="AQ34" i="132"/>
  <c r="AQ34" i="118"/>
  <c r="AY25" i="118"/>
  <c r="BA26" i="118"/>
  <c r="W46" i="118"/>
  <c r="AY17" i="118"/>
  <c r="AQ26" i="118"/>
  <c r="AT27" i="118"/>
  <c r="BE27" i="118"/>
  <c r="AP26" i="118"/>
  <c r="AI26" i="118"/>
  <c r="AV26" i="118" s="1"/>
  <c r="AW26" i="118" s="1"/>
  <c r="AR26" i="118"/>
  <c r="AH27" i="118"/>
  <c r="AR27" i="118" s="1"/>
  <c r="BI26" i="118"/>
  <c r="BC34" i="117"/>
  <c r="BE35" i="117"/>
  <c r="W46" i="116"/>
  <c r="AH27" i="115"/>
  <c r="AI27" i="115" s="1"/>
  <c r="AP26" i="115"/>
  <c r="AK26" i="115" s="1"/>
  <c r="BE27" i="115"/>
  <c r="AI26" i="115"/>
  <c r="AV26" i="115" s="1"/>
  <c r="AW26" i="115" s="1"/>
  <c r="AQ26" i="115"/>
  <c r="BC26" i="115"/>
  <c r="BD26" i="115" s="1"/>
  <c r="BF26" i="115" s="1"/>
  <c r="BA26" i="115"/>
  <c r="AJ26" i="115" s="1"/>
  <c r="BI26" i="115"/>
  <c r="AT27" i="115"/>
  <c r="AQ34" i="115"/>
  <c r="W46" i="114"/>
  <c r="AR34" i="113"/>
  <c r="AP34" i="113"/>
  <c r="AI34" i="113"/>
  <c r="AY34" i="113" s="1"/>
  <c r="BI34" i="113"/>
  <c r="BA34" i="113"/>
  <c r="AQ34" i="113"/>
  <c r="BC34" i="113"/>
  <c r="AR34" i="122"/>
  <c r="S21" i="113"/>
  <c r="W21" i="113" s="1"/>
  <c r="W46" i="113" s="1"/>
  <c r="W46" i="128"/>
  <c r="BA18" i="128"/>
  <c r="AY17" i="127"/>
  <c r="AV33" i="122"/>
  <c r="AW33" i="122" s="1"/>
  <c r="W46" i="121"/>
  <c r="W46" i="119"/>
  <c r="BE19" i="117"/>
  <c r="BC18" i="117"/>
  <c r="AR18" i="117"/>
  <c r="AT19" i="117"/>
  <c r="AH35" i="115"/>
  <c r="BA35" i="115" s="1"/>
  <c r="BI34" i="115"/>
  <c r="BC34" i="115"/>
  <c r="BE35" i="115"/>
  <c r="AT35" i="115"/>
  <c r="AR34" i="115"/>
  <c r="AS17" i="113"/>
  <c r="AU17" i="113" s="1"/>
  <c r="AV17" i="113" s="1"/>
  <c r="AW17" i="113" s="1"/>
  <c r="W46" i="131"/>
  <c r="BE19" i="128"/>
  <c r="AT35" i="118"/>
  <c r="AI34" i="118"/>
  <c r="AV34" i="118" s="1"/>
  <c r="AW34" i="118" s="1"/>
  <c r="BE35" i="118"/>
  <c r="AQ18" i="117"/>
  <c r="AP34" i="115"/>
  <c r="AK34" i="115" s="1"/>
  <c r="AY17" i="113"/>
  <c r="AI18" i="128"/>
  <c r="AY18" i="128" s="1"/>
  <c r="AR18" i="128"/>
  <c r="AY17" i="128"/>
  <c r="AP18" i="128"/>
  <c r="AT19" i="128"/>
  <c r="BC18" i="128"/>
  <c r="AH19" i="128"/>
  <c r="BI19" i="128" s="1"/>
  <c r="AR18" i="127"/>
  <c r="BI18" i="127"/>
  <c r="AT19" i="127"/>
  <c r="AI18" i="127"/>
  <c r="AV18" i="127" s="1"/>
  <c r="AW18" i="127" s="1"/>
  <c r="BA18" i="127"/>
  <c r="BE19" i="127"/>
  <c r="AP18" i="127"/>
  <c r="W46" i="120"/>
  <c r="AV33" i="118"/>
  <c r="AW33" i="118" s="1"/>
  <c r="AH35" i="118"/>
  <c r="AH36" i="118" s="1"/>
  <c r="BA34" i="118"/>
  <c r="AP34" i="118"/>
  <c r="BI34" i="118"/>
  <c r="BC34" i="118"/>
  <c r="AI18" i="118"/>
  <c r="AY18" i="118" s="1"/>
  <c r="BI18" i="118"/>
  <c r="BE19" i="118"/>
  <c r="AR18" i="118"/>
  <c r="AH19" i="118"/>
  <c r="AT20" i="118" s="1"/>
  <c r="AP18" i="118"/>
  <c r="BA18" i="118"/>
  <c r="BC18" i="118"/>
  <c r="AT19" i="118"/>
  <c r="AI18" i="117"/>
  <c r="AY18" i="117" s="1"/>
  <c r="BA18" i="117"/>
  <c r="AH19" i="117"/>
  <c r="BE20" i="117" s="1"/>
  <c r="AP18" i="117"/>
  <c r="AY33" i="115"/>
  <c r="S46" i="114"/>
  <c r="AD21" i="114"/>
  <c r="AE21" i="114" s="1"/>
  <c r="W46" i="125"/>
  <c r="AQ18" i="127"/>
  <c r="BC18" i="127"/>
  <c r="AI18" i="113"/>
  <c r="BA18" i="113"/>
  <c r="AQ18" i="113"/>
  <c r="AH19" i="113"/>
  <c r="AH20" i="113" s="1"/>
  <c r="BI18" i="113"/>
  <c r="BE19" i="113"/>
  <c r="AP18" i="113"/>
  <c r="AT19" i="113"/>
  <c r="AR18" i="113"/>
  <c r="BC18" i="133"/>
  <c r="BD18" i="133" s="1"/>
  <c r="BF18" i="133" s="1"/>
  <c r="AP18" i="133"/>
  <c r="AK18" i="133" s="1"/>
  <c r="BE19" i="133"/>
  <c r="AH19" i="133"/>
  <c r="AI18" i="133"/>
  <c r="AT19" i="133"/>
  <c r="BA18" i="133"/>
  <c r="AJ18" i="133" s="1"/>
  <c r="AR18" i="133"/>
  <c r="BI18" i="133"/>
  <c r="AQ18" i="133"/>
  <c r="AY26" i="133"/>
  <c r="AV26" i="133"/>
  <c r="AW26" i="133" s="1"/>
  <c r="BE28" i="133"/>
  <c r="AH28" i="133"/>
  <c r="AT28" i="133"/>
  <c r="BI27" i="133"/>
  <c r="AQ27" i="133"/>
  <c r="BA27" i="133"/>
  <c r="AJ27" i="133" s="1"/>
  <c r="AP27" i="133"/>
  <c r="AI27" i="133"/>
  <c r="AR27" i="133"/>
  <c r="BC27" i="133"/>
  <c r="BD27" i="133" s="1"/>
  <c r="BF27" i="133" s="1"/>
  <c r="BE36" i="133"/>
  <c r="AH36" i="133"/>
  <c r="AI35" i="133"/>
  <c r="BA35" i="133"/>
  <c r="AQ35" i="133"/>
  <c r="AR35" i="133"/>
  <c r="AT36" i="133"/>
  <c r="BI35" i="133"/>
  <c r="AP35" i="133"/>
  <c r="BC35" i="133"/>
  <c r="AY41" i="133"/>
  <c r="AV41" i="133"/>
  <c r="AW41" i="133" s="1"/>
  <c r="AY17" i="133"/>
  <c r="AV17" i="133"/>
  <c r="AW17" i="133" s="1"/>
  <c r="AY34" i="133"/>
  <c r="AV34" i="133"/>
  <c r="AW34" i="133" s="1"/>
  <c r="BE43" i="133"/>
  <c r="AH43" i="133"/>
  <c r="AI42" i="133"/>
  <c r="BA42" i="133"/>
  <c r="AR42" i="133"/>
  <c r="AT43" i="133"/>
  <c r="BC42" i="133"/>
  <c r="AQ42" i="133"/>
  <c r="BI42" i="133"/>
  <c r="AP42" i="133"/>
  <c r="AY25" i="132"/>
  <c r="AV25" i="132"/>
  <c r="AW25" i="132" s="1"/>
  <c r="AT27" i="132"/>
  <c r="BI26" i="132"/>
  <c r="AQ26" i="132"/>
  <c r="BC26" i="132"/>
  <c r="AP26" i="132"/>
  <c r="BE27" i="132"/>
  <c r="AH27" i="132"/>
  <c r="BA26" i="132"/>
  <c r="AI26" i="132"/>
  <c r="AR26" i="132"/>
  <c r="AY17" i="132"/>
  <c r="AV17" i="132"/>
  <c r="AW17" i="132" s="1"/>
  <c r="BA35" i="132"/>
  <c r="AR35" i="132"/>
  <c r="AT36" i="132"/>
  <c r="BI35" i="132"/>
  <c r="AQ35" i="132"/>
  <c r="BE36" i="132"/>
  <c r="AH36" i="132"/>
  <c r="AP35" i="132"/>
  <c r="AI35" i="132"/>
  <c r="BC35" i="132"/>
  <c r="AY41" i="132"/>
  <c r="AV41" i="132"/>
  <c r="AW41" i="132" s="1"/>
  <c r="BC18" i="132"/>
  <c r="AP18" i="132"/>
  <c r="AK18" i="132" s="1"/>
  <c r="BE19" i="132"/>
  <c r="AH19" i="132"/>
  <c r="AI18" i="132"/>
  <c r="BA18" i="132"/>
  <c r="AR18" i="132"/>
  <c r="AT19" i="132"/>
  <c r="BI18" i="132"/>
  <c r="AQ18" i="132"/>
  <c r="BE43" i="132"/>
  <c r="AH43" i="132"/>
  <c r="AI42" i="132"/>
  <c r="BA42" i="132"/>
  <c r="AR42" i="132"/>
  <c r="AT43" i="132"/>
  <c r="BI42" i="132"/>
  <c r="AQ42" i="132"/>
  <c r="BC42" i="132"/>
  <c r="AP42" i="132"/>
  <c r="BA27" i="131"/>
  <c r="AR27" i="131"/>
  <c r="AT28" i="131"/>
  <c r="BI27" i="131"/>
  <c r="AQ27" i="131"/>
  <c r="BE28" i="131"/>
  <c r="AH28" i="131"/>
  <c r="AP27" i="131"/>
  <c r="AI27" i="131"/>
  <c r="BC27" i="131"/>
  <c r="AY17" i="131"/>
  <c r="AV17" i="131"/>
  <c r="AW17" i="131" s="1"/>
  <c r="AY33" i="131"/>
  <c r="AV33" i="131"/>
  <c r="AW33" i="131" s="1"/>
  <c r="BA18" i="131"/>
  <c r="AR18" i="131"/>
  <c r="AT19" i="131"/>
  <c r="BI18" i="131"/>
  <c r="AQ18" i="131"/>
  <c r="BC18" i="131"/>
  <c r="AP18" i="131"/>
  <c r="AH19" i="131"/>
  <c r="BE19" i="131"/>
  <c r="AI18" i="131"/>
  <c r="BE43" i="131"/>
  <c r="AH43" i="131"/>
  <c r="AI42" i="131"/>
  <c r="BA42" i="131"/>
  <c r="AR42" i="131"/>
  <c r="AT43" i="131"/>
  <c r="BI42" i="131"/>
  <c r="AQ42" i="131"/>
  <c r="AP42" i="131"/>
  <c r="BC42" i="131"/>
  <c r="AY26" i="131"/>
  <c r="AV26" i="131"/>
  <c r="AW26" i="131" s="1"/>
  <c r="AY41" i="131"/>
  <c r="AV41" i="131"/>
  <c r="AW41" i="131" s="1"/>
  <c r="BE35" i="131"/>
  <c r="AH35" i="131"/>
  <c r="BA34" i="131"/>
  <c r="AR34" i="131"/>
  <c r="AT35" i="131"/>
  <c r="BC34" i="131"/>
  <c r="AI34" i="131"/>
  <c r="BI34" i="131"/>
  <c r="AQ34" i="131"/>
  <c r="AP34" i="131"/>
  <c r="AY41" i="130"/>
  <c r="AV41" i="130"/>
  <c r="AW41" i="130" s="1"/>
  <c r="AT19" i="130"/>
  <c r="BI18" i="130"/>
  <c r="AQ18" i="130"/>
  <c r="BA18" i="130"/>
  <c r="AP18" i="130"/>
  <c r="AI18" i="130"/>
  <c r="AH19" i="130"/>
  <c r="BC18" i="130"/>
  <c r="AR18" i="130"/>
  <c r="BE19" i="130"/>
  <c r="BE43" i="130"/>
  <c r="AH43" i="130"/>
  <c r="AI42" i="130"/>
  <c r="BA42" i="130"/>
  <c r="AR42" i="130"/>
  <c r="AT43" i="130"/>
  <c r="BI42" i="130"/>
  <c r="AQ42" i="130"/>
  <c r="AP42" i="130"/>
  <c r="BC42" i="130"/>
  <c r="AY25" i="130"/>
  <c r="AV25" i="130"/>
  <c r="AW25" i="130" s="1"/>
  <c r="AY33" i="130"/>
  <c r="AV33" i="130"/>
  <c r="AW33" i="130" s="1"/>
  <c r="BE35" i="130"/>
  <c r="AH35" i="130"/>
  <c r="BA34" i="130"/>
  <c r="AR34" i="130"/>
  <c r="AI34" i="130"/>
  <c r="AT35" i="130"/>
  <c r="BI34" i="130"/>
  <c r="BC34" i="130"/>
  <c r="AQ34" i="130"/>
  <c r="AP34" i="130"/>
  <c r="BE27" i="130"/>
  <c r="AH27" i="130"/>
  <c r="AI26" i="130"/>
  <c r="AT27" i="130"/>
  <c r="BI26" i="130"/>
  <c r="AQ26" i="130"/>
  <c r="BC26" i="130"/>
  <c r="AR26" i="130"/>
  <c r="AP26" i="130"/>
  <c r="BA26" i="130"/>
  <c r="AY17" i="130"/>
  <c r="AV17" i="130"/>
  <c r="AW17" i="130" s="1"/>
  <c r="BE43" i="129"/>
  <c r="AH43" i="129"/>
  <c r="AI42" i="129"/>
  <c r="BA42" i="129"/>
  <c r="AR42" i="129"/>
  <c r="AT43" i="129"/>
  <c r="BI42" i="129"/>
  <c r="AQ42" i="129"/>
  <c r="BC42" i="129"/>
  <c r="AP42" i="129"/>
  <c r="AY18" i="129"/>
  <c r="AV18" i="129"/>
  <c r="AW18" i="129" s="1"/>
  <c r="BC19" i="129"/>
  <c r="AP19" i="129"/>
  <c r="BA19" i="129"/>
  <c r="BE20" i="129"/>
  <c r="AT20" i="129"/>
  <c r="BI19" i="129"/>
  <c r="AR19" i="129"/>
  <c r="AQ19" i="129"/>
  <c r="AH20" i="129"/>
  <c r="AI19" i="129"/>
  <c r="AY33" i="129"/>
  <c r="AV33" i="129"/>
  <c r="AW33" i="129" s="1"/>
  <c r="BE35" i="129"/>
  <c r="AH35" i="129"/>
  <c r="BA34" i="129"/>
  <c r="AR34" i="129"/>
  <c r="AI34" i="129"/>
  <c r="AT35" i="129"/>
  <c r="BI34" i="129"/>
  <c r="BC34" i="129"/>
  <c r="AQ34" i="129"/>
  <c r="AP34" i="129"/>
  <c r="BA27" i="129"/>
  <c r="AJ27" i="129" s="1"/>
  <c r="AR27" i="129"/>
  <c r="AT28" i="129"/>
  <c r="BI27" i="129"/>
  <c r="AQ27" i="129"/>
  <c r="BC27" i="129"/>
  <c r="BD27" i="129" s="1"/>
  <c r="BF27" i="129" s="1"/>
  <c r="AP27" i="129"/>
  <c r="AH28" i="129"/>
  <c r="AI27" i="129"/>
  <c r="BE28" i="129"/>
  <c r="AY41" i="129"/>
  <c r="AV41" i="129"/>
  <c r="AW41" i="129" s="1"/>
  <c r="AY26" i="129"/>
  <c r="AV26" i="129"/>
  <c r="AW26" i="129" s="1"/>
  <c r="AY26" i="128"/>
  <c r="AV26" i="128"/>
  <c r="AW26" i="128" s="1"/>
  <c r="AY33" i="128"/>
  <c r="AV33" i="128"/>
  <c r="AW33" i="128" s="1"/>
  <c r="AY42" i="128"/>
  <c r="AV42" i="128"/>
  <c r="AW42" i="128" s="1"/>
  <c r="AT44" i="128"/>
  <c r="BI43" i="128"/>
  <c r="AQ43" i="128"/>
  <c r="BC43" i="128"/>
  <c r="AP43" i="128"/>
  <c r="BA43" i="128"/>
  <c r="AI43" i="128"/>
  <c r="AH44" i="128"/>
  <c r="AR43" i="128"/>
  <c r="BE44" i="128"/>
  <c r="BC27" i="128"/>
  <c r="AH28" i="128"/>
  <c r="AI27" i="128"/>
  <c r="BA27" i="128"/>
  <c r="AR27" i="128"/>
  <c r="BI27" i="128"/>
  <c r="AT28" i="128"/>
  <c r="BE28" i="128"/>
  <c r="AQ27" i="128"/>
  <c r="AP27" i="128"/>
  <c r="BE35" i="128"/>
  <c r="AH35" i="128"/>
  <c r="BA34" i="128"/>
  <c r="AR34" i="128"/>
  <c r="BI34" i="128"/>
  <c r="BC34" i="128"/>
  <c r="AQ34" i="128"/>
  <c r="AT35" i="128"/>
  <c r="AP34" i="128"/>
  <c r="AI34" i="128"/>
  <c r="BE43" i="127"/>
  <c r="AH43" i="127"/>
  <c r="AI42" i="127"/>
  <c r="BA42" i="127"/>
  <c r="AR42" i="127"/>
  <c r="AT43" i="127"/>
  <c r="BI42" i="127"/>
  <c r="AQ42" i="127"/>
  <c r="BC42" i="127"/>
  <c r="AP42" i="127"/>
  <c r="AY25" i="127"/>
  <c r="AV25" i="127"/>
  <c r="AW25" i="127" s="1"/>
  <c r="AT27" i="127"/>
  <c r="BI26" i="127"/>
  <c r="AQ26" i="127"/>
  <c r="BC26" i="127"/>
  <c r="AP26" i="127"/>
  <c r="BE27" i="127"/>
  <c r="AH27" i="127"/>
  <c r="AI26" i="127"/>
  <c r="AR26" i="127"/>
  <c r="BA26" i="127"/>
  <c r="BA19" i="127"/>
  <c r="AR19" i="127"/>
  <c r="AI19" i="127"/>
  <c r="BE20" i="127"/>
  <c r="BI19" i="127"/>
  <c r="BC19" i="127"/>
  <c r="AQ19" i="127"/>
  <c r="AT20" i="127"/>
  <c r="AH20" i="127"/>
  <c r="AP19" i="127"/>
  <c r="AK19" i="127" s="1"/>
  <c r="AY33" i="127"/>
  <c r="AV33" i="127"/>
  <c r="AW33" i="127" s="1"/>
  <c r="BE35" i="127"/>
  <c r="AH35" i="127"/>
  <c r="BA34" i="127"/>
  <c r="AR34" i="127"/>
  <c r="BI34" i="127"/>
  <c r="BC34" i="127"/>
  <c r="AQ34" i="127"/>
  <c r="AP34" i="127"/>
  <c r="AI34" i="127"/>
  <c r="AT35" i="127"/>
  <c r="AY41" i="127"/>
  <c r="AV41" i="127"/>
  <c r="AW41" i="127" s="1"/>
  <c r="AY33" i="126"/>
  <c r="AV33" i="126"/>
  <c r="AW33" i="126" s="1"/>
  <c r="BE35" i="126"/>
  <c r="AH35" i="126"/>
  <c r="BA34" i="126"/>
  <c r="AR34" i="126"/>
  <c r="BI34" i="126"/>
  <c r="BC34" i="126"/>
  <c r="AQ34" i="126"/>
  <c r="AP34" i="126"/>
  <c r="AI34" i="126"/>
  <c r="AT35" i="126"/>
  <c r="BE19" i="126"/>
  <c r="AH19" i="126"/>
  <c r="BA18" i="126"/>
  <c r="AQ18" i="126"/>
  <c r="AT19" i="126"/>
  <c r="AP18" i="126"/>
  <c r="AI18" i="126"/>
  <c r="BC18" i="126"/>
  <c r="BI18" i="126"/>
  <c r="AR18" i="126"/>
  <c r="AY25" i="126"/>
  <c r="AV25" i="126"/>
  <c r="AW25" i="126" s="1"/>
  <c r="AY41" i="126"/>
  <c r="AV41" i="126"/>
  <c r="AW41" i="126" s="1"/>
  <c r="Z18" i="126"/>
  <c r="A19" i="126"/>
  <c r="BE43" i="126"/>
  <c r="AH43" i="126"/>
  <c r="AI42" i="126"/>
  <c r="BA42" i="126"/>
  <c r="AR42" i="126"/>
  <c r="AT43" i="126"/>
  <c r="BI42" i="126"/>
  <c r="AQ42" i="126"/>
  <c r="BC42" i="126"/>
  <c r="AP42" i="126"/>
  <c r="AY17" i="126"/>
  <c r="AV17" i="126"/>
  <c r="AW17" i="126" s="1"/>
  <c r="AT27" i="126"/>
  <c r="BI26" i="126"/>
  <c r="AQ26" i="126"/>
  <c r="BC26" i="126"/>
  <c r="AP26" i="126"/>
  <c r="BE27" i="126"/>
  <c r="AH27" i="126"/>
  <c r="AI26" i="126"/>
  <c r="AR26" i="126"/>
  <c r="BA26" i="126"/>
  <c r="AY34" i="125"/>
  <c r="AV34" i="125"/>
  <c r="AW34" i="125" s="1"/>
  <c r="AY17" i="125"/>
  <c r="AV17" i="125"/>
  <c r="AW17" i="125" s="1"/>
  <c r="AY26" i="125"/>
  <c r="AV26" i="125"/>
  <c r="AW26" i="125" s="1"/>
  <c r="BE43" i="125"/>
  <c r="AH43" i="125"/>
  <c r="AI42" i="125"/>
  <c r="BA42" i="125"/>
  <c r="AR42" i="125"/>
  <c r="AT43" i="125"/>
  <c r="BI42" i="125"/>
  <c r="AQ42" i="125"/>
  <c r="AP42" i="125"/>
  <c r="BC42" i="125"/>
  <c r="AT36" i="125"/>
  <c r="BI35" i="125"/>
  <c r="AQ35" i="125"/>
  <c r="BE36" i="125"/>
  <c r="AH36" i="125"/>
  <c r="AR35" i="125"/>
  <c r="BA35" i="125"/>
  <c r="AP35" i="125"/>
  <c r="AI35" i="125"/>
  <c r="BC35" i="125"/>
  <c r="AY41" i="125"/>
  <c r="AV41" i="125"/>
  <c r="AW41" i="125" s="1"/>
  <c r="BC18" i="125"/>
  <c r="AP18" i="125"/>
  <c r="BE19" i="125"/>
  <c r="AT19" i="125"/>
  <c r="BI18" i="125"/>
  <c r="AR18" i="125"/>
  <c r="AH19" i="125"/>
  <c r="AQ18" i="125"/>
  <c r="AI18" i="125"/>
  <c r="BA18" i="125"/>
  <c r="AT28" i="125"/>
  <c r="BI27" i="125"/>
  <c r="AQ27" i="125"/>
  <c r="BC27" i="125"/>
  <c r="AP27" i="125"/>
  <c r="BE28" i="125"/>
  <c r="AH28" i="125"/>
  <c r="AI27" i="125"/>
  <c r="AR27" i="125"/>
  <c r="BA27" i="125"/>
  <c r="AY34" i="124"/>
  <c r="AV34" i="124"/>
  <c r="AW34" i="124" s="1"/>
  <c r="BA35" i="124"/>
  <c r="AR35" i="124"/>
  <c r="AT36" i="124"/>
  <c r="BI35" i="124"/>
  <c r="AQ35" i="124"/>
  <c r="BE36" i="124"/>
  <c r="AH36" i="124"/>
  <c r="AP35" i="124"/>
  <c r="AI35" i="124"/>
  <c r="BC35" i="124"/>
  <c r="AT19" i="124"/>
  <c r="BI18" i="124"/>
  <c r="AQ18" i="124"/>
  <c r="BC18" i="124"/>
  <c r="AP18" i="124"/>
  <c r="BE19" i="124"/>
  <c r="AH19" i="124"/>
  <c r="AI18" i="124"/>
  <c r="AR18" i="124"/>
  <c r="BA18" i="124"/>
  <c r="AY26" i="124"/>
  <c r="AV26" i="124"/>
  <c r="AW26" i="124" s="1"/>
  <c r="AY41" i="124"/>
  <c r="AV41" i="124"/>
  <c r="AW41" i="124" s="1"/>
  <c r="BE28" i="124"/>
  <c r="AH28" i="124"/>
  <c r="AI27" i="124"/>
  <c r="AT28" i="124"/>
  <c r="BI27" i="124"/>
  <c r="AQ27" i="124"/>
  <c r="BC27" i="124"/>
  <c r="BD27" i="124" s="1"/>
  <c r="BF27" i="124" s="1"/>
  <c r="AR27" i="124"/>
  <c r="AP27" i="124"/>
  <c r="BA27" i="124"/>
  <c r="AJ27" i="124" s="1"/>
  <c r="BA42" i="124"/>
  <c r="AR42" i="124"/>
  <c r="AT43" i="124"/>
  <c r="BI42" i="124"/>
  <c r="AQ42" i="124"/>
  <c r="BE43" i="124"/>
  <c r="AH43" i="124"/>
  <c r="AP42" i="124"/>
  <c r="AI42" i="124"/>
  <c r="BC42" i="124"/>
  <c r="AY17" i="124"/>
  <c r="AV17" i="124"/>
  <c r="AW17" i="124" s="1"/>
  <c r="AY33" i="123"/>
  <c r="AV33" i="123"/>
  <c r="AW33" i="123" s="1"/>
  <c r="AY41" i="123"/>
  <c r="AV41" i="123"/>
  <c r="AW41" i="123" s="1"/>
  <c r="AY26" i="123"/>
  <c r="AV26" i="123"/>
  <c r="AW26" i="123" s="1"/>
  <c r="BE43" i="123"/>
  <c r="AH43" i="123"/>
  <c r="AI42" i="123"/>
  <c r="BA42" i="123"/>
  <c r="AR42" i="123"/>
  <c r="AT43" i="123"/>
  <c r="BI42" i="123"/>
  <c r="AQ42" i="123"/>
  <c r="BC42" i="123"/>
  <c r="AP42" i="123"/>
  <c r="AY17" i="123"/>
  <c r="AV17" i="123"/>
  <c r="AW17" i="123" s="1"/>
  <c r="BC34" i="123"/>
  <c r="AP34" i="123"/>
  <c r="BE35" i="123"/>
  <c r="AH35" i="123"/>
  <c r="AI34" i="123"/>
  <c r="AT35" i="123"/>
  <c r="BI34" i="123"/>
  <c r="BA34" i="123"/>
  <c r="AR34" i="123"/>
  <c r="AQ34" i="123"/>
  <c r="BC27" i="123"/>
  <c r="BD27" i="123" s="1"/>
  <c r="BF27" i="123" s="1"/>
  <c r="AP27" i="123"/>
  <c r="BA27" i="123"/>
  <c r="AJ27" i="123" s="1"/>
  <c r="BE28" i="123"/>
  <c r="AT28" i="123"/>
  <c r="BI27" i="123"/>
  <c r="AR27" i="123"/>
  <c r="AH28" i="123"/>
  <c r="AQ27" i="123"/>
  <c r="AI27" i="123"/>
  <c r="BA18" i="123"/>
  <c r="AR18" i="123"/>
  <c r="AT19" i="123"/>
  <c r="BI18" i="123"/>
  <c r="AQ18" i="123"/>
  <c r="BC18" i="123"/>
  <c r="AP18" i="123"/>
  <c r="AH19" i="123"/>
  <c r="BE19" i="123"/>
  <c r="AI18" i="123"/>
  <c r="BE28" i="122"/>
  <c r="AH28" i="122"/>
  <c r="AI27" i="122"/>
  <c r="BI27" i="122"/>
  <c r="BC27" i="122"/>
  <c r="AR27" i="122"/>
  <c r="BA27" i="122"/>
  <c r="AQ27" i="122"/>
  <c r="AT28" i="122"/>
  <c r="AP27" i="122"/>
  <c r="AY34" i="122"/>
  <c r="AV34" i="122"/>
  <c r="AW34" i="122" s="1"/>
  <c r="AT44" i="122"/>
  <c r="BI43" i="122"/>
  <c r="AQ43" i="122"/>
  <c r="BA43" i="122"/>
  <c r="AP43" i="122"/>
  <c r="AI43" i="122"/>
  <c r="AH44" i="122"/>
  <c r="AR43" i="122"/>
  <c r="BE44" i="122"/>
  <c r="BC43" i="122"/>
  <c r="AY26" i="122"/>
  <c r="AV26" i="122"/>
  <c r="AW26" i="122" s="1"/>
  <c r="AT36" i="122"/>
  <c r="AH36" i="122"/>
  <c r="BC35" i="122"/>
  <c r="AT20" i="122"/>
  <c r="BI19" i="122"/>
  <c r="AQ19" i="122"/>
  <c r="BC19" i="122"/>
  <c r="AP19" i="122"/>
  <c r="BE20" i="122"/>
  <c r="AH20" i="122"/>
  <c r="AI19" i="122"/>
  <c r="BA19" i="122"/>
  <c r="AR19" i="122"/>
  <c r="AY18" i="122"/>
  <c r="AV18" i="122"/>
  <c r="AW18" i="122" s="1"/>
  <c r="AY42" i="122"/>
  <c r="AV42" i="122"/>
  <c r="AW42" i="122" s="1"/>
  <c r="AY41" i="121"/>
  <c r="AV41" i="121"/>
  <c r="AW41" i="121" s="1"/>
  <c r="BC34" i="121"/>
  <c r="AP34" i="121"/>
  <c r="BE35" i="121"/>
  <c r="AH35" i="121"/>
  <c r="AI34" i="121"/>
  <c r="AR34" i="121"/>
  <c r="AT35" i="121"/>
  <c r="AQ34" i="121"/>
  <c r="BI34" i="121"/>
  <c r="BA34" i="121"/>
  <c r="BC26" i="121"/>
  <c r="AP26" i="121"/>
  <c r="BE27" i="121"/>
  <c r="AH27" i="121"/>
  <c r="AT27" i="121"/>
  <c r="BA26" i="121"/>
  <c r="AI26" i="121"/>
  <c r="BI26" i="121"/>
  <c r="AR26" i="121"/>
  <c r="AQ26" i="121"/>
  <c r="AY33" i="121"/>
  <c r="AV33" i="121"/>
  <c r="AW33" i="121" s="1"/>
  <c r="AY17" i="121"/>
  <c r="AV17" i="121"/>
  <c r="AW17" i="121" s="1"/>
  <c r="BE19" i="121"/>
  <c r="AH19" i="121"/>
  <c r="AI18" i="121"/>
  <c r="BA18" i="121"/>
  <c r="AR18" i="121"/>
  <c r="AT19" i="121"/>
  <c r="BI18" i="121"/>
  <c r="AQ18" i="121"/>
  <c r="AP18" i="121"/>
  <c r="BC18" i="121"/>
  <c r="BE43" i="121"/>
  <c r="AH43" i="121"/>
  <c r="AI42" i="121"/>
  <c r="BA42" i="121"/>
  <c r="AR42" i="121"/>
  <c r="AT43" i="121"/>
  <c r="BI42" i="121"/>
  <c r="AQ42" i="121"/>
  <c r="BC42" i="121"/>
  <c r="AP42" i="121"/>
  <c r="AY25" i="121"/>
  <c r="AV25" i="121"/>
  <c r="AW25" i="121" s="1"/>
  <c r="AY17" i="120"/>
  <c r="AV17" i="120"/>
  <c r="AW17" i="120" s="1"/>
  <c r="BE19" i="120"/>
  <c r="AH19" i="120"/>
  <c r="AI18" i="120"/>
  <c r="BA18" i="120"/>
  <c r="AR18" i="120"/>
  <c r="AT19" i="120"/>
  <c r="BI18" i="120"/>
  <c r="AQ18" i="120"/>
  <c r="BC18" i="120"/>
  <c r="AP18" i="120"/>
  <c r="AY33" i="120"/>
  <c r="AV33" i="120"/>
  <c r="AW33" i="120" s="1"/>
  <c r="BE35" i="120"/>
  <c r="AH35" i="120"/>
  <c r="BA34" i="120"/>
  <c r="AR34" i="120"/>
  <c r="AI34" i="120"/>
  <c r="AT35" i="120"/>
  <c r="BI34" i="120"/>
  <c r="BC34" i="120"/>
  <c r="AQ34" i="120"/>
  <c r="AP34" i="120"/>
  <c r="AY25" i="120"/>
  <c r="AV25" i="120"/>
  <c r="AW25" i="120" s="1"/>
  <c r="BA26" i="120"/>
  <c r="AR26" i="120"/>
  <c r="AT27" i="120"/>
  <c r="BI26" i="120"/>
  <c r="AQ26" i="120"/>
  <c r="BE27" i="120"/>
  <c r="AH27" i="120"/>
  <c r="AP26" i="120"/>
  <c r="AI26" i="120"/>
  <c r="BC26" i="120"/>
  <c r="AY41" i="120"/>
  <c r="AV41" i="120"/>
  <c r="AW41" i="120" s="1"/>
  <c r="BE43" i="120"/>
  <c r="AH43" i="120"/>
  <c r="AI42" i="120"/>
  <c r="BA42" i="120"/>
  <c r="AR42" i="120"/>
  <c r="AT43" i="120"/>
  <c r="BI42" i="120"/>
  <c r="AQ42" i="120"/>
  <c r="BC42" i="120"/>
  <c r="AP42" i="120"/>
  <c r="BE35" i="119"/>
  <c r="AH35" i="119"/>
  <c r="BA34" i="119"/>
  <c r="AR34" i="119"/>
  <c r="AT35" i="119"/>
  <c r="BC34" i="119"/>
  <c r="AQ34" i="119"/>
  <c r="BI34" i="119"/>
  <c r="AP34" i="119"/>
  <c r="AI34" i="119"/>
  <c r="BE43" i="119"/>
  <c r="AH43" i="119"/>
  <c r="AI42" i="119"/>
  <c r="BA42" i="119"/>
  <c r="AR42" i="119"/>
  <c r="AT43" i="119"/>
  <c r="BI42" i="119"/>
  <c r="AQ42" i="119"/>
  <c r="AP42" i="119"/>
  <c r="BC42" i="119"/>
  <c r="AY17" i="119"/>
  <c r="AV17" i="119"/>
  <c r="AW17" i="119" s="1"/>
  <c r="AY41" i="119"/>
  <c r="AV41" i="119"/>
  <c r="AW41" i="119" s="1"/>
  <c r="AY26" i="119"/>
  <c r="BA27" i="119"/>
  <c r="AJ27" i="119" s="1"/>
  <c r="AR27" i="119"/>
  <c r="BC18" i="119"/>
  <c r="AP18" i="119"/>
  <c r="BE19" i="119"/>
  <c r="AH19" i="119"/>
  <c r="AI18" i="119"/>
  <c r="BA18" i="119"/>
  <c r="AR18" i="119"/>
  <c r="AT19" i="119"/>
  <c r="BI18" i="119"/>
  <c r="AQ18" i="119"/>
  <c r="AY33" i="119"/>
  <c r="AV33" i="119"/>
  <c r="AW33" i="119" s="1"/>
  <c r="BE43" i="118"/>
  <c r="AH43" i="118"/>
  <c r="AI42" i="118"/>
  <c r="BA42" i="118"/>
  <c r="AR42" i="118"/>
  <c r="AT43" i="118"/>
  <c r="BI42" i="118"/>
  <c r="AQ42" i="118"/>
  <c r="BC42" i="118"/>
  <c r="AP42" i="118"/>
  <c r="AY41" i="118"/>
  <c r="AV41" i="118"/>
  <c r="AW41" i="118" s="1"/>
  <c r="AY41" i="117"/>
  <c r="AV41" i="117"/>
  <c r="AW41" i="117" s="1"/>
  <c r="AY26" i="117"/>
  <c r="AV26" i="117"/>
  <c r="AW26" i="117" s="1"/>
  <c r="AY34" i="117"/>
  <c r="AV34" i="117"/>
  <c r="AW34" i="117" s="1"/>
  <c r="BA35" i="117"/>
  <c r="BE43" i="117"/>
  <c r="AH43" i="117"/>
  <c r="AI42" i="117"/>
  <c r="BA42" i="117"/>
  <c r="AR42" i="117"/>
  <c r="AT43" i="117"/>
  <c r="BI42" i="117"/>
  <c r="AQ42" i="117"/>
  <c r="BC42" i="117"/>
  <c r="AP42" i="117"/>
  <c r="AT28" i="117"/>
  <c r="BI27" i="117"/>
  <c r="AQ27" i="117"/>
  <c r="BE28" i="117"/>
  <c r="AH28" i="117"/>
  <c r="AI27" i="117"/>
  <c r="BC27" i="117"/>
  <c r="AR27" i="117"/>
  <c r="BA27" i="117"/>
  <c r="AP27" i="117"/>
  <c r="AY26" i="116"/>
  <c r="AV26" i="116"/>
  <c r="AW26" i="116" s="1"/>
  <c r="BE35" i="116"/>
  <c r="AH35" i="116"/>
  <c r="BA34" i="116"/>
  <c r="AR34" i="116"/>
  <c r="AT35" i="116"/>
  <c r="AI34" i="116"/>
  <c r="BI34" i="116"/>
  <c r="BC34" i="116"/>
  <c r="AQ34" i="116"/>
  <c r="AP34" i="116"/>
  <c r="AY41" i="116"/>
  <c r="AV41" i="116"/>
  <c r="AW41" i="116" s="1"/>
  <c r="AY18" i="116"/>
  <c r="AV18" i="116"/>
  <c r="AW18" i="116" s="1"/>
  <c r="BA27" i="116"/>
  <c r="AJ27" i="116" s="1"/>
  <c r="AR27" i="116"/>
  <c r="BC27" i="116"/>
  <c r="BD27" i="116" s="1"/>
  <c r="BF27" i="116" s="1"/>
  <c r="AP27" i="116"/>
  <c r="AH28" i="116"/>
  <c r="BI27" i="116"/>
  <c r="BE28" i="116"/>
  <c r="AT28" i="116"/>
  <c r="AQ27" i="116"/>
  <c r="AI27" i="116"/>
  <c r="AY33" i="116"/>
  <c r="AV33" i="116"/>
  <c r="AW33" i="116" s="1"/>
  <c r="BE43" i="116"/>
  <c r="AH43" i="116"/>
  <c r="AI42" i="116"/>
  <c r="BA42" i="116"/>
  <c r="AR42" i="116"/>
  <c r="AT43" i="116"/>
  <c r="BI42" i="116"/>
  <c r="AQ42" i="116"/>
  <c r="BC42" i="116"/>
  <c r="AP42" i="116"/>
  <c r="BC19" i="116"/>
  <c r="AP19" i="116"/>
  <c r="BE20" i="116"/>
  <c r="AH20" i="116"/>
  <c r="AI19" i="116"/>
  <c r="BI19" i="116"/>
  <c r="BA19" i="116"/>
  <c r="AR19" i="116"/>
  <c r="AT20" i="116"/>
  <c r="AQ19" i="116"/>
  <c r="AY17" i="115"/>
  <c r="AV17" i="115"/>
  <c r="AW17" i="115" s="1"/>
  <c r="AY41" i="115"/>
  <c r="AV41" i="115"/>
  <c r="AW41" i="115" s="1"/>
  <c r="BE43" i="115"/>
  <c r="AH43" i="115"/>
  <c r="AI42" i="115"/>
  <c r="BA42" i="115"/>
  <c r="AR42" i="115"/>
  <c r="AT43" i="115"/>
  <c r="BI42" i="115"/>
  <c r="AQ42" i="115"/>
  <c r="BC42" i="115"/>
  <c r="AP42" i="115"/>
  <c r="AT19" i="115"/>
  <c r="BI18" i="115"/>
  <c r="AQ18" i="115"/>
  <c r="BC18" i="115"/>
  <c r="BD18" i="115" s="1"/>
  <c r="BF18" i="115" s="1"/>
  <c r="AP18" i="115"/>
  <c r="AK18" i="115" s="1"/>
  <c r="BE19" i="115"/>
  <c r="AH19" i="115"/>
  <c r="AI18" i="115"/>
  <c r="BA18" i="115"/>
  <c r="AJ18" i="115" s="1"/>
  <c r="AR18" i="115"/>
  <c r="AY34" i="115"/>
  <c r="AV34" i="115"/>
  <c r="AW34" i="115" s="1"/>
  <c r="AY26" i="114"/>
  <c r="AV26" i="114"/>
  <c r="AW26" i="114" s="1"/>
  <c r="AY33" i="114"/>
  <c r="AV33" i="114"/>
  <c r="AW33" i="114" s="1"/>
  <c r="BE35" i="114"/>
  <c r="AH35" i="114"/>
  <c r="BA34" i="114"/>
  <c r="AR34" i="114"/>
  <c r="BI34" i="114"/>
  <c r="BC34" i="114"/>
  <c r="AQ34" i="114"/>
  <c r="AP34" i="114"/>
  <c r="AI34" i="114"/>
  <c r="AT35" i="114"/>
  <c r="AY42" i="114"/>
  <c r="AV42" i="114"/>
  <c r="AW42" i="114" s="1"/>
  <c r="BA43" i="114"/>
  <c r="AR43" i="114"/>
  <c r="AT44" i="114"/>
  <c r="BI43" i="114"/>
  <c r="AQ43" i="114"/>
  <c r="BC43" i="114"/>
  <c r="AP43" i="114"/>
  <c r="BE44" i="114"/>
  <c r="AI43" i="114"/>
  <c r="AH44" i="114"/>
  <c r="AY16" i="114"/>
  <c r="AV16" i="114"/>
  <c r="AW16" i="114" s="1"/>
  <c r="BC17" i="114"/>
  <c r="AP17" i="114"/>
  <c r="BA17" i="114"/>
  <c r="AT18" i="114"/>
  <c r="AI17" i="114"/>
  <c r="BE18" i="114"/>
  <c r="AH18" i="114"/>
  <c r="BI17" i="114"/>
  <c r="AQ17" i="114"/>
  <c r="AR17" i="114"/>
  <c r="BE36" i="113"/>
  <c r="BA35" i="113"/>
  <c r="AR35" i="113"/>
  <c r="AT36" i="113"/>
  <c r="BI35" i="113"/>
  <c r="AQ35" i="113"/>
  <c r="AH36" i="113"/>
  <c r="AP35" i="113"/>
  <c r="AI35" i="113"/>
  <c r="BC35" i="113"/>
  <c r="AY26" i="113"/>
  <c r="AV26" i="113"/>
  <c r="AW26" i="113" s="1"/>
  <c r="AY41" i="113"/>
  <c r="AV41" i="113"/>
  <c r="AW41" i="113" s="1"/>
  <c r="BE43" i="113"/>
  <c r="AH43" i="113"/>
  <c r="AI42" i="113"/>
  <c r="BA42" i="113"/>
  <c r="AR42" i="113"/>
  <c r="AT43" i="113"/>
  <c r="BI42" i="113"/>
  <c r="AQ42" i="113"/>
  <c r="AP42" i="113"/>
  <c r="BC42" i="113"/>
  <c r="BE28" i="113"/>
  <c r="AH28" i="113"/>
  <c r="AI27" i="113"/>
  <c r="AT28" i="113"/>
  <c r="BI27" i="113"/>
  <c r="AQ27" i="113"/>
  <c r="BC27" i="113"/>
  <c r="BD27" i="113" s="1"/>
  <c r="BF27" i="113" s="1"/>
  <c r="AR27" i="113"/>
  <c r="BA27" i="113"/>
  <c r="AJ27" i="113" s="1"/>
  <c r="AP27" i="113"/>
  <c r="AQ35" i="122" l="1"/>
  <c r="AI35" i="122"/>
  <c r="AY35" i="122" s="1"/>
  <c r="AP35" i="122"/>
  <c r="BE36" i="122"/>
  <c r="AR35" i="122"/>
  <c r="AK33" i="115"/>
  <c r="AI27" i="114"/>
  <c r="AY27" i="114" s="1"/>
  <c r="BE28" i="114"/>
  <c r="AT28" i="114"/>
  <c r="BA27" i="114"/>
  <c r="AH28" i="114"/>
  <c r="AI28" i="114" s="1"/>
  <c r="BC27" i="114"/>
  <c r="AP27" i="114"/>
  <c r="AR27" i="114"/>
  <c r="AQ27" i="114"/>
  <c r="BE28" i="115"/>
  <c r="AP35" i="117"/>
  <c r="AH36" i="117"/>
  <c r="BI36" i="117" s="1"/>
  <c r="BE36" i="117"/>
  <c r="AR35" i="117"/>
  <c r="AQ35" i="117"/>
  <c r="BC35" i="117"/>
  <c r="BI35" i="117"/>
  <c r="AI35" i="117"/>
  <c r="AY35" i="117" s="1"/>
  <c r="AH28" i="119"/>
  <c r="AP28" i="119" s="1"/>
  <c r="AQ27" i="119"/>
  <c r="BC27" i="119"/>
  <c r="BD27" i="119" s="1"/>
  <c r="BF27" i="119" s="1"/>
  <c r="AP27" i="119"/>
  <c r="AT28" i="119"/>
  <c r="BI27" i="119"/>
  <c r="AI27" i="119"/>
  <c r="AV27" i="119" s="1"/>
  <c r="AW27" i="119" s="1"/>
  <c r="BI35" i="122"/>
  <c r="AV34" i="132"/>
  <c r="AW34" i="132" s="1"/>
  <c r="AK27" i="133"/>
  <c r="AQ27" i="118"/>
  <c r="AP27" i="118"/>
  <c r="BC27" i="118"/>
  <c r="BI27" i="118"/>
  <c r="AH28" i="118"/>
  <c r="AR28" i="118" s="1"/>
  <c r="AY26" i="118"/>
  <c r="AT28" i="118"/>
  <c r="AI27" i="118"/>
  <c r="AV27" i="118" s="1"/>
  <c r="AW27" i="118" s="1"/>
  <c r="BA27" i="118"/>
  <c r="BE28" i="118"/>
  <c r="AY26" i="115"/>
  <c r="BE36" i="115"/>
  <c r="AR27" i="115"/>
  <c r="BC27" i="115"/>
  <c r="BD27" i="115" s="1"/>
  <c r="BF27" i="115" s="1"/>
  <c r="AQ27" i="115"/>
  <c r="AH28" i="115"/>
  <c r="AR28" i="115" s="1"/>
  <c r="BI27" i="115"/>
  <c r="AT28" i="115"/>
  <c r="BA27" i="115"/>
  <c r="AJ27" i="115" s="1"/>
  <c r="AP27" i="115"/>
  <c r="AK27" i="115" s="1"/>
  <c r="AH36" i="115"/>
  <c r="AR36" i="115" s="1"/>
  <c r="AQ35" i="115"/>
  <c r="AP35" i="115"/>
  <c r="AV34" i="113"/>
  <c r="AW34" i="113" s="1"/>
  <c r="BA19" i="118"/>
  <c r="AP19" i="118"/>
  <c r="S46" i="113"/>
  <c r="AD21" i="113"/>
  <c r="AE21" i="113" s="1"/>
  <c r="AV18" i="128"/>
  <c r="AW18" i="128" s="1"/>
  <c r="BI35" i="118"/>
  <c r="BE36" i="118"/>
  <c r="AY34" i="118"/>
  <c r="AR35" i="118"/>
  <c r="BE20" i="118"/>
  <c r="AR19" i="118"/>
  <c r="AI19" i="118"/>
  <c r="AV19" i="118" s="1"/>
  <c r="AW19" i="118" s="1"/>
  <c r="BI19" i="118"/>
  <c r="BC19" i="118"/>
  <c r="AQ19" i="118"/>
  <c r="AH20" i="118"/>
  <c r="BI20" i="118" s="1"/>
  <c r="BI35" i="115"/>
  <c r="AT36" i="115"/>
  <c r="BC35" i="115"/>
  <c r="AR35" i="115"/>
  <c r="AI35" i="115"/>
  <c r="AV35" i="115" s="1"/>
  <c r="AW35" i="115" s="1"/>
  <c r="AS18" i="113"/>
  <c r="AU18" i="113" s="1"/>
  <c r="AV18" i="113" s="1"/>
  <c r="AW18" i="113" s="1"/>
  <c r="AY18" i="113"/>
  <c r="AY18" i="127"/>
  <c r="BC35" i="118"/>
  <c r="AP35" i="118"/>
  <c r="AR19" i="128"/>
  <c r="AH20" i="128"/>
  <c r="BA20" i="128" s="1"/>
  <c r="BA19" i="128"/>
  <c r="AP19" i="128"/>
  <c r="AI19" i="128"/>
  <c r="AV19" i="128" s="1"/>
  <c r="AW19" i="128" s="1"/>
  <c r="BC19" i="128"/>
  <c r="BE20" i="128"/>
  <c r="AT20" i="128"/>
  <c r="AQ19" i="128"/>
  <c r="AQ35" i="118"/>
  <c r="AI35" i="118"/>
  <c r="AY35" i="118" s="1"/>
  <c r="BA35" i="118"/>
  <c r="AT36" i="118"/>
  <c r="AV18" i="118"/>
  <c r="AW18" i="118" s="1"/>
  <c r="BI19" i="117"/>
  <c r="AT20" i="117"/>
  <c r="AP19" i="117"/>
  <c r="AR19" i="117"/>
  <c r="BC19" i="117"/>
  <c r="AI19" i="117"/>
  <c r="AV19" i="117" s="1"/>
  <c r="AW19" i="117" s="1"/>
  <c r="AQ19" i="117"/>
  <c r="AH20" i="117"/>
  <c r="BI20" i="117" s="1"/>
  <c r="AV18" i="117"/>
  <c r="AW18" i="117" s="1"/>
  <c r="BA19" i="117"/>
  <c r="AK27" i="129"/>
  <c r="U29" i="129" s="1"/>
  <c r="AK27" i="124"/>
  <c r="AK27" i="123"/>
  <c r="AK27" i="116"/>
  <c r="AK18" i="113"/>
  <c r="AT20" i="113"/>
  <c r="BA19" i="113"/>
  <c r="BE20" i="113"/>
  <c r="AQ19" i="113"/>
  <c r="BI19" i="113"/>
  <c r="AP19" i="113"/>
  <c r="AR19" i="113"/>
  <c r="AI19" i="113"/>
  <c r="AS19" i="113" s="1"/>
  <c r="AU19" i="113" s="1"/>
  <c r="AV19" i="113" s="1"/>
  <c r="AW19" i="113" s="1"/>
  <c r="BC19" i="113"/>
  <c r="BA43" i="133"/>
  <c r="AR43" i="133"/>
  <c r="AT44" i="133"/>
  <c r="BI43" i="133"/>
  <c r="AQ43" i="133"/>
  <c r="AP43" i="133"/>
  <c r="AI43" i="133"/>
  <c r="BC43" i="133"/>
  <c r="BE44" i="133"/>
  <c r="AH44" i="133"/>
  <c r="BA36" i="133"/>
  <c r="AR36" i="133"/>
  <c r="AP36" i="133"/>
  <c r="AQ36" i="133"/>
  <c r="AI36" i="133"/>
  <c r="BI36" i="133"/>
  <c r="BC36" i="133"/>
  <c r="AY42" i="133"/>
  <c r="AV42" i="133"/>
  <c r="AW42" i="133" s="1"/>
  <c r="AY35" i="133"/>
  <c r="AV35" i="133"/>
  <c r="AW35" i="133" s="1"/>
  <c r="BA28" i="133"/>
  <c r="AR28" i="133"/>
  <c r="AI28" i="133"/>
  <c r="BC28" i="133"/>
  <c r="AP28" i="133"/>
  <c r="AQ28" i="133"/>
  <c r="BI28" i="133"/>
  <c r="AY27" i="133"/>
  <c r="AV27" i="133"/>
  <c r="AW27" i="133" s="1"/>
  <c r="AY18" i="133"/>
  <c r="AV18" i="133"/>
  <c r="AW18" i="133" s="1"/>
  <c r="BE20" i="133"/>
  <c r="AH20" i="133"/>
  <c r="AI19" i="133"/>
  <c r="BA19" i="133"/>
  <c r="AJ19" i="133" s="1"/>
  <c r="AR19" i="133"/>
  <c r="AT20" i="133"/>
  <c r="BI19" i="133"/>
  <c r="AQ19" i="133"/>
  <c r="BC19" i="133"/>
  <c r="BD19" i="133" s="1"/>
  <c r="BF19" i="133" s="1"/>
  <c r="AP19" i="133"/>
  <c r="AK19" i="133" s="1"/>
  <c r="AY42" i="132"/>
  <c r="AV42" i="132"/>
  <c r="AW42" i="132" s="1"/>
  <c r="BE20" i="132"/>
  <c r="AH20" i="132"/>
  <c r="AI19" i="132"/>
  <c r="BA19" i="132"/>
  <c r="AR19" i="132"/>
  <c r="AT20" i="132"/>
  <c r="BI19" i="132"/>
  <c r="AQ19" i="132"/>
  <c r="BC19" i="132"/>
  <c r="AP19" i="132"/>
  <c r="AK19" i="132" s="1"/>
  <c r="BC27" i="132"/>
  <c r="BD27" i="132" s="1"/>
  <c r="BF27" i="132" s="1"/>
  <c r="AP27" i="132"/>
  <c r="BE28" i="132"/>
  <c r="AH28" i="132"/>
  <c r="AI27" i="132"/>
  <c r="AS27" i="132" s="1"/>
  <c r="AU27" i="132" s="1"/>
  <c r="AT28" i="132"/>
  <c r="AQ27" i="132"/>
  <c r="BI27" i="132"/>
  <c r="BA27" i="132"/>
  <c r="AJ27" i="132" s="1"/>
  <c r="AR27" i="132"/>
  <c r="AY35" i="132"/>
  <c r="AV35" i="132"/>
  <c r="AW35" i="132" s="1"/>
  <c r="BI36" i="132"/>
  <c r="AQ36" i="132"/>
  <c r="BC36" i="132"/>
  <c r="AP36" i="132"/>
  <c r="BA36" i="132"/>
  <c r="AI36" i="132"/>
  <c r="AR36" i="132"/>
  <c r="AY18" i="132"/>
  <c r="AV18" i="132"/>
  <c r="AW18" i="132" s="1"/>
  <c r="BA43" i="132"/>
  <c r="AR43" i="132"/>
  <c r="AT44" i="132"/>
  <c r="BI43" i="132"/>
  <c r="AQ43" i="132"/>
  <c r="BC43" i="132"/>
  <c r="AP43" i="132"/>
  <c r="BE44" i="132"/>
  <c r="AI43" i="132"/>
  <c r="AH44" i="132"/>
  <c r="AY26" i="132"/>
  <c r="AV26" i="132"/>
  <c r="AW26" i="132" s="1"/>
  <c r="AY34" i="131"/>
  <c r="AV34" i="131"/>
  <c r="AW34" i="131" s="1"/>
  <c r="AY42" i="131"/>
  <c r="AV42" i="131"/>
  <c r="AW42" i="131" s="1"/>
  <c r="AY18" i="131"/>
  <c r="AV18" i="131"/>
  <c r="AW18" i="131" s="1"/>
  <c r="BE36" i="131"/>
  <c r="AH36" i="131"/>
  <c r="BA35" i="131"/>
  <c r="AJ35" i="131" s="1"/>
  <c r="AR35" i="131"/>
  <c r="AT36" i="131"/>
  <c r="BI35" i="131"/>
  <c r="AQ35" i="131"/>
  <c r="AP35" i="131"/>
  <c r="AI35" i="131"/>
  <c r="BC35" i="131"/>
  <c r="BD35" i="131" s="1"/>
  <c r="BF35" i="131" s="1"/>
  <c r="BA43" i="131"/>
  <c r="AR43" i="131"/>
  <c r="AT44" i="131"/>
  <c r="BI43" i="131"/>
  <c r="AQ43" i="131"/>
  <c r="BC43" i="131"/>
  <c r="AP43" i="131"/>
  <c r="AH44" i="131"/>
  <c r="AI43" i="131"/>
  <c r="BE44" i="131"/>
  <c r="AT20" i="131"/>
  <c r="BI19" i="131"/>
  <c r="AQ19" i="131"/>
  <c r="BC19" i="131"/>
  <c r="AP19" i="131"/>
  <c r="BE20" i="131"/>
  <c r="AH20" i="131"/>
  <c r="AI19" i="131"/>
  <c r="BA19" i="131"/>
  <c r="AR19" i="131"/>
  <c r="BI28" i="131"/>
  <c r="AQ28" i="131"/>
  <c r="BC28" i="131"/>
  <c r="AP28" i="131"/>
  <c r="BA28" i="131"/>
  <c r="AI28" i="131"/>
  <c r="AR28" i="131"/>
  <c r="AY27" i="131"/>
  <c r="AV27" i="131"/>
  <c r="AW27" i="131" s="1"/>
  <c r="AY26" i="130"/>
  <c r="AV26" i="130"/>
  <c r="AW26" i="130" s="1"/>
  <c r="AY34" i="130"/>
  <c r="AV34" i="130"/>
  <c r="AW34" i="130" s="1"/>
  <c r="AY18" i="130"/>
  <c r="AV18" i="130"/>
  <c r="AW18" i="130" s="1"/>
  <c r="BA27" i="130"/>
  <c r="AJ27" i="130" s="1"/>
  <c r="AR27" i="130"/>
  <c r="BC27" i="130"/>
  <c r="BD27" i="130" s="1"/>
  <c r="BF27" i="130" s="1"/>
  <c r="AP27" i="130"/>
  <c r="AQ27" i="130"/>
  <c r="AI27" i="130"/>
  <c r="BE28" i="130"/>
  <c r="AT28" i="130"/>
  <c r="AH28" i="130"/>
  <c r="BI27" i="130"/>
  <c r="AY42" i="130"/>
  <c r="AV42" i="130"/>
  <c r="AW42" i="130" s="1"/>
  <c r="BA43" i="130"/>
  <c r="AR43" i="130"/>
  <c r="AT44" i="130"/>
  <c r="BI43" i="130"/>
  <c r="AQ43" i="130"/>
  <c r="BC43" i="130"/>
  <c r="AP43" i="130"/>
  <c r="BE44" i="130"/>
  <c r="AI43" i="130"/>
  <c r="AH44" i="130"/>
  <c r="BC19" i="130"/>
  <c r="AP19" i="130"/>
  <c r="BE20" i="130"/>
  <c r="AT20" i="130"/>
  <c r="BI19" i="130"/>
  <c r="AR19" i="130"/>
  <c r="AH20" i="130"/>
  <c r="AQ19" i="130"/>
  <c r="AI19" i="130"/>
  <c r="BA19" i="130"/>
  <c r="BE36" i="130"/>
  <c r="AH36" i="130"/>
  <c r="BA35" i="130"/>
  <c r="AR35" i="130"/>
  <c r="AT36" i="130"/>
  <c r="BI35" i="130"/>
  <c r="AQ35" i="130"/>
  <c r="BC35" i="130"/>
  <c r="AP35" i="130"/>
  <c r="AI35" i="130"/>
  <c r="AY34" i="129"/>
  <c r="AV34" i="129"/>
  <c r="AW34" i="129" s="1"/>
  <c r="AY19" i="129"/>
  <c r="AV19" i="129"/>
  <c r="AW19" i="129" s="1"/>
  <c r="AI20" i="129"/>
  <c r="BI20" i="129"/>
  <c r="BC20" i="129"/>
  <c r="AR20" i="129"/>
  <c r="BA20" i="129"/>
  <c r="AQ20" i="129"/>
  <c r="AP20" i="129"/>
  <c r="AY27" i="129"/>
  <c r="AV27" i="129"/>
  <c r="AW27" i="129" s="1"/>
  <c r="AY42" i="129"/>
  <c r="AV42" i="129"/>
  <c r="AW42" i="129" s="1"/>
  <c r="BI28" i="129"/>
  <c r="AQ28" i="129"/>
  <c r="BC28" i="129"/>
  <c r="AP28" i="129"/>
  <c r="AI28" i="129"/>
  <c r="BA28" i="129"/>
  <c r="AR28" i="129"/>
  <c r="BE36" i="129"/>
  <c r="BA35" i="129"/>
  <c r="AR35" i="129"/>
  <c r="AT36" i="129"/>
  <c r="BI35" i="129"/>
  <c r="AQ35" i="129"/>
  <c r="AH36" i="129"/>
  <c r="AP35" i="129"/>
  <c r="AI35" i="129"/>
  <c r="BC35" i="129"/>
  <c r="BA43" i="129"/>
  <c r="AR43" i="129"/>
  <c r="AT44" i="129"/>
  <c r="BI43" i="129"/>
  <c r="AQ43" i="129"/>
  <c r="BC43" i="129"/>
  <c r="AP43" i="129"/>
  <c r="BE44" i="129"/>
  <c r="AH44" i="129"/>
  <c r="AI43" i="129"/>
  <c r="AY27" i="128"/>
  <c r="AV27" i="128"/>
  <c r="AW27" i="128" s="1"/>
  <c r="AY34" i="128"/>
  <c r="AV34" i="128"/>
  <c r="AW34" i="128" s="1"/>
  <c r="BA35" i="128"/>
  <c r="AR35" i="128"/>
  <c r="AT36" i="128"/>
  <c r="BI35" i="128"/>
  <c r="AQ35" i="128"/>
  <c r="BE36" i="128"/>
  <c r="BC35" i="128"/>
  <c r="AH36" i="128"/>
  <c r="AP35" i="128"/>
  <c r="AI35" i="128"/>
  <c r="AI28" i="128"/>
  <c r="BI28" i="128"/>
  <c r="BC28" i="128"/>
  <c r="AR28" i="128"/>
  <c r="BA28" i="128"/>
  <c r="AQ28" i="128"/>
  <c r="AP28" i="128"/>
  <c r="BC44" i="128"/>
  <c r="AP44" i="128"/>
  <c r="AI44" i="128"/>
  <c r="BI44" i="128"/>
  <c r="BA44" i="128"/>
  <c r="AR44" i="128"/>
  <c r="AQ44" i="128"/>
  <c r="AY43" i="128"/>
  <c r="AV43" i="128"/>
  <c r="AW43" i="128" s="1"/>
  <c r="BE36" i="127"/>
  <c r="AH36" i="127"/>
  <c r="BA35" i="127"/>
  <c r="AR35" i="127"/>
  <c r="AT36" i="127"/>
  <c r="BI35" i="127"/>
  <c r="AQ35" i="127"/>
  <c r="AP35" i="127"/>
  <c r="AI35" i="127"/>
  <c r="BC35" i="127"/>
  <c r="AY19" i="127"/>
  <c r="AV19" i="127"/>
  <c r="AW19" i="127" s="1"/>
  <c r="AY26" i="127"/>
  <c r="AV26" i="127"/>
  <c r="AW26" i="127" s="1"/>
  <c r="AY42" i="127"/>
  <c r="AV42" i="127"/>
  <c r="AW42" i="127" s="1"/>
  <c r="AY34" i="127"/>
  <c r="AV34" i="127"/>
  <c r="AW34" i="127" s="1"/>
  <c r="BI20" i="127"/>
  <c r="AQ20" i="127"/>
  <c r="AR20" i="127"/>
  <c r="BA20" i="127"/>
  <c r="AP20" i="127"/>
  <c r="AI20" i="127"/>
  <c r="BC20" i="127"/>
  <c r="BC27" i="127"/>
  <c r="BD27" i="127" s="1"/>
  <c r="BF27" i="127" s="1"/>
  <c r="AP27" i="127"/>
  <c r="BE28" i="127"/>
  <c r="AH28" i="127"/>
  <c r="AI27" i="127"/>
  <c r="BA27" i="127"/>
  <c r="AJ27" i="127" s="1"/>
  <c r="AR27" i="127"/>
  <c r="AQ27" i="127"/>
  <c r="AT28" i="127"/>
  <c r="BI27" i="127"/>
  <c r="BA43" i="127"/>
  <c r="AR43" i="127"/>
  <c r="AT44" i="127"/>
  <c r="BI43" i="127"/>
  <c r="AQ43" i="127"/>
  <c r="BC43" i="127"/>
  <c r="AP43" i="127"/>
  <c r="BE44" i="127"/>
  <c r="AH44" i="127"/>
  <c r="AI43" i="127"/>
  <c r="AY26" i="126"/>
  <c r="AV26" i="126"/>
  <c r="AW26" i="126" s="1"/>
  <c r="BC27" i="126"/>
  <c r="AP27" i="126"/>
  <c r="BE28" i="126"/>
  <c r="AH28" i="126"/>
  <c r="AI27" i="126"/>
  <c r="BA27" i="126"/>
  <c r="AR27" i="126"/>
  <c r="AT28" i="126"/>
  <c r="AQ27" i="126"/>
  <c r="BI27" i="126"/>
  <c r="BE36" i="126"/>
  <c r="AH36" i="126"/>
  <c r="BA35" i="126"/>
  <c r="AR35" i="126"/>
  <c r="AT36" i="126"/>
  <c r="BI35" i="126"/>
  <c r="AQ35" i="126"/>
  <c r="AP35" i="126"/>
  <c r="AI35" i="126"/>
  <c r="BC35" i="126"/>
  <c r="AY42" i="126"/>
  <c r="AV42" i="126"/>
  <c r="AW42" i="126" s="1"/>
  <c r="Z19" i="126"/>
  <c r="A20" i="126"/>
  <c r="AY34" i="126"/>
  <c r="AV34" i="126"/>
  <c r="AW34" i="126" s="1"/>
  <c r="BA19" i="126"/>
  <c r="AJ19" i="126" s="1"/>
  <c r="AR19" i="126"/>
  <c r="AT20" i="126"/>
  <c r="AH20" i="126"/>
  <c r="AP19" i="126"/>
  <c r="AI19" i="126"/>
  <c r="AQ19" i="126"/>
  <c r="BE20" i="126"/>
  <c r="BI19" i="126"/>
  <c r="BC19" i="126"/>
  <c r="BD19" i="126" s="1"/>
  <c r="BF19" i="126" s="1"/>
  <c r="BA43" i="126"/>
  <c r="AR43" i="126"/>
  <c r="AT44" i="126"/>
  <c r="BI43" i="126"/>
  <c r="AQ43" i="126"/>
  <c r="BC43" i="126"/>
  <c r="AP43" i="126"/>
  <c r="BE44" i="126"/>
  <c r="AH44" i="126"/>
  <c r="AI43" i="126"/>
  <c r="AY18" i="126"/>
  <c r="AV18" i="126"/>
  <c r="AW18" i="126" s="1"/>
  <c r="BE20" i="125"/>
  <c r="AH20" i="125"/>
  <c r="AI19" i="125"/>
  <c r="AT20" i="125"/>
  <c r="AP19" i="125"/>
  <c r="BI19" i="125"/>
  <c r="BC19" i="125"/>
  <c r="AR19" i="125"/>
  <c r="BA19" i="125"/>
  <c r="AQ19" i="125"/>
  <c r="AY42" i="125"/>
  <c r="AV42" i="125"/>
  <c r="AW42" i="125" s="1"/>
  <c r="BA43" i="125"/>
  <c r="AR43" i="125"/>
  <c r="AT44" i="125"/>
  <c r="BI43" i="125"/>
  <c r="AQ43" i="125"/>
  <c r="BC43" i="125"/>
  <c r="AP43" i="125"/>
  <c r="BE44" i="125"/>
  <c r="AH44" i="125"/>
  <c r="AI43" i="125"/>
  <c r="BC28" i="125"/>
  <c r="AP28" i="125"/>
  <c r="AI28" i="125"/>
  <c r="BA28" i="125"/>
  <c r="AR28" i="125"/>
  <c r="AQ28" i="125"/>
  <c r="BI28" i="125"/>
  <c r="AY18" i="125"/>
  <c r="AV18" i="125"/>
  <c r="AW18" i="125" s="1"/>
  <c r="AY27" i="125"/>
  <c r="AV27" i="125"/>
  <c r="AW27" i="125" s="1"/>
  <c r="AY35" i="125"/>
  <c r="AV35" i="125"/>
  <c r="AW35" i="125" s="1"/>
  <c r="BI36" i="125"/>
  <c r="AQ36" i="125"/>
  <c r="BC36" i="125"/>
  <c r="AP36" i="125"/>
  <c r="AR36" i="125"/>
  <c r="AI36" i="125"/>
  <c r="BA36" i="125"/>
  <c r="AT44" i="124"/>
  <c r="BI43" i="124"/>
  <c r="AQ43" i="124"/>
  <c r="BC43" i="124"/>
  <c r="AP43" i="124"/>
  <c r="BE44" i="124"/>
  <c r="BA43" i="124"/>
  <c r="AI43" i="124"/>
  <c r="AR43" i="124"/>
  <c r="AH44" i="124"/>
  <c r="AY35" i="124"/>
  <c r="AV35" i="124"/>
  <c r="AW35" i="124" s="1"/>
  <c r="AY42" i="124"/>
  <c r="AV42" i="124"/>
  <c r="AW42" i="124" s="1"/>
  <c r="AY27" i="124"/>
  <c r="AV27" i="124"/>
  <c r="AW27" i="124" s="1"/>
  <c r="AY18" i="124"/>
  <c r="AV18" i="124"/>
  <c r="AW18" i="124" s="1"/>
  <c r="BA28" i="124"/>
  <c r="AR28" i="124"/>
  <c r="BC28" i="124"/>
  <c r="AP28" i="124"/>
  <c r="AQ28" i="124"/>
  <c r="AI28" i="124"/>
  <c r="BI28" i="124"/>
  <c r="BC19" i="124"/>
  <c r="AP19" i="124"/>
  <c r="BE20" i="124"/>
  <c r="AH20" i="124"/>
  <c r="AI19" i="124"/>
  <c r="BA19" i="124"/>
  <c r="AR19" i="124"/>
  <c r="AQ19" i="124"/>
  <c r="AT20" i="124"/>
  <c r="BI19" i="124"/>
  <c r="BI36" i="124"/>
  <c r="AQ36" i="124"/>
  <c r="BC36" i="124"/>
  <c r="AP36" i="124"/>
  <c r="AR36" i="124"/>
  <c r="BA36" i="124"/>
  <c r="AI36" i="124"/>
  <c r="AI28" i="123"/>
  <c r="BI28" i="123"/>
  <c r="BC28" i="123"/>
  <c r="AR28" i="123"/>
  <c r="BA28" i="123"/>
  <c r="AQ28" i="123"/>
  <c r="AP28" i="123"/>
  <c r="AT20" i="123"/>
  <c r="BI19" i="123"/>
  <c r="AQ19" i="123"/>
  <c r="BC19" i="123"/>
  <c r="AP19" i="123"/>
  <c r="BE20" i="123"/>
  <c r="AH20" i="123"/>
  <c r="AI19" i="123"/>
  <c r="BA19" i="123"/>
  <c r="AR19" i="123"/>
  <c r="BA43" i="123"/>
  <c r="AR43" i="123"/>
  <c r="AT44" i="123"/>
  <c r="BI43" i="123"/>
  <c r="AQ43" i="123"/>
  <c r="BC43" i="123"/>
  <c r="AP43" i="123"/>
  <c r="AH44" i="123"/>
  <c r="AI43" i="123"/>
  <c r="BE44" i="123"/>
  <c r="AY42" i="123"/>
  <c r="AV42" i="123"/>
  <c r="AW42" i="123" s="1"/>
  <c r="AY27" i="123"/>
  <c r="AV27" i="123"/>
  <c r="AW27" i="123" s="1"/>
  <c r="AY34" i="123"/>
  <c r="AV34" i="123"/>
  <c r="AW34" i="123" s="1"/>
  <c r="AY18" i="123"/>
  <c r="AV18" i="123"/>
  <c r="AW18" i="123" s="1"/>
  <c r="BE36" i="123"/>
  <c r="AH36" i="123"/>
  <c r="AI35" i="123"/>
  <c r="BA35" i="123"/>
  <c r="AR35" i="123"/>
  <c r="AT36" i="123"/>
  <c r="BI35" i="123"/>
  <c r="AQ35" i="123"/>
  <c r="BC35" i="123"/>
  <c r="AP35" i="123"/>
  <c r="AY43" i="122"/>
  <c r="AV43" i="122"/>
  <c r="AW43" i="122" s="1"/>
  <c r="BA28" i="122"/>
  <c r="AR28" i="122"/>
  <c r="BI28" i="122"/>
  <c r="BC28" i="122"/>
  <c r="AQ28" i="122"/>
  <c r="AP28" i="122"/>
  <c r="AI28" i="122"/>
  <c r="AY19" i="122"/>
  <c r="AV19" i="122"/>
  <c r="AW19" i="122" s="1"/>
  <c r="BI36" i="122"/>
  <c r="AQ36" i="122"/>
  <c r="BC36" i="122"/>
  <c r="AP36" i="122"/>
  <c r="AI36" i="122"/>
  <c r="BA36" i="122"/>
  <c r="AR36" i="122"/>
  <c r="AY27" i="122"/>
  <c r="AV27" i="122"/>
  <c r="AW27" i="122" s="1"/>
  <c r="BC20" i="122"/>
  <c r="AP20" i="122"/>
  <c r="AI20" i="122"/>
  <c r="BA20" i="122"/>
  <c r="AR20" i="122"/>
  <c r="BI20" i="122"/>
  <c r="AQ20" i="122"/>
  <c r="BC44" i="122"/>
  <c r="AP44" i="122"/>
  <c r="BI44" i="122"/>
  <c r="AR44" i="122"/>
  <c r="AQ44" i="122"/>
  <c r="AI44" i="122"/>
  <c r="BA44" i="122"/>
  <c r="AY42" i="121"/>
  <c r="AV42" i="121"/>
  <c r="AW42" i="121" s="1"/>
  <c r="AY18" i="121"/>
  <c r="AV18" i="121"/>
  <c r="AW18" i="121" s="1"/>
  <c r="BA19" i="121"/>
  <c r="AR19" i="121"/>
  <c r="AT20" i="121"/>
  <c r="BI19" i="121"/>
  <c r="AQ19" i="121"/>
  <c r="BC19" i="121"/>
  <c r="AP19" i="121"/>
  <c r="BE20" i="121"/>
  <c r="AI19" i="121"/>
  <c r="AH20" i="121"/>
  <c r="BE28" i="121"/>
  <c r="AH28" i="121"/>
  <c r="AI27" i="121"/>
  <c r="BA27" i="121"/>
  <c r="AJ27" i="121" s="1"/>
  <c r="AR27" i="121"/>
  <c r="AT28" i="121"/>
  <c r="BC27" i="121"/>
  <c r="BD27" i="121" s="1"/>
  <c r="BF27" i="121" s="1"/>
  <c r="BI27" i="121"/>
  <c r="AQ27" i="121"/>
  <c r="AP27" i="121"/>
  <c r="AK27" i="121" s="1"/>
  <c r="AY34" i="121"/>
  <c r="AV34" i="121"/>
  <c r="AW34" i="121" s="1"/>
  <c r="BA43" i="121"/>
  <c r="AR43" i="121"/>
  <c r="AT44" i="121"/>
  <c r="BI43" i="121"/>
  <c r="AQ43" i="121"/>
  <c r="BC43" i="121"/>
  <c r="AP43" i="121"/>
  <c r="BE44" i="121"/>
  <c r="AH44" i="121"/>
  <c r="AI43" i="121"/>
  <c r="AY26" i="121"/>
  <c r="AV26" i="121"/>
  <c r="AW26" i="121" s="1"/>
  <c r="BE36" i="121"/>
  <c r="AH36" i="121"/>
  <c r="AI35" i="121"/>
  <c r="BA35" i="121"/>
  <c r="AR35" i="121"/>
  <c r="AP35" i="121"/>
  <c r="AT36" i="121"/>
  <c r="BC35" i="121"/>
  <c r="BI35" i="121"/>
  <c r="AQ35" i="121"/>
  <c r="AY18" i="120"/>
  <c r="AV18" i="120"/>
  <c r="AW18" i="120" s="1"/>
  <c r="BA43" i="120"/>
  <c r="AR43" i="120"/>
  <c r="AT44" i="120"/>
  <c r="BI43" i="120"/>
  <c r="AQ43" i="120"/>
  <c r="BC43" i="120"/>
  <c r="AP43" i="120"/>
  <c r="BE44" i="120"/>
  <c r="AH44" i="120"/>
  <c r="AI43" i="120"/>
  <c r="AY26" i="120"/>
  <c r="AV26" i="120"/>
  <c r="AW26" i="120" s="1"/>
  <c r="BA19" i="120"/>
  <c r="AR19" i="120"/>
  <c r="AT20" i="120"/>
  <c r="BI19" i="120"/>
  <c r="AQ19" i="120"/>
  <c r="BC19" i="120"/>
  <c r="AP19" i="120"/>
  <c r="AH20" i="120"/>
  <c r="AI19" i="120"/>
  <c r="BE20" i="120"/>
  <c r="AY42" i="120"/>
  <c r="AV42" i="120"/>
  <c r="AW42" i="120" s="1"/>
  <c r="BA35" i="120"/>
  <c r="AR35" i="120"/>
  <c r="AT36" i="120"/>
  <c r="BI35" i="120"/>
  <c r="AQ35" i="120"/>
  <c r="BC35" i="120"/>
  <c r="BE36" i="120"/>
  <c r="AH36" i="120"/>
  <c r="AP35" i="120"/>
  <c r="AI35" i="120"/>
  <c r="AT28" i="120"/>
  <c r="BI27" i="120"/>
  <c r="AQ27" i="120"/>
  <c r="BC27" i="120"/>
  <c r="BD27" i="120" s="1"/>
  <c r="BF27" i="120" s="1"/>
  <c r="AP27" i="120"/>
  <c r="BA27" i="120"/>
  <c r="AJ27" i="120" s="1"/>
  <c r="AI27" i="120"/>
  <c r="AR27" i="120"/>
  <c r="AH28" i="120"/>
  <c r="BE28" i="120"/>
  <c r="AY34" i="120"/>
  <c r="AV34" i="120"/>
  <c r="AW34" i="120" s="1"/>
  <c r="AY18" i="119"/>
  <c r="AV18" i="119"/>
  <c r="AW18" i="119" s="1"/>
  <c r="AY27" i="119"/>
  <c r="BE20" i="119"/>
  <c r="AH20" i="119"/>
  <c r="AI19" i="119"/>
  <c r="BA19" i="119"/>
  <c r="AR19" i="119"/>
  <c r="AT20" i="119"/>
  <c r="BI19" i="119"/>
  <c r="AQ19" i="119"/>
  <c r="BC19" i="119"/>
  <c r="AP19" i="119"/>
  <c r="AY42" i="119"/>
  <c r="AV42" i="119"/>
  <c r="AW42" i="119" s="1"/>
  <c r="AY34" i="119"/>
  <c r="AV34" i="119"/>
  <c r="AW34" i="119" s="1"/>
  <c r="BE36" i="119"/>
  <c r="AH36" i="119"/>
  <c r="BA35" i="119"/>
  <c r="AR35" i="119"/>
  <c r="AT36" i="119"/>
  <c r="BI35" i="119"/>
  <c r="AQ35" i="119"/>
  <c r="AP35" i="119"/>
  <c r="AI35" i="119"/>
  <c r="BC35" i="119"/>
  <c r="BI28" i="119"/>
  <c r="AQ28" i="119"/>
  <c r="BA28" i="119"/>
  <c r="AR28" i="119"/>
  <c r="BC28" i="119"/>
  <c r="BA43" i="119"/>
  <c r="AR43" i="119"/>
  <c r="AT44" i="119"/>
  <c r="BI43" i="119"/>
  <c r="AQ43" i="119"/>
  <c r="BC43" i="119"/>
  <c r="AP43" i="119"/>
  <c r="AH44" i="119"/>
  <c r="BE44" i="119"/>
  <c r="AI43" i="119"/>
  <c r="BA43" i="118"/>
  <c r="AR43" i="118"/>
  <c r="AT44" i="118"/>
  <c r="BI43" i="118"/>
  <c r="AQ43" i="118"/>
  <c r="BC43" i="118"/>
  <c r="AP43" i="118"/>
  <c r="AH44" i="118"/>
  <c r="BE44" i="118"/>
  <c r="AI43" i="118"/>
  <c r="BA28" i="118"/>
  <c r="AY42" i="118"/>
  <c r="AV42" i="118"/>
  <c r="AW42" i="118" s="1"/>
  <c r="BA36" i="118"/>
  <c r="AR36" i="118"/>
  <c r="BI36" i="118"/>
  <c r="AQ36" i="118"/>
  <c r="BC36" i="118"/>
  <c r="AP36" i="118"/>
  <c r="AI36" i="118"/>
  <c r="AY27" i="117"/>
  <c r="AV27" i="117"/>
  <c r="AW27" i="117" s="1"/>
  <c r="BC36" i="117"/>
  <c r="AP36" i="117"/>
  <c r="BA36" i="117"/>
  <c r="AI36" i="117"/>
  <c r="BC28" i="117"/>
  <c r="AP28" i="117"/>
  <c r="BA28" i="117"/>
  <c r="AR28" i="117"/>
  <c r="BI28" i="117"/>
  <c r="AQ28" i="117"/>
  <c r="AI28" i="117"/>
  <c r="AY42" i="117"/>
  <c r="AV42" i="117"/>
  <c r="AW42" i="117" s="1"/>
  <c r="BA43" i="117"/>
  <c r="AR43" i="117"/>
  <c r="AT44" i="117"/>
  <c r="BI43" i="117"/>
  <c r="AQ43" i="117"/>
  <c r="BC43" i="117"/>
  <c r="AP43" i="117"/>
  <c r="BE44" i="117"/>
  <c r="AH44" i="117"/>
  <c r="AI43" i="117"/>
  <c r="AV35" i="117"/>
  <c r="AW35" i="117" s="1"/>
  <c r="BI28" i="116"/>
  <c r="AQ28" i="116"/>
  <c r="AI28" i="116"/>
  <c r="BC28" i="116"/>
  <c r="AR28" i="116"/>
  <c r="AP28" i="116"/>
  <c r="BA28" i="116"/>
  <c r="AY34" i="116"/>
  <c r="AV34" i="116"/>
  <c r="AW34" i="116" s="1"/>
  <c r="BA35" i="116"/>
  <c r="AR35" i="116"/>
  <c r="AT36" i="116"/>
  <c r="BI35" i="116"/>
  <c r="AQ35" i="116"/>
  <c r="BE36" i="116"/>
  <c r="AH36" i="116"/>
  <c r="AP35" i="116"/>
  <c r="AI35" i="116"/>
  <c r="BC35" i="116"/>
  <c r="AI20" i="116"/>
  <c r="BA20" i="116"/>
  <c r="AR20" i="116"/>
  <c r="AQ20" i="116"/>
  <c r="AP20" i="116"/>
  <c r="BC20" i="116"/>
  <c r="BI20" i="116"/>
  <c r="AY27" i="116"/>
  <c r="AV27" i="116"/>
  <c r="AW27" i="116" s="1"/>
  <c r="AY42" i="116"/>
  <c r="AV42" i="116"/>
  <c r="AW42" i="116" s="1"/>
  <c r="AY19" i="116"/>
  <c r="AV19" i="116"/>
  <c r="AW19" i="116" s="1"/>
  <c r="BA43" i="116"/>
  <c r="AR43" i="116"/>
  <c r="AT44" i="116"/>
  <c r="BI43" i="116"/>
  <c r="AQ43" i="116"/>
  <c r="BC43" i="116"/>
  <c r="AP43" i="116"/>
  <c r="BE44" i="116"/>
  <c r="AH44" i="116"/>
  <c r="AI43" i="116"/>
  <c r="AY18" i="115"/>
  <c r="AV18" i="115"/>
  <c r="AW18" i="115" s="1"/>
  <c r="BC19" i="115"/>
  <c r="AP19" i="115"/>
  <c r="AK19" i="115" s="1"/>
  <c r="BE20" i="115"/>
  <c r="AH20" i="115"/>
  <c r="AI19" i="115"/>
  <c r="BA19" i="115"/>
  <c r="AR19" i="115"/>
  <c r="AT20" i="115"/>
  <c r="BI19" i="115"/>
  <c r="AQ19" i="115"/>
  <c r="BA28" i="115"/>
  <c r="AP28" i="115"/>
  <c r="AI28" i="115"/>
  <c r="BA43" i="115"/>
  <c r="AR43" i="115"/>
  <c r="AT44" i="115"/>
  <c r="BI43" i="115"/>
  <c r="AQ43" i="115"/>
  <c r="BC43" i="115"/>
  <c r="AP43" i="115"/>
  <c r="BE44" i="115"/>
  <c r="AI43" i="115"/>
  <c r="AH44" i="115"/>
  <c r="AY27" i="115"/>
  <c r="AV27" i="115"/>
  <c r="AW27" i="115" s="1"/>
  <c r="AY42" i="115"/>
  <c r="AV42" i="115"/>
  <c r="AW42" i="115" s="1"/>
  <c r="AY34" i="114"/>
  <c r="AV34" i="114"/>
  <c r="AW34" i="114" s="1"/>
  <c r="BA35" i="114"/>
  <c r="AR35" i="114"/>
  <c r="AT36" i="114"/>
  <c r="BI35" i="114"/>
  <c r="AQ35" i="114"/>
  <c r="BE36" i="114"/>
  <c r="AH36" i="114"/>
  <c r="AP35" i="114"/>
  <c r="AI35" i="114"/>
  <c r="BC35" i="114"/>
  <c r="AT19" i="114"/>
  <c r="BI18" i="114"/>
  <c r="AQ18" i="114"/>
  <c r="BE19" i="114"/>
  <c r="AI18" i="114"/>
  <c r="BC18" i="114"/>
  <c r="AP18" i="114"/>
  <c r="AR18" i="114"/>
  <c r="AH19" i="114"/>
  <c r="BA18" i="114"/>
  <c r="BI44" i="114"/>
  <c r="AQ44" i="114"/>
  <c r="BC44" i="114"/>
  <c r="AP44" i="114"/>
  <c r="AI44" i="114"/>
  <c r="BA44" i="114"/>
  <c r="AR44" i="114"/>
  <c r="AY17" i="114"/>
  <c r="AV17" i="114"/>
  <c r="AW17" i="114" s="1"/>
  <c r="AP28" i="114"/>
  <c r="BA28" i="114"/>
  <c r="BC28" i="114"/>
  <c r="AY43" i="114"/>
  <c r="AV43" i="114"/>
  <c r="AW43" i="114" s="1"/>
  <c r="BA20" i="113"/>
  <c r="AR20" i="113"/>
  <c r="BI20" i="113"/>
  <c r="AQ20" i="113"/>
  <c r="BC20" i="113"/>
  <c r="AP20" i="113"/>
  <c r="AY42" i="113"/>
  <c r="AV42" i="113"/>
  <c r="AW42" i="113" s="1"/>
  <c r="BA43" i="113"/>
  <c r="AR43" i="113"/>
  <c r="AT44" i="113"/>
  <c r="BI43" i="113"/>
  <c r="AQ43" i="113"/>
  <c r="BC43" i="113"/>
  <c r="AP43" i="113"/>
  <c r="AH44" i="113"/>
  <c r="BE44" i="113"/>
  <c r="AI43" i="113"/>
  <c r="BI36" i="113"/>
  <c r="AQ36" i="113"/>
  <c r="BC36" i="113"/>
  <c r="AP36" i="113"/>
  <c r="BA36" i="113"/>
  <c r="AI36" i="113"/>
  <c r="AR36" i="113"/>
  <c r="AY27" i="113"/>
  <c r="AV27" i="113"/>
  <c r="AW27" i="113" s="1"/>
  <c r="BA28" i="113"/>
  <c r="AR28" i="113"/>
  <c r="BC28" i="113"/>
  <c r="AP28" i="113"/>
  <c r="BI28" i="113"/>
  <c r="AQ28" i="113"/>
  <c r="AI28" i="113"/>
  <c r="AY35" i="113"/>
  <c r="AV35" i="113"/>
  <c r="AW35" i="113" s="1"/>
  <c r="AV35" i="122" l="1"/>
  <c r="AW35" i="122" s="1"/>
  <c r="BC28" i="115"/>
  <c r="BI28" i="115"/>
  <c r="AV27" i="114"/>
  <c r="AW27" i="114" s="1"/>
  <c r="AQ28" i="114"/>
  <c r="BI28" i="114"/>
  <c r="AR28" i="114"/>
  <c r="BA36" i="115"/>
  <c r="AQ36" i="117"/>
  <c r="AR36" i="117"/>
  <c r="BC28" i="118"/>
  <c r="AI28" i="118"/>
  <c r="AI28" i="119"/>
  <c r="AK28" i="133"/>
  <c r="AY27" i="118"/>
  <c r="AP28" i="118"/>
  <c r="AQ28" i="118"/>
  <c r="BI28" i="118"/>
  <c r="AQ36" i="115"/>
  <c r="AI36" i="115"/>
  <c r="AY36" i="115" s="1"/>
  <c r="AQ28" i="115"/>
  <c r="AP36" i="115"/>
  <c r="BC36" i="115"/>
  <c r="BI36" i="115"/>
  <c r="AY19" i="118"/>
  <c r="AR20" i="117"/>
  <c r="AV35" i="118"/>
  <c r="AW35" i="118" s="1"/>
  <c r="BA20" i="118"/>
  <c r="AI20" i="118"/>
  <c r="AY20" i="118" s="1"/>
  <c r="AP20" i="118"/>
  <c r="AR20" i="118"/>
  <c r="AQ20" i="118"/>
  <c r="BC20" i="118"/>
  <c r="AP20" i="117"/>
  <c r="AK20" i="117" s="1"/>
  <c r="AY35" i="115"/>
  <c r="AK19" i="113"/>
  <c r="AY19" i="128"/>
  <c r="AQ20" i="128"/>
  <c r="AQ20" i="117"/>
  <c r="BA20" i="117"/>
  <c r="AY19" i="117"/>
  <c r="AI20" i="117"/>
  <c r="AI20" i="113"/>
  <c r="AR20" i="128"/>
  <c r="AI20" i="128"/>
  <c r="AY20" i="128" s="1"/>
  <c r="BI20" i="128"/>
  <c r="AP20" i="128"/>
  <c r="BC20" i="128"/>
  <c r="BC20" i="117"/>
  <c r="AK27" i="132"/>
  <c r="AK35" i="131"/>
  <c r="AK27" i="130"/>
  <c r="W29" i="129"/>
  <c r="W46" i="129" s="1"/>
  <c r="BQ29" i="129"/>
  <c r="U46" i="129"/>
  <c r="AE29" i="129"/>
  <c r="AK27" i="127"/>
  <c r="AK19" i="126"/>
  <c r="AK27" i="120"/>
  <c r="AY19" i="113"/>
  <c r="AY28" i="133"/>
  <c r="AV28" i="133"/>
  <c r="AW28" i="133" s="1"/>
  <c r="BI44" i="133"/>
  <c r="AQ44" i="133"/>
  <c r="BC44" i="133"/>
  <c r="AP44" i="133"/>
  <c r="BA44" i="133"/>
  <c r="AI44" i="133"/>
  <c r="AR44" i="133"/>
  <c r="AY43" i="133"/>
  <c r="AV43" i="133"/>
  <c r="AW43" i="133" s="1"/>
  <c r="AY36" i="133"/>
  <c r="AV36" i="133"/>
  <c r="AW36" i="133" s="1"/>
  <c r="AY19" i="133"/>
  <c r="AV19" i="133"/>
  <c r="AW19" i="133" s="1"/>
  <c r="BA20" i="133"/>
  <c r="AR20" i="133"/>
  <c r="BI20" i="133"/>
  <c r="AQ20" i="133"/>
  <c r="AI20" i="133"/>
  <c r="BC20" i="133"/>
  <c r="AP20" i="133"/>
  <c r="AK20" i="133" s="1"/>
  <c r="BI44" i="132"/>
  <c r="AQ44" i="132"/>
  <c r="BC44" i="132"/>
  <c r="AP44" i="132"/>
  <c r="AI44" i="132"/>
  <c r="BA44" i="132"/>
  <c r="AR44" i="132"/>
  <c r="AI28" i="132"/>
  <c r="BA28" i="132"/>
  <c r="AR28" i="132"/>
  <c r="BC28" i="132"/>
  <c r="BI28" i="132"/>
  <c r="AQ28" i="132"/>
  <c r="AP28" i="132"/>
  <c r="AY19" i="132"/>
  <c r="AV19" i="132"/>
  <c r="AW19" i="132" s="1"/>
  <c r="AY43" i="132"/>
  <c r="AV43" i="132"/>
  <c r="AW43" i="132" s="1"/>
  <c r="BA20" i="132"/>
  <c r="AR20" i="132"/>
  <c r="BI20" i="132"/>
  <c r="AQ20" i="132"/>
  <c r="BC20" i="132"/>
  <c r="AP20" i="132"/>
  <c r="AK20" i="132" s="1"/>
  <c r="AI20" i="132"/>
  <c r="AY36" i="132"/>
  <c r="AV36" i="132"/>
  <c r="AW36" i="132" s="1"/>
  <c r="AY27" i="132"/>
  <c r="AV27" i="132"/>
  <c r="AW27" i="132" s="1"/>
  <c r="AY28" i="131"/>
  <c r="AV28" i="131"/>
  <c r="AW28" i="131" s="1"/>
  <c r="AY19" i="131"/>
  <c r="AV19" i="131"/>
  <c r="AW19" i="131" s="1"/>
  <c r="BI44" i="131"/>
  <c r="AQ44" i="131"/>
  <c r="BC44" i="131"/>
  <c r="AP44" i="131"/>
  <c r="AI44" i="131"/>
  <c r="BA44" i="131"/>
  <c r="AR44" i="131"/>
  <c r="BA36" i="131"/>
  <c r="AR36" i="131"/>
  <c r="BI36" i="131"/>
  <c r="AQ36" i="131"/>
  <c r="BC36" i="131"/>
  <c r="AP36" i="131"/>
  <c r="AI36" i="131"/>
  <c r="AY43" i="131"/>
  <c r="AV43" i="131"/>
  <c r="AW43" i="131" s="1"/>
  <c r="BC20" i="131"/>
  <c r="AP20" i="131"/>
  <c r="AI20" i="131"/>
  <c r="BA20" i="131"/>
  <c r="AR20" i="131"/>
  <c r="AQ20" i="131"/>
  <c r="BI20" i="131"/>
  <c r="AY35" i="131"/>
  <c r="AV35" i="131"/>
  <c r="AW35" i="131" s="1"/>
  <c r="BI44" i="130"/>
  <c r="AQ44" i="130"/>
  <c r="BC44" i="130"/>
  <c r="AP44" i="130"/>
  <c r="AI44" i="130"/>
  <c r="BA44" i="130"/>
  <c r="AR44" i="130"/>
  <c r="AY19" i="130"/>
  <c r="AV19" i="130"/>
  <c r="AW19" i="130" s="1"/>
  <c r="AY43" i="130"/>
  <c r="AV43" i="130"/>
  <c r="AW43" i="130" s="1"/>
  <c r="AY35" i="130"/>
  <c r="AV35" i="130"/>
  <c r="AW35" i="130" s="1"/>
  <c r="BA36" i="130"/>
  <c r="AR36" i="130"/>
  <c r="BI36" i="130"/>
  <c r="AQ36" i="130"/>
  <c r="BC36" i="130"/>
  <c r="AP36" i="130"/>
  <c r="AI36" i="130"/>
  <c r="BI28" i="130"/>
  <c r="AQ28" i="130"/>
  <c r="AI28" i="130"/>
  <c r="BC28" i="130"/>
  <c r="AR28" i="130"/>
  <c r="BA28" i="130"/>
  <c r="AP28" i="130"/>
  <c r="AY27" i="130"/>
  <c r="AV27" i="130"/>
  <c r="AW27" i="130" s="1"/>
  <c r="AI20" i="130"/>
  <c r="AP20" i="130"/>
  <c r="BI20" i="130"/>
  <c r="BC20" i="130"/>
  <c r="AR20" i="130"/>
  <c r="BA20" i="130"/>
  <c r="AQ20" i="130"/>
  <c r="BI44" i="129"/>
  <c r="AQ44" i="129"/>
  <c r="BC44" i="129"/>
  <c r="AP44" i="129"/>
  <c r="AI44" i="129"/>
  <c r="BA44" i="129"/>
  <c r="AR44" i="129"/>
  <c r="AY35" i="129"/>
  <c r="AV35" i="129"/>
  <c r="AW35" i="129" s="1"/>
  <c r="BI36" i="129"/>
  <c r="AQ36" i="129"/>
  <c r="BC36" i="129"/>
  <c r="AP36" i="129"/>
  <c r="AR36" i="129"/>
  <c r="BA36" i="129"/>
  <c r="AI36" i="129"/>
  <c r="AY20" i="129"/>
  <c r="AV20" i="129"/>
  <c r="AW20" i="129" s="1"/>
  <c r="AY43" i="129"/>
  <c r="AV43" i="129"/>
  <c r="AW43" i="129" s="1"/>
  <c r="AY28" i="129"/>
  <c r="AV28" i="129"/>
  <c r="AW28" i="129" s="1"/>
  <c r="AY28" i="128"/>
  <c r="AV28" i="128"/>
  <c r="AW28" i="128" s="1"/>
  <c r="AY35" i="128"/>
  <c r="AV35" i="128"/>
  <c r="AW35" i="128" s="1"/>
  <c r="AY44" i="128"/>
  <c r="AV44" i="128"/>
  <c r="AW44" i="128" s="1"/>
  <c r="BI36" i="128"/>
  <c r="AQ36" i="128"/>
  <c r="BC36" i="128"/>
  <c r="AP36" i="128"/>
  <c r="BA36" i="128"/>
  <c r="AI36" i="128"/>
  <c r="AR36" i="128"/>
  <c r="AY20" i="127"/>
  <c r="AV20" i="127"/>
  <c r="AW20" i="127" s="1"/>
  <c r="BA36" i="127"/>
  <c r="AR36" i="127"/>
  <c r="BI36" i="127"/>
  <c r="AQ36" i="127"/>
  <c r="BC36" i="127"/>
  <c r="AP36" i="127"/>
  <c r="AI36" i="127"/>
  <c r="AY43" i="127"/>
  <c r="AV43" i="127"/>
  <c r="AW43" i="127" s="1"/>
  <c r="AY27" i="127"/>
  <c r="AV27" i="127"/>
  <c r="AW27" i="127" s="1"/>
  <c r="AY35" i="127"/>
  <c r="AV35" i="127"/>
  <c r="AW35" i="127" s="1"/>
  <c r="BI44" i="127"/>
  <c r="AQ44" i="127"/>
  <c r="BC44" i="127"/>
  <c r="AP44" i="127"/>
  <c r="AI44" i="127"/>
  <c r="BA44" i="127"/>
  <c r="AR44" i="127"/>
  <c r="AI28" i="127"/>
  <c r="BA28" i="127"/>
  <c r="AR28" i="127"/>
  <c r="BI28" i="127"/>
  <c r="AQ28" i="127"/>
  <c r="AP28" i="127"/>
  <c r="BC28" i="127"/>
  <c r="A22" i="126"/>
  <c r="Z20" i="126"/>
  <c r="AY43" i="126"/>
  <c r="AV43" i="126"/>
  <c r="AW43" i="126" s="1"/>
  <c r="AY19" i="126"/>
  <c r="AV19" i="126"/>
  <c r="AW19" i="126" s="1"/>
  <c r="BA36" i="126"/>
  <c r="AR36" i="126"/>
  <c r="BI36" i="126"/>
  <c r="AQ36" i="126"/>
  <c r="BC36" i="126"/>
  <c r="AP36" i="126"/>
  <c r="AI36" i="126"/>
  <c r="AY27" i="126"/>
  <c r="AV27" i="126"/>
  <c r="AW27" i="126" s="1"/>
  <c r="BI44" i="126"/>
  <c r="AQ44" i="126"/>
  <c r="BC44" i="126"/>
  <c r="AP44" i="126"/>
  <c r="AI44" i="126"/>
  <c r="BA44" i="126"/>
  <c r="AR44" i="126"/>
  <c r="AY35" i="126"/>
  <c r="AV35" i="126"/>
  <c r="AW35" i="126" s="1"/>
  <c r="AI28" i="126"/>
  <c r="BA28" i="126"/>
  <c r="AR28" i="126"/>
  <c r="BI28" i="126"/>
  <c r="AQ28" i="126"/>
  <c r="BC28" i="126"/>
  <c r="AP28" i="126"/>
  <c r="BI20" i="126"/>
  <c r="AQ20" i="126"/>
  <c r="BC20" i="126"/>
  <c r="AR20" i="126"/>
  <c r="BA20" i="126"/>
  <c r="AP20" i="126"/>
  <c r="AI20" i="126"/>
  <c r="AY36" i="125"/>
  <c r="AV36" i="125"/>
  <c r="AW36" i="125" s="1"/>
  <c r="AY28" i="125"/>
  <c r="AV28" i="125"/>
  <c r="AW28" i="125" s="1"/>
  <c r="AY43" i="125"/>
  <c r="AV43" i="125"/>
  <c r="AW43" i="125" s="1"/>
  <c r="BI44" i="125"/>
  <c r="AQ44" i="125"/>
  <c r="BC44" i="125"/>
  <c r="AP44" i="125"/>
  <c r="AI44" i="125"/>
  <c r="BA44" i="125"/>
  <c r="AR44" i="125"/>
  <c r="AY19" i="125"/>
  <c r="AV19" i="125"/>
  <c r="AW19" i="125" s="1"/>
  <c r="BA20" i="125"/>
  <c r="AR20" i="125"/>
  <c r="AI20" i="125"/>
  <c r="BI20" i="125"/>
  <c r="BC20" i="125"/>
  <c r="AQ20" i="125"/>
  <c r="AP20" i="125"/>
  <c r="AY19" i="124"/>
  <c r="AV19" i="124"/>
  <c r="AW19" i="124" s="1"/>
  <c r="BI44" i="124"/>
  <c r="AQ44" i="124"/>
  <c r="BC44" i="124"/>
  <c r="AP44" i="124"/>
  <c r="AI44" i="124"/>
  <c r="BA44" i="124"/>
  <c r="AR44" i="124"/>
  <c r="AI20" i="124"/>
  <c r="BA20" i="124"/>
  <c r="AR20" i="124"/>
  <c r="BI20" i="124"/>
  <c r="AQ20" i="124"/>
  <c r="BC20" i="124"/>
  <c r="AP20" i="124"/>
  <c r="AY36" i="124"/>
  <c r="AV36" i="124"/>
  <c r="AW36" i="124" s="1"/>
  <c r="AY43" i="124"/>
  <c r="AV43" i="124"/>
  <c r="AW43" i="124" s="1"/>
  <c r="AY28" i="124"/>
  <c r="AV28" i="124"/>
  <c r="AW28" i="124" s="1"/>
  <c r="BA36" i="123"/>
  <c r="AR36" i="123"/>
  <c r="BI36" i="123"/>
  <c r="AQ36" i="123"/>
  <c r="BC36" i="123"/>
  <c r="AP36" i="123"/>
  <c r="AI36" i="123"/>
  <c r="BI44" i="123"/>
  <c r="AQ44" i="123"/>
  <c r="BC44" i="123"/>
  <c r="AP44" i="123"/>
  <c r="AI44" i="123"/>
  <c r="BA44" i="123"/>
  <c r="AR44" i="123"/>
  <c r="AY28" i="123"/>
  <c r="AV28" i="123"/>
  <c r="AW28" i="123" s="1"/>
  <c r="AY43" i="123"/>
  <c r="AV43" i="123"/>
  <c r="AW43" i="123" s="1"/>
  <c r="BC20" i="123"/>
  <c r="AP20" i="123"/>
  <c r="AI20" i="123"/>
  <c r="BA20" i="123"/>
  <c r="AR20" i="123"/>
  <c r="AQ20" i="123"/>
  <c r="BI20" i="123"/>
  <c r="AY35" i="123"/>
  <c r="AV35" i="123"/>
  <c r="AW35" i="123" s="1"/>
  <c r="AY19" i="123"/>
  <c r="AV19" i="123"/>
  <c r="AW19" i="123" s="1"/>
  <c r="AY36" i="122"/>
  <c r="AV36" i="122"/>
  <c r="AW36" i="122" s="1"/>
  <c r="AY28" i="122"/>
  <c r="AV28" i="122"/>
  <c r="AW28" i="122" s="1"/>
  <c r="AY44" i="122"/>
  <c r="AV44" i="122"/>
  <c r="AW44" i="122" s="1"/>
  <c r="AY20" i="122"/>
  <c r="AV20" i="122"/>
  <c r="AW20" i="122" s="1"/>
  <c r="AY35" i="121"/>
  <c r="AV35" i="121"/>
  <c r="AW35" i="121" s="1"/>
  <c r="AY43" i="121"/>
  <c r="AV43" i="121"/>
  <c r="AW43" i="121" s="1"/>
  <c r="AY27" i="121"/>
  <c r="AV27" i="121"/>
  <c r="AW27" i="121" s="1"/>
  <c r="BI20" i="121"/>
  <c r="AQ20" i="121"/>
  <c r="BC20" i="121"/>
  <c r="AP20" i="121"/>
  <c r="AI20" i="121"/>
  <c r="BA20" i="121"/>
  <c r="AR20" i="121"/>
  <c r="BA36" i="121"/>
  <c r="AR36" i="121"/>
  <c r="BI36" i="121"/>
  <c r="AQ36" i="121"/>
  <c r="BC36" i="121"/>
  <c r="AP36" i="121"/>
  <c r="AI36" i="121"/>
  <c r="BI44" i="121"/>
  <c r="AQ44" i="121"/>
  <c r="BC44" i="121"/>
  <c r="AP44" i="121"/>
  <c r="AI44" i="121"/>
  <c r="BA44" i="121"/>
  <c r="AR44" i="121"/>
  <c r="BA28" i="121"/>
  <c r="AR28" i="121"/>
  <c r="BI28" i="121"/>
  <c r="AQ28" i="121"/>
  <c r="AP28" i="121"/>
  <c r="AI28" i="121"/>
  <c r="BC28" i="121"/>
  <c r="AY19" i="121"/>
  <c r="AV19" i="121"/>
  <c r="AW19" i="121" s="1"/>
  <c r="AY35" i="120"/>
  <c r="AV35" i="120"/>
  <c r="AW35" i="120" s="1"/>
  <c r="BC28" i="120"/>
  <c r="AP28" i="120"/>
  <c r="AI28" i="120"/>
  <c r="BI28" i="120"/>
  <c r="BA28" i="120"/>
  <c r="AR28" i="120"/>
  <c r="AQ28" i="120"/>
  <c r="AY43" i="120"/>
  <c r="AV43" i="120"/>
  <c r="AW43" i="120" s="1"/>
  <c r="BI36" i="120"/>
  <c r="AQ36" i="120"/>
  <c r="BC36" i="120"/>
  <c r="AP36" i="120"/>
  <c r="BA36" i="120"/>
  <c r="AI36" i="120"/>
  <c r="AR36" i="120"/>
  <c r="AY19" i="120"/>
  <c r="AV19" i="120"/>
  <c r="AW19" i="120" s="1"/>
  <c r="BI44" i="120"/>
  <c r="AQ44" i="120"/>
  <c r="BC44" i="120"/>
  <c r="AP44" i="120"/>
  <c r="AI44" i="120"/>
  <c r="BA44" i="120"/>
  <c r="AR44" i="120"/>
  <c r="AY27" i="120"/>
  <c r="AV27" i="120"/>
  <c r="AW27" i="120" s="1"/>
  <c r="BI20" i="120"/>
  <c r="AQ20" i="120"/>
  <c r="BC20" i="120"/>
  <c r="AP20" i="120"/>
  <c r="AI20" i="120"/>
  <c r="AR20" i="120"/>
  <c r="BA20" i="120"/>
  <c r="AY19" i="119"/>
  <c r="AV19" i="119"/>
  <c r="AW19" i="119" s="1"/>
  <c r="BI44" i="119"/>
  <c r="AQ44" i="119"/>
  <c r="BC44" i="119"/>
  <c r="AP44" i="119"/>
  <c r="AI44" i="119"/>
  <c r="AR44" i="119"/>
  <c r="BA44" i="119"/>
  <c r="BA20" i="119"/>
  <c r="AR20" i="119"/>
  <c r="BI20" i="119"/>
  <c r="AQ20" i="119"/>
  <c r="BC20" i="119"/>
  <c r="AP20" i="119"/>
  <c r="AI20" i="119"/>
  <c r="AY43" i="119"/>
  <c r="AV43" i="119"/>
  <c r="AW43" i="119" s="1"/>
  <c r="BA36" i="119"/>
  <c r="AR36" i="119"/>
  <c r="BI36" i="119"/>
  <c r="AQ36" i="119"/>
  <c r="BC36" i="119"/>
  <c r="AP36" i="119"/>
  <c r="AI36" i="119"/>
  <c r="AY28" i="119"/>
  <c r="AV28" i="119"/>
  <c r="AW28" i="119" s="1"/>
  <c r="AY35" i="119"/>
  <c r="AV35" i="119"/>
  <c r="AW35" i="119" s="1"/>
  <c r="BI44" i="118"/>
  <c r="AQ44" i="118"/>
  <c r="BC44" i="118"/>
  <c r="AP44" i="118"/>
  <c r="AI44" i="118"/>
  <c r="BA44" i="118"/>
  <c r="AR44" i="118"/>
  <c r="AY28" i="118"/>
  <c r="AV28" i="118"/>
  <c r="AW28" i="118" s="1"/>
  <c r="AY36" i="118"/>
  <c r="AV36" i="118"/>
  <c r="AW36" i="118" s="1"/>
  <c r="AY43" i="118"/>
  <c r="AV43" i="118"/>
  <c r="AW43" i="118" s="1"/>
  <c r="AY36" i="117"/>
  <c r="AV36" i="117"/>
  <c r="AW36" i="117" s="1"/>
  <c r="AY43" i="117"/>
  <c r="AV43" i="117"/>
  <c r="AW43" i="117" s="1"/>
  <c r="BI44" i="117"/>
  <c r="AQ44" i="117"/>
  <c r="BC44" i="117"/>
  <c r="AP44" i="117"/>
  <c r="AI44" i="117"/>
  <c r="BA44" i="117"/>
  <c r="AR44" i="117"/>
  <c r="AY28" i="117"/>
  <c r="AV28" i="117"/>
  <c r="AW28" i="117" s="1"/>
  <c r="AY20" i="116"/>
  <c r="AV20" i="116"/>
  <c r="AW20" i="116" s="1"/>
  <c r="BI44" i="116"/>
  <c r="AQ44" i="116"/>
  <c r="BC44" i="116"/>
  <c r="AP44" i="116"/>
  <c r="AI44" i="116"/>
  <c r="BA44" i="116"/>
  <c r="AR44" i="116"/>
  <c r="AY35" i="116"/>
  <c r="AV35" i="116"/>
  <c r="AW35" i="116" s="1"/>
  <c r="AY28" i="116"/>
  <c r="AV28" i="116"/>
  <c r="AW28" i="116" s="1"/>
  <c r="AY43" i="116"/>
  <c r="AV43" i="116"/>
  <c r="AW43" i="116" s="1"/>
  <c r="BI36" i="116"/>
  <c r="AQ36" i="116"/>
  <c r="BC36" i="116"/>
  <c r="AP36" i="116"/>
  <c r="BA36" i="116"/>
  <c r="AI36" i="116"/>
  <c r="AR36" i="116"/>
  <c r="BI44" i="115"/>
  <c r="AQ44" i="115"/>
  <c r="BC44" i="115"/>
  <c r="AP44" i="115"/>
  <c r="AI44" i="115"/>
  <c r="BA44" i="115"/>
  <c r="AR44" i="115"/>
  <c r="AY43" i="115"/>
  <c r="AV43" i="115"/>
  <c r="AW43" i="115" s="1"/>
  <c r="AY28" i="115"/>
  <c r="AV28" i="115"/>
  <c r="AW28" i="115" s="1"/>
  <c r="AY19" i="115"/>
  <c r="AS19" i="115"/>
  <c r="AU19" i="115" s="1"/>
  <c r="AV19" i="115" s="1"/>
  <c r="AW19" i="115" s="1"/>
  <c r="AI20" i="115"/>
  <c r="BA20" i="115"/>
  <c r="AR20" i="115"/>
  <c r="BI20" i="115"/>
  <c r="AQ20" i="115"/>
  <c r="BC20" i="115"/>
  <c r="AP20" i="115"/>
  <c r="BE20" i="114"/>
  <c r="AH20" i="114"/>
  <c r="AT20" i="114"/>
  <c r="BC19" i="114"/>
  <c r="AP19" i="114"/>
  <c r="BA19" i="114"/>
  <c r="AR19" i="114"/>
  <c r="AQ19" i="114"/>
  <c r="AI19" i="114"/>
  <c r="BI19" i="114"/>
  <c r="BI36" i="114"/>
  <c r="AQ36" i="114"/>
  <c r="BC36" i="114"/>
  <c r="AP36" i="114"/>
  <c r="BA36" i="114"/>
  <c r="AI36" i="114"/>
  <c r="AR36" i="114"/>
  <c r="AY28" i="114"/>
  <c r="AV28" i="114"/>
  <c r="AW28" i="114" s="1"/>
  <c r="AY18" i="114"/>
  <c r="AV18" i="114"/>
  <c r="AW18" i="114" s="1"/>
  <c r="AY44" i="114"/>
  <c r="AV44" i="114"/>
  <c r="AW44" i="114" s="1"/>
  <c r="AY35" i="114"/>
  <c r="AV35" i="114"/>
  <c r="AW35" i="114" s="1"/>
  <c r="BI44" i="113"/>
  <c r="AQ44" i="113"/>
  <c r="BC44" i="113"/>
  <c r="AP44" i="113"/>
  <c r="AI44" i="113"/>
  <c r="AR44" i="113"/>
  <c r="BA44" i="113"/>
  <c r="AY36" i="113"/>
  <c r="AV36" i="113"/>
  <c r="AW36" i="113" s="1"/>
  <c r="AY43" i="113"/>
  <c r="AV43" i="113"/>
  <c r="AW43" i="113" s="1"/>
  <c r="AY28" i="113"/>
  <c r="AV28" i="113"/>
  <c r="AW28" i="113" s="1"/>
  <c r="AV36" i="115" l="1"/>
  <c r="AW36" i="115" s="1"/>
  <c r="AV20" i="118"/>
  <c r="AW20" i="118" s="1"/>
  <c r="AY20" i="117"/>
  <c r="AS20" i="117"/>
  <c r="AU20" i="117" s="1"/>
  <c r="AV20" i="117" s="1"/>
  <c r="AW20" i="117" s="1"/>
  <c r="AS20" i="113"/>
  <c r="AU20" i="113" s="1"/>
  <c r="AK20" i="113" s="1"/>
  <c r="AY20" i="113"/>
  <c r="AV20" i="128"/>
  <c r="AW20" i="128" s="1"/>
  <c r="AY20" i="133"/>
  <c r="AV20" i="133"/>
  <c r="AW20" i="133" s="1"/>
  <c r="AY44" i="133"/>
  <c r="AV44" i="133"/>
  <c r="AW44" i="133" s="1"/>
  <c r="AY28" i="132"/>
  <c r="AV28" i="132"/>
  <c r="AW28" i="132" s="1"/>
  <c r="AY20" i="132"/>
  <c r="AV20" i="132"/>
  <c r="AW20" i="132" s="1"/>
  <c r="AY44" i="132"/>
  <c r="AV44" i="132"/>
  <c r="AW44" i="132" s="1"/>
  <c r="AY44" i="131"/>
  <c r="AV44" i="131"/>
  <c r="AW44" i="131" s="1"/>
  <c r="AY20" i="131"/>
  <c r="AV20" i="131"/>
  <c r="AW20" i="131" s="1"/>
  <c r="AY36" i="131"/>
  <c r="AV36" i="131"/>
  <c r="AW36" i="131" s="1"/>
  <c r="AY28" i="130"/>
  <c r="AV28" i="130"/>
  <c r="AW28" i="130" s="1"/>
  <c r="AY20" i="130"/>
  <c r="AV20" i="130"/>
  <c r="AW20" i="130" s="1"/>
  <c r="AY36" i="130"/>
  <c r="AV36" i="130"/>
  <c r="AW36" i="130" s="1"/>
  <c r="AY44" i="130"/>
  <c r="AV44" i="130"/>
  <c r="AW44" i="130" s="1"/>
  <c r="AY44" i="129"/>
  <c r="AV44" i="129"/>
  <c r="AW44" i="129" s="1"/>
  <c r="AY36" i="129"/>
  <c r="AV36" i="129"/>
  <c r="AW36" i="129" s="1"/>
  <c r="AY36" i="128"/>
  <c r="AV36" i="128"/>
  <c r="AW36" i="128" s="1"/>
  <c r="AY44" i="127"/>
  <c r="AV44" i="127"/>
  <c r="AW44" i="127" s="1"/>
  <c r="AY36" i="127"/>
  <c r="AV36" i="127"/>
  <c r="AW36" i="127" s="1"/>
  <c r="AY28" i="127"/>
  <c r="AV28" i="127"/>
  <c r="AW28" i="127" s="1"/>
  <c r="AY36" i="126"/>
  <c r="AV36" i="126"/>
  <c r="AW36" i="126" s="1"/>
  <c r="AY20" i="126"/>
  <c r="AV20" i="126"/>
  <c r="AW20" i="126" s="1"/>
  <c r="AY44" i="126"/>
  <c r="AV44" i="126"/>
  <c r="AW44" i="126" s="1"/>
  <c r="AY28" i="126"/>
  <c r="AV28" i="126"/>
  <c r="AW28" i="126" s="1"/>
  <c r="Z22" i="126"/>
  <c r="A23" i="126"/>
  <c r="AY20" i="125"/>
  <c r="AV20" i="125"/>
  <c r="AW20" i="125" s="1"/>
  <c r="AY44" i="125"/>
  <c r="AV44" i="125"/>
  <c r="AW44" i="125" s="1"/>
  <c r="AY20" i="124"/>
  <c r="AV20" i="124"/>
  <c r="AW20" i="124" s="1"/>
  <c r="AY44" i="124"/>
  <c r="AV44" i="124"/>
  <c r="AW44" i="124" s="1"/>
  <c r="AY36" i="123"/>
  <c r="AV36" i="123"/>
  <c r="AW36" i="123" s="1"/>
  <c r="AY20" i="123"/>
  <c r="AV20" i="123"/>
  <c r="AW20" i="123" s="1"/>
  <c r="AY44" i="123"/>
  <c r="AV44" i="123"/>
  <c r="AW44" i="123" s="1"/>
  <c r="AY36" i="121"/>
  <c r="AV36" i="121"/>
  <c r="AW36" i="121" s="1"/>
  <c r="AY28" i="121"/>
  <c r="AV28" i="121"/>
  <c r="AW28" i="121" s="1"/>
  <c r="AY44" i="121"/>
  <c r="AV44" i="121"/>
  <c r="AW44" i="121" s="1"/>
  <c r="AY20" i="121"/>
  <c r="AV20" i="121"/>
  <c r="AW20" i="121" s="1"/>
  <c r="AY20" i="120"/>
  <c r="AV20" i="120"/>
  <c r="AW20" i="120" s="1"/>
  <c r="AY44" i="120"/>
  <c r="AV44" i="120"/>
  <c r="AW44" i="120" s="1"/>
  <c r="AY36" i="120"/>
  <c r="AV36" i="120"/>
  <c r="AW36" i="120" s="1"/>
  <c r="AY28" i="120"/>
  <c r="AV28" i="120"/>
  <c r="AW28" i="120" s="1"/>
  <c r="AY36" i="119"/>
  <c r="AV36" i="119"/>
  <c r="AW36" i="119" s="1"/>
  <c r="AY20" i="119"/>
  <c r="AV20" i="119"/>
  <c r="AW20" i="119" s="1"/>
  <c r="AY44" i="119"/>
  <c r="AV44" i="119"/>
  <c r="AW44" i="119" s="1"/>
  <c r="AY44" i="118"/>
  <c r="AV44" i="118"/>
  <c r="AW44" i="118" s="1"/>
  <c r="AY44" i="117"/>
  <c r="AV44" i="117"/>
  <c r="AW44" i="117" s="1"/>
  <c r="AY36" i="116"/>
  <c r="AV36" i="116"/>
  <c r="AW36" i="116" s="1"/>
  <c r="AY44" i="116"/>
  <c r="AV44" i="116"/>
  <c r="AW44" i="116" s="1"/>
  <c r="AY44" i="115"/>
  <c r="AV44" i="115"/>
  <c r="AW44" i="115" s="1"/>
  <c r="AY20" i="115"/>
  <c r="AV20" i="115"/>
  <c r="AW20" i="115" s="1"/>
  <c r="BA20" i="114"/>
  <c r="AR20" i="114"/>
  <c r="AI20" i="114"/>
  <c r="BC20" i="114"/>
  <c r="AQ20" i="114"/>
  <c r="AP20" i="114"/>
  <c r="BI20" i="114"/>
  <c r="AY19" i="114"/>
  <c r="AS19" i="114"/>
  <c r="AU19" i="114" s="1"/>
  <c r="AV19" i="114" s="1"/>
  <c r="AW19" i="114" s="1"/>
  <c r="AK19" i="114"/>
  <c r="AY36" i="114"/>
  <c r="AV36" i="114"/>
  <c r="AW36" i="114" s="1"/>
  <c r="AY44" i="113"/>
  <c r="AV44" i="113"/>
  <c r="AW44" i="113" s="1"/>
  <c r="AV20" i="113" l="1"/>
  <c r="AW20" i="113" s="1"/>
  <c r="Z23" i="126"/>
  <c r="A24" i="126"/>
  <c r="AY20" i="114"/>
  <c r="AV20" i="114"/>
  <c r="AW20" i="114" s="1"/>
  <c r="A25" i="126" l="1"/>
  <c r="Z24" i="126"/>
  <c r="A26" i="126" l="1"/>
  <c r="Z25" i="126"/>
  <c r="A27" i="126" l="1"/>
  <c r="Z26" i="126"/>
  <c r="Z27" i="126" l="1"/>
  <c r="A28" i="126"/>
  <c r="Z28" i="126" l="1"/>
  <c r="A30" i="126"/>
  <c r="A31" i="126" l="1"/>
  <c r="Z30" i="126"/>
  <c r="Z31" i="126" l="1"/>
  <c r="A32" i="126"/>
  <c r="Z32" i="126" l="1"/>
  <c r="A33" i="126"/>
  <c r="A34" i="126" l="1"/>
  <c r="Z33" i="126"/>
  <c r="A35" i="126" l="1"/>
  <c r="Z34" i="126"/>
  <c r="A36" i="126" l="1"/>
  <c r="Z35" i="126"/>
  <c r="A38" i="126" l="1"/>
  <c r="Z36" i="126"/>
  <c r="A39" i="126" l="1"/>
  <c r="Z38" i="126"/>
  <c r="A40" i="126" l="1"/>
  <c r="Z39" i="126"/>
  <c r="A41" i="126" l="1"/>
  <c r="Z40" i="126"/>
  <c r="Z41" i="126" l="1"/>
  <c r="A42" i="126"/>
  <c r="Z42" i="126" l="1"/>
  <c r="A43" i="126"/>
  <c r="A44" i="126" l="1"/>
  <c r="Z44" i="126" s="1"/>
  <c r="Z43" i="126"/>
  <c r="W11" i="111" l="1"/>
  <c r="AF37" i="111" s="1"/>
  <c r="E11" i="111"/>
  <c r="O31" i="111"/>
  <c r="O32" i="111"/>
  <c r="O33" i="111"/>
  <c r="O34" i="111"/>
  <c r="O35" i="111"/>
  <c r="O36" i="111"/>
  <c r="O31" i="110"/>
  <c r="O32" i="110"/>
  <c r="O33" i="110"/>
  <c r="O34" i="110"/>
  <c r="O35" i="110"/>
  <c r="O36" i="110"/>
  <c r="O34" i="109"/>
  <c r="O35" i="109"/>
  <c r="O36" i="109"/>
  <c r="O7" i="111"/>
  <c r="X46" i="111"/>
  <c r="AI45" i="111"/>
  <c r="Q45" i="111"/>
  <c r="N45" i="111"/>
  <c r="M45" i="111"/>
  <c r="L45" i="111"/>
  <c r="K45" i="111"/>
  <c r="I45" i="111"/>
  <c r="H45" i="111"/>
  <c r="G45" i="111"/>
  <c r="F45" i="111"/>
  <c r="E45" i="111"/>
  <c r="BM44" i="111"/>
  <c r="BL44" i="111"/>
  <c r="BK44" i="111"/>
  <c r="V44" i="111" s="1"/>
  <c r="BH44" i="111"/>
  <c r="BD44" i="111"/>
  <c r="BF44" i="111" s="1"/>
  <c r="AZ44" i="111"/>
  <c r="AS44" i="111"/>
  <c r="AU44" i="111" s="1"/>
  <c r="AO44" i="111"/>
  <c r="AK44" i="111" s="1"/>
  <c r="AM44" i="111"/>
  <c r="AB44" i="111"/>
  <c r="AA44" i="111"/>
  <c r="O44" i="111"/>
  <c r="BM43" i="111"/>
  <c r="BL43" i="111"/>
  <c r="BP43" i="111" s="1"/>
  <c r="BH43" i="111"/>
  <c r="BK43" i="111" s="1"/>
  <c r="V43" i="111" s="1"/>
  <c r="BD43" i="111"/>
  <c r="BF43" i="111" s="1"/>
  <c r="AZ43" i="111"/>
  <c r="BB43" i="111" s="1"/>
  <c r="AS43" i="111"/>
  <c r="AU43" i="111" s="1"/>
  <c r="AO43" i="111"/>
  <c r="AM43" i="111"/>
  <c r="AK43" i="111"/>
  <c r="AJ43" i="111"/>
  <c r="AB43" i="111"/>
  <c r="AA43" i="111"/>
  <c r="O43" i="111"/>
  <c r="BM42" i="111"/>
  <c r="BN42" i="111" s="1"/>
  <c r="BL42" i="111"/>
  <c r="BH42" i="111"/>
  <c r="BK42" i="111" s="1"/>
  <c r="V42" i="111" s="1"/>
  <c r="BF42" i="111"/>
  <c r="BD42" i="111"/>
  <c r="AZ42" i="111"/>
  <c r="AJ42" i="111" s="1"/>
  <c r="AS42" i="111"/>
  <c r="AU42" i="111" s="1"/>
  <c r="AO42" i="111"/>
  <c r="AK42" i="111" s="1"/>
  <c r="AM42" i="111"/>
  <c r="AB42" i="111"/>
  <c r="AA42" i="111"/>
  <c r="O42" i="111"/>
  <c r="BM41" i="111"/>
  <c r="BN41" i="111" s="1"/>
  <c r="BL41" i="111"/>
  <c r="BJ42" i="111" s="1"/>
  <c r="BH41" i="111"/>
  <c r="BD41" i="111"/>
  <c r="BF41" i="111" s="1"/>
  <c r="AZ41" i="111"/>
  <c r="BB41" i="111" s="1"/>
  <c r="AS41" i="111"/>
  <c r="AU41" i="111" s="1"/>
  <c r="AO41" i="111"/>
  <c r="AK41" i="111" s="1"/>
  <c r="AM41" i="111"/>
  <c r="AJ41" i="111"/>
  <c r="AB41" i="111"/>
  <c r="AA41" i="111"/>
  <c r="O41" i="111"/>
  <c r="BM40" i="111"/>
  <c r="BO40" i="111" s="1"/>
  <c r="BL40" i="111"/>
  <c r="BO41" i="111" s="1"/>
  <c r="BH40" i="111"/>
  <c r="BD40" i="111"/>
  <c r="BF40" i="111" s="1"/>
  <c r="AZ40" i="111"/>
  <c r="AJ40" i="111" s="1"/>
  <c r="AS40" i="111"/>
  <c r="AU40" i="111" s="1"/>
  <c r="AO40" i="111"/>
  <c r="AM40" i="111"/>
  <c r="AK40" i="111"/>
  <c r="AB40" i="111"/>
  <c r="AA40" i="111"/>
  <c r="O40" i="111"/>
  <c r="BN39" i="111"/>
  <c r="BM39" i="111"/>
  <c r="BL39" i="111"/>
  <c r="BP39" i="111" s="1"/>
  <c r="BJ39" i="111"/>
  <c r="U39" i="111" s="1"/>
  <c r="BH39" i="111"/>
  <c r="BD39" i="111"/>
  <c r="BF39" i="111" s="1"/>
  <c r="AZ39" i="111"/>
  <c r="BB39" i="111" s="1"/>
  <c r="AS39" i="111"/>
  <c r="AU39" i="111" s="1"/>
  <c r="AO39" i="111"/>
  <c r="AK39" i="111" s="1"/>
  <c r="AM39" i="111"/>
  <c r="AB39" i="111"/>
  <c r="AA39" i="111"/>
  <c r="O39" i="111"/>
  <c r="BM38" i="111"/>
  <c r="BO38" i="111" s="1"/>
  <c r="BL38" i="111"/>
  <c r="BK38" i="111"/>
  <c r="BJ38" i="111"/>
  <c r="BH38" i="111"/>
  <c r="BF38" i="111"/>
  <c r="BD38" i="111"/>
  <c r="BC38" i="111"/>
  <c r="BA38" i="111"/>
  <c r="AZ38" i="111"/>
  <c r="BB38" i="111" s="1"/>
  <c r="AS38" i="111"/>
  <c r="AU38" i="111" s="1"/>
  <c r="AP38" i="111"/>
  <c r="AO38" i="111"/>
  <c r="AK38" i="111" s="1"/>
  <c r="AM38" i="111"/>
  <c r="AH38" i="111"/>
  <c r="AR38" i="111" s="1"/>
  <c r="AB38" i="111"/>
  <c r="AA38" i="111"/>
  <c r="V38" i="111"/>
  <c r="O38" i="111"/>
  <c r="AI37" i="111"/>
  <c r="AG37" i="111"/>
  <c r="Q37" i="111"/>
  <c r="N37" i="111"/>
  <c r="M37" i="111"/>
  <c r="L37" i="111"/>
  <c r="K37" i="111"/>
  <c r="I37" i="111"/>
  <c r="H37" i="111"/>
  <c r="G37" i="111"/>
  <c r="F37" i="111"/>
  <c r="E37" i="111"/>
  <c r="BM36" i="111"/>
  <c r="BL36" i="111"/>
  <c r="BH36" i="111"/>
  <c r="BD36" i="111"/>
  <c r="BF36" i="111" s="1"/>
  <c r="AZ36" i="111"/>
  <c r="BB36" i="111" s="1"/>
  <c r="AS36" i="111"/>
  <c r="AU36" i="111" s="1"/>
  <c r="AO36" i="111"/>
  <c r="AM36" i="111"/>
  <c r="AK36" i="111"/>
  <c r="AB36" i="111"/>
  <c r="AA36" i="111"/>
  <c r="BM35" i="111"/>
  <c r="BN35" i="111" s="1"/>
  <c r="BL35" i="111"/>
  <c r="BH35" i="111"/>
  <c r="BD35" i="111"/>
  <c r="BF35" i="111" s="1"/>
  <c r="AZ35" i="111"/>
  <c r="AS35" i="111"/>
  <c r="AU35" i="111" s="1"/>
  <c r="AO35" i="111"/>
  <c r="AM35" i="111"/>
  <c r="AK35" i="111"/>
  <c r="AB35" i="111"/>
  <c r="AA35" i="111"/>
  <c r="BM34" i="111"/>
  <c r="BN34" i="111" s="1"/>
  <c r="BL34" i="111"/>
  <c r="BH34" i="111"/>
  <c r="BD34" i="111"/>
  <c r="BF34" i="111" s="1"/>
  <c r="AZ34" i="111"/>
  <c r="AS34" i="111"/>
  <c r="AU34" i="111" s="1"/>
  <c r="AO34" i="111"/>
  <c r="AM34" i="111"/>
  <c r="AB34" i="111"/>
  <c r="AA34" i="111"/>
  <c r="BM33" i="111"/>
  <c r="BL33" i="111"/>
  <c r="BH33" i="111"/>
  <c r="BD33" i="111"/>
  <c r="BF33" i="111" s="1"/>
  <c r="AZ33" i="111"/>
  <c r="AS33" i="111"/>
  <c r="AU33" i="111" s="1"/>
  <c r="AO33" i="111"/>
  <c r="AK33" i="111" s="1"/>
  <c r="AM33" i="111"/>
  <c r="AB33" i="111"/>
  <c r="AA33" i="111"/>
  <c r="BM32" i="111"/>
  <c r="BL32" i="111"/>
  <c r="BH32" i="111"/>
  <c r="BD32" i="111"/>
  <c r="BF32" i="111" s="1"/>
  <c r="AZ32" i="111"/>
  <c r="BB32" i="111" s="1"/>
  <c r="AS32" i="111"/>
  <c r="AU32" i="111" s="1"/>
  <c r="AO32" i="111"/>
  <c r="AK32" i="111" s="1"/>
  <c r="AM32" i="111"/>
  <c r="AJ32" i="111"/>
  <c r="AB32" i="111"/>
  <c r="AA32" i="111"/>
  <c r="BM31" i="111"/>
  <c r="BL31" i="111"/>
  <c r="BH31" i="111"/>
  <c r="BD31" i="111"/>
  <c r="BF31" i="111" s="1"/>
  <c r="AZ31" i="111"/>
  <c r="BB31" i="111" s="1"/>
  <c r="AS31" i="111"/>
  <c r="AU31" i="111" s="1"/>
  <c r="AO31" i="111"/>
  <c r="AK31" i="111" s="1"/>
  <c r="AM31" i="111"/>
  <c r="AJ31" i="111"/>
  <c r="AB31" i="111"/>
  <c r="AA31" i="111"/>
  <c r="BM30" i="111"/>
  <c r="BL30" i="111"/>
  <c r="BH30" i="111"/>
  <c r="AZ30" i="111"/>
  <c r="BB30" i="111" s="1"/>
  <c r="AO30" i="111"/>
  <c r="AM30" i="111"/>
  <c r="AH30" i="111"/>
  <c r="AB30" i="111"/>
  <c r="AA30" i="111"/>
  <c r="O30" i="111"/>
  <c r="AI29" i="111"/>
  <c r="AG29" i="111"/>
  <c r="Q29" i="111"/>
  <c r="N29" i="111"/>
  <c r="M29" i="111"/>
  <c r="L29" i="111"/>
  <c r="K29" i="111"/>
  <c r="I29" i="111"/>
  <c r="H29" i="111"/>
  <c r="G29" i="111"/>
  <c r="F29" i="111"/>
  <c r="E29" i="111"/>
  <c r="BM28" i="111"/>
  <c r="BN28" i="111" s="1"/>
  <c r="BL28" i="111"/>
  <c r="BH28" i="111"/>
  <c r="BD28" i="111"/>
  <c r="BF28" i="111" s="1"/>
  <c r="BB28" i="111"/>
  <c r="AZ28" i="111"/>
  <c r="AS28" i="111"/>
  <c r="AU28" i="111" s="1"/>
  <c r="AO28" i="111"/>
  <c r="AK28" i="111" s="1"/>
  <c r="AM28" i="111"/>
  <c r="AJ28" i="111"/>
  <c r="AB28" i="111"/>
  <c r="AA28" i="111"/>
  <c r="O28" i="111"/>
  <c r="BM27" i="111"/>
  <c r="BN27" i="111" s="1"/>
  <c r="BL27" i="111"/>
  <c r="BH27" i="111"/>
  <c r="AZ27" i="111"/>
  <c r="AS27" i="111"/>
  <c r="AU27" i="111" s="1"/>
  <c r="AO27" i="111"/>
  <c r="AK27" i="111" s="1"/>
  <c r="AM27" i="111"/>
  <c r="AB27" i="111"/>
  <c r="AA27" i="111"/>
  <c r="O27" i="111"/>
  <c r="BM26" i="111"/>
  <c r="BL26" i="111"/>
  <c r="BH26" i="111"/>
  <c r="AZ26" i="111"/>
  <c r="AS26" i="111"/>
  <c r="AU26" i="111" s="1"/>
  <c r="AO26" i="111"/>
  <c r="AK26" i="111" s="1"/>
  <c r="AM26" i="111"/>
  <c r="AB26" i="111"/>
  <c r="AA26" i="111"/>
  <c r="O26" i="111"/>
  <c r="BM25" i="111"/>
  <c r="BL25" i="111"/>
  <c r="BH25" i="111"/>
  <c r="AZ25" i="111"/>
  <c r="AS25" i="111"/>
  <c r="AU25" i="111" s="1"/>
  <c r="AO25" i="111"/>
  <c r="AK25" i="111" s="1"/>
  <c r="AM25" i="111"/>
  <c r="AB25" i="111"/>
  <c r="AA25" i="111"/>
  <c r="O25" i="111"/>
  <c r="BM24" i="111"/>
  <c r="BN24" i="111" s="1"/>
  <c r="BL24" i="111"/>
  <c r="BH24" i="111"/>
  <c r="AZ24" i="111"/>
  <c r="BB24" i="111" s="1"/>
  <c r="AS24" i="111"/>
  <c r="AU24" i="111" s="1"/>
  <c r="AO24" i="111"/>
  <c r="AK24" i="111" s="1"/>
  <c r="AM24" i="111"/>
  <c r="AB24" i="111"/>
  <c r="AA24" i="111"/>
  <c r="O24" i="111"/>
  <c r="BM23" i="111"/>
  <c r="BN23" i="111" s="1"/>
  <c r="BL23" i="111"/>
  <c r="BH23" i="111"/>
  <c r="AZ23" i="111"/>
  <c r="BB23" i="111" s="1"/>
  <c r="AS23" i="111"/>
  <c r="AU23" i="111" s="1"/>
  <c r="AO23" i="111"/>
  <c r="AK23" i="111" s="1"/>
  <c r="AM23" i="111"/>
  <c r="AB23" i="111"/>
  <c r="AA23" i="111"/>
  <c r="O23" i="111"/>
  <c r="BM22" i="111"/>
  <c r="BO22" i="111" s="1"/>
  <c r="BL22" i="111"/>
  <c r="BH22" i="111"/>
  <c r="BD22" i="111"/>
  <c r="BF22" i="111" s="1"/>
  <c r="AZ22" i="111"/>
  <c r="AJ22" i="111" s="1"/>
  <c r="AS22" i="111"/>
  <c r="AU22" i="111" s="1"/>
  <c r="AO22" i="111"/>
  <c r="AK22" i="111" s="1"/>
  <c r="AM22" i="111"/>
  <c r="AH22" i="111"/>
  <c r="AB22" i="111"/>
  <c r="AA22" i="111"/>
  <c r="O22" i="111"/>
  <c r="AI21" i="111"/>
  <c r="AG21" i="111"/>
  <c r="AF21" i="111"/>
  <c r="Q21" i="111"/>
  <c r="N21" i="111"/>
  <c r="M21" i="111"/>
  <c r="L21" i="111"/>
  <c r="K21" i="111"/>
  <c r="I21" i="111"/>
  <c r="H21" i="111"/>
  <c r="G21" i="111"/>
  <c r="F21" i="111"/>
  <c r="E21" i="111"/>
  <c r="BM20" i="111"/>
  <c r="BH20" i="111"/>
  <c r="BJ20" i="111" s="1"/>
  <c r="AZ20" i="111"/>
  <c r="BB20" i="111" s="1"/>
  <c r="AS20" i="111"/>
  <c r="AU20" i="111" s="1"/>
  <c r="AO20" i="111"/>
  <c r="AM20" i="111"/>
  <c r="AB20" i="111"/>
  <c r="AA20" i="111"/>
  <c r="O20" i="111"/>
  <c r="BM19" i="111"/>
  <c r="BH19" i="111"/>
  <c r="AZ19" i="111"/>
  <c r="AO19" i="111"/>
  <c r="AM19" i="111"/>
  <c r="AB19" i="111"/>
  <c r="AA19" i="111"/>
  <c r="O19" i="111"/>
  <c r="BM18" i="111"/>
  <c r="BN18" i="111" s="1"/>
  <c r="BH18" i="111"/>
  <c r="AZ18" i="111"/>
  <c r="BB18" i="111" s="1"/>
  <c r="AS18" i="111"/>
  <c r="AU18" i="111" s="1"/>
  <c r="AO18" i="111"/>
  <c r="AM18" i="111"/>
  <c r="AB18" i="111"/>
  <c r="AA18" i="111"/>
  <c r="O18" i="111"/>
  <c r="BM17" i="111"/>
  <c r="BN17" i="111" s="1"/>
  <c r="BH17" i="111"/>
  <c r="BJ17" i="111" s="1"/>
  <c r="AZ17" i="111"/>
  <c r="AS17" i="111"/>
  <c r="AU17" i="111" s="1"/>
  <c r="AO17" i="111"/>
  <c r="AM17" i="111"/>
  <c r="AB17" i="111"/>
  <c r="AA17" i="111"/>
  <c r="O17" i="111"/>
  <c r="BM16" i="111"/>
  <c r="BO16" i="111" s="1"/>
  <c r="BH16" i="111"/>
  <c r="AZ16" i="111"/>
  <c r="BB16" i="111" s="1"/>
  <c r="AS16" i="111"/>
  <c r="AU16" i="111" s="1"/>
  <c r="AO16" i="111"/>
  <c r="AM16" i="111"/>
  <c r="AB16" i="111"/>
  <c r="AA16" i="111"/>
  <c r="O16" i="111"/>
  <c r="BM15" i="111"/>
  <c r="BP15" i="111" s="1"/>
  <c r="BH15" i="111"/>
  <c r="AZ15" i="111"/>
  <c r="AS15" i="111"/>
  <c r="AU15" i="111" s="1"/>
  <c r="AO15" i="111"/>
  <c r="AM15" i="111"/>
  <c r="AB15" i="111"/>
  <c r="AA15" i="111"/>
  <c r="O15" i="111"/>
  <c r="BM14" i="111"/>
  <c r="BO14" i="111" s="1"/>
  <c r="BH14" i="111"/>
  <c r="AZ14" i="111"/>
  <c r="BB14" i="111" s="1"/>
  <c r="AS14" i="111"/>
  <c r="AU14" i="111" s="1"/>
  <c r="AO14" i="111"/>
  <c r="AM14" i="111"/>
  <c r="AH14" i="111"/>
  <c r="AT15" i="111" s="1"/>
  <c r="AB14" i="111"/>
  <c r="AA14" i="111"/>
  <c r="O14" i="111"/>
  <c r="AM13" i="111"/>
  <c r="AJ13" i="111" s="1"/>
  <c r="AK13" i="111"/>
  <c r="C8" i="111"/>
  <c r="C7" i="111"/>
  <c r="C6" i="111"/>
  <c r="BK28" i="111" l="1"/>
  <c r="V28" i="111" s="1"/>
  <c r="BJ23" i="111"/>
  <c r="U23" i="111" s="1"/>
  <c r="BK35" i="111"/>
  <c r="V35" i="111" s="1"/>
  <c r="AQ38" i="111"/>
  <c r="AH39" i="111"/>
  <c r="BO39" i="111"/>
  <c r="BB40" i="111"/>
  <c r="BJ43" i="111"/>
  <c r="U43" i="111" s="1"/>
  <c r="BB42" i="111"/>
  <c r="Q46" i="111"/>
  <c r="AJ39" i="111"/>
  <c r="U42" i="111"/>
  <c r="BB22" i="111"/>
  <c r="BP22" i="111"/>
  <c r="AC29" i="111"/>
  <c r="AI38" i="111"/>
  <c r="AY38" i="111" s="1"/>
  <c r="AT39" i="111"/>
  <c r="BE39" i="111"/>
  <c r="BJ40" i="111"/>
  <c r="BO43" i="111"/>
  <c r="AJ36" i="111"/>
  <c r="BO28" i="111"/>
  <c r="O45" i="111"/>
  <c r="BI38" i="111"/>
  <c r="BK39" i="111"/>
  <c r="V39" i="111" s="1"/>
  <c r="BK40" i="111"/>
  <c r="V40" i="111" s="1"/>
  <c r="BN43" i="111"/>
  <c r="BJ44" i="111"/>
  <c r="AG45" i="111"/>
  <c r="AG21" i="110"/>
  <c r="BO20" i="111"/>
  <c r="BP20" i="111" s="1"/>
  <c r="BJ24" i="111"/>
  <c r="U24" i="111" s="1"/>
  <c r="BP28" i="111"/>
  <c r="BO24" i="111"/>
  <c r="BK20" i="111"/>
  <c r="V20" i="111" s="1"/>
  <c r="BN20" i="111"/>
  <c r="U20" i="111" s="1"/>
  <c r="AF29" i="111"/>
  <c r="AL37" i="111"/>
  <c r="T37" i="111" s="1"/>
  <c r="AF45" i="111"/>
  <c r="AL45" i="111" s="1"/>
  <c r="T45" i="111" s="1"/>
  <c r="BQ45" i="111"/>
  <c r="BP32" i="111"/>
  <c r="BL14" i="109"/>
  <c r="BL18" i="109"/>
  <c r="BL16" i="109"/>
  <c r="BL15" i="109"/>
  <c r="BL17" i="109"/>
  <c r="BL20" i="109"/>
  <c r="BL19" i="109"/>
  <c r="AC37" i="111"/>
  <c r="BO17" i="111"/>
  <c r="BJ14" i="111"/>
  <c r="BK14" i="111" s="1"/>
  <c r="V14" i="111" s="1"/>
  <c r="BP14" i="111"/>
  <c r="BK17" i="111"/>
  <c r="V17" i="111" s="1"/>
  <c r="AP14" i="111"/>
  <c r="AK14" i="111" s="1"/>
  <c r="AC21" i="111"/>
  <c r="BN14" i="111"/>
  <c r="BN16" i="111"/>
  <c r="BB17" i="111"/>
  <c r="BO18" i="111"/>
  <c r="BP18" i="111"/>
  <c r="BO23" i="111"/>
  <c r="BK24" i="111"/>
  <c r="V24" i="111" s="1"/>
  <c r="BK23" i="111"/>
  <c r="V23" i="111" s="1"/>
  <c r="BK27" i="111"/>
  <c r="V27" i="111" s="1"/>
  <c r="BP26" i="111"/>
  <c r="BO26" i="111"/>
  <c r="BJ25" i="111"/>
  <c r="O29" i="111"/>
  <c r="BO27" i="111"/>
  <c r="BP24" i="111"/>
  <c r="BK25" i="111"/>
  <c r="V25" i="111" s="1"/>
  <c r="O21" i="111"/>
  <c r="BJ18" i="111"/>
  <c r="U18" i="111" s="1"/>
  <c r="BP33" i="111"/>
  <c r="BP35" i="111"/>
  <c r="BJ34" i="111"/>
  <c r="U34" i="111" s="1"/>
  <c r="BP34" i="111"/>
  <c r="BJ35" i="111"/>
  <c r="U35" i="111" s="1"/>
  <c r="O37" i="111"/>
  <c r="U17" i="111"/>
  <c r="BK26" i="111"/>
  <c r="V26" i="111" s="1"/>
  <c r="BJ26" i="111"/>
  <c r="AQ14" i="111"/>
  <c r="BA14" i="111"/>
  <c r="AJ14" i="111" s="1"/>
  <c r="AH15" i="111"/>
  <c r="BE15" i="111"/>
  <c r="BJ15" i="111"/>
  <c r="BK15" i="111" s="1"/>
  <c r="V15" i="111" s="1"/>
  <c r="BN15" i="111"/>
  <c r="BP17" i="111"/>
  <c r="BJ19" i="111"/>
  <c r="BK19" i="111" s="1"/>
  <c r="V19" i="111" s="1"/>
  <c r="BN19" i="111"/>
  <c r="BA30" i="111"/>
  <c r="AQ30" i="111"/>
  <c r="BE31" i="111"/>
  <c r="AH31" i="111"/>
  <c r="AP30" i="111"/>
  <c r="AT31" i="111"/>
  <c r="BI30" i="111"/>
  <c r="BC30" i="111"/>
  <c r="AR30" i="111"/>
  <c r="AI30" i="111"/>
  <c r="BB33" i="111"/>
  <c r="AJ33" i="111"/>
  <c r="BP16" i="111"/>
  <c r="BB25" i="111"/>
  <c r="BO31" i="111"/>
  <c r="BN31" i="111"/>
  <c r="BP31" i="111"/>
  <c r="AR14" i="111"/>
  <c r="BB15" i="111"/>
  <c r="BO15" i="111"/>
  <c r="BJ16" i="111"/>
  <c r="BK16" i="111" s="1"/>
  <c r="V16" i="111" s="1"/>
  <c r="BB19" i="111"/>
  <c r="BO19" i="111"/>
  <c r="BP19" i="111" s="1"/>
  <c r="BK22" i="111"/>
  <c r="V22" i="111" s="1"/>
  <c r="BJ22" i="111"/>
  <c r="BP25" i="111"/>
  <c r="BO25" i="111"/>
  <c r="BN25" i="111"/>
  <c r="BK32" i="111"/>
  <c r="V32" i="111" s="1"/>
  <c r="BJ32" i="111"/>
  <c r="AI14" i="111"/>
  <c r="AY14" i="111" s="1"/>
  <c r="BC14" i="111"/>
  <c r="BD14" i="111" s="1"/>
  <c r="BF14" i="111" s="1"/>
  <c r="BI14" i="111"/>
  <c r="BE23" i="111"/>
  <c r="AH23" i="111"/>
  <c r="BA22" i="111"/>
  <c r="AQ22" i="111"/>
  <c r="AP22" i="111"/>
  <c r="AT23" i="111"/>
  <c r="BI22" i="111"/>
  <c r="BC22" i="111"/>
  <c r="AI22" i="111"/>
  <c r="AY22" i="111" s="1"/>
  <c r="AR22" i="111"/>
  <c r="BJ27" i="111"/>
  <c r="U27" i="111" s="1"/>
  <c r="BP23" i="111"/>
  <c r="BP27" i="111"/>
  <c r="BO30" i="111"/>
  <c r="BN30" i="111"/>
  <c r="BK31" i="111"/>
  <c r="V31" i="111" s="1"/>
  <c r="BJ31" i="111"/>
  <c r="BO34" i="111"/>
  <c r="BK36" i="111"/>
  <c r="V36" i="111" s="1"/>
  <c r="BJ36" i="111"/>
  <c r="AV38" i="111"/>
  <c r="AW38" i="111" s="1"/>
  <c r="BN22" i="111"/>
  <c r="BN26" i="111"/>
  <c r="BJ28" i="111"/>
  <c r="U28" i="111" s="1"/>
  <c r="BJ30" i="111"/>
  <c r="BK30" i="111" s="1"/>
  <c r="V30" i="111" s="1"/>
  <c r="BP30" i="111"/>
  <c r="BO33" i="111"/>
  <c r="BN33" i="111"/>
  <c r="AJ34" i="111"/>
  <c r="BB34" i="111"/>
  <c r="AJ35" i="111"/>
  <c r="BB35" i="111"/>
  <c r="V45" i="111"/>
  <c r="AJ44" i="111"/>
  <c r="BB44" i="111"/>
  <c r="BO32" i="111"/>
  <c r="BN32" i="111"/>
  <c r="BK33" i="111"/>
  <c r="V33" i="111" s="1"/>
  <c r="BJ33" i="111"/>
  <c r="BO36" i="111"/>
  <c r="BP36" i="111"/>
  <c r="BN36" i="111"/>
  <c r="BO35" i="111"/>
  <c r="BH37" i="111"/>
  <c r="AJ38" i="111"/>
  <c r="BN38" i="111"/>
  <c r="U38" i="111" s="1"/>
  <c r="BP38" i="111"/>
  <c r="BK41" i="111"/>
  <c r="V41" i="111" s="1"/>
  <c r="BO42" i="111"/>
  <c r="AC45" i="111"/>
  <c r="AT40" i="111"/>
  <c r="BI39" i="111"/>
  <c r="AQ39" i="111"/>
  <c r="BE40" i="111"/>
  <c r="AH40" i="111"/>
  <c r="AI39" i="111"/>
  <c r="BJ41" i="111"/>
  <c r="U41" i="111" s="1"/>
  <c r="BP41" i="111"/>
  <c r="BP44" i="111"/>
  <c r="BO44" i="111"/>
  <c r="BN44" i="111"/>
  <c r="BP40" i="111"/>
  <c r="BN40" i="111"/>
  <c r="S45" i="111"/>
  <c r="BP42" i="111"/>
  <c r="C8" i="110"/>
  <c r="C7" i="110"/>
  <c r="C6" i="110"/>
  <c r="O7" i="110"/>
  <c r="X46" i="110"/>
  <c r="AI45" i="110"/>
  <c r="AF45" i="110"/>
  <c r="Q45" i="110"/>
  <c r="N45" i="110"/>
  <c r="M45" i="110"/>
  <c r="L45" i="110"/>
  <c r="K45" i="110"/>
  <c r="I45" i="110"/>
  <c r="H45" i="110"/>
  <c r="G45" i="110"/>
  <c r="F45" i="110"/>
  <c r="E45" i="110"/>
  <c r="S45" i="110" s="1"/>
  <c r="BM44" i="110"/>
  <c r="BN44" i="110" s="1"/>
  <c r="BL44" i="110"/>
  <c r="BH44" i="110"/>
  <c r="BD44" i="110"/>
  <c r="BF44" i="110" s="1"/>
  <c r="BB44" i="110"/>
  <c r="AZ44" i="110"/>
  <c r="AJ44" i="110" s="1"/>
  <c r="AS44" i="110"/>
  <c r="AU44" i="110" s="1"/>
  <c r="AO44" i="110"/>
  <c r="AK44" i="110" s="1"/>
  <c r="AM44" i="110"/>
  <c r="AB44" i="110"/>
  <c r="AA44" i="110"/>
  <c r="O44" i="110"/>
  <c r="BM43" i="110"/>
  <c r="BN43" i="110" s="1"/>
  <c r="BL43" i="110"/>
  <c r="BH43" i="110"/>
  <c r="BK43" i="110" s="1"/>
  <c r="V43" i="110" s="1"/>
  <c r="BD43" i="110"/>
  <c r="BF43" i="110" s="1"/>
  <c r="BB43" i="110"/>
  <c r="AZ43" i="110"/>
  <c r="AJ43" i="110" s="1"/>
  <c r="AS43" i="110"/>
  <c r="AU43" i="110" s="1"/>
  <c r="AO43" i="110"/>
  <c r="AK43" i="110" s="1"/>
  <c r="AM43" i="110"/>
  <c r="AB43" i="110"/>
  <c r="AA43" i="110"/>
  <c r="O43" i="110"/>
  <c r="BM42" i="110"/>
  <c r="BN42" i="110" s="1"/>
  <c r="BL42" i="110"/>
  <c r="BO43" i="110" s="1"/>
  <c r="BH42" i="110"/>
  <c r="BD42" i="110"/>
  <c r="BF42" i="110" s="1"/>
  <c r="AZ42" i="110"/>
  <c r="BB42" i="110" s="1"/>
  <c r="AS42" i="110"/>
  <c r="AU42" i="110" s="1"/>
  <c r="AO42" i="110"/>
  <c r="AM42" i="110"/>
  <c r="AK42" i="110"/>
  <c r="AJ42" i="110"/>
  <c r="AB42" i="110"/>
  <c r="AA42" i="110"/>
  <c r="O42" i="110"/>
  <c r="BM41" i="110"/>
  <c r="BL41" i="110"/>
  <c r="BH41" i="110"/>
  <c r="BD41" i="110"/>
  <c r="BF41" i="110" s="1"/>
  <c r="AZ41" i="110"/>
  <c r="AS41" i="110"/>
  <c r="AU41" i="110" s="1"/>
  <c r="AO41" i="110"/>
  <c r="AM41" i="110"/>
  <c r="AK41" i="110"/>
  <c r="AB41" i="110"/>
  <c r="AA41" i="110"/>
  <c r="O41" i="110"/>
  <c r="BN40" i="110"/>
  <c r="BM40" i="110"/>
  <c r="BL40" i="110"/>
  <c r="BP40" i="110" s="1"/>
  <c r="BH40" i="110"/>
  <c r="BF40" i="110"/>
  <c r="BD40" i="110"/>
  <c r="BB40" i="110"/>
  <c r="AZ40" i="110"/>
  <c r="AJ40" i="110" s="1"/>
  <c r="AS40" i="110"/>
  <c r="AU40" i="110" s="1"/>
  <c r="AO40" i="110"/>
  <c r="AK40" i="110" s="1"/>
  <c r="AM40" i="110"/>
  <c r="AB40" i="110"/>
  <c r="AA40" i="110"/>
  <c r="O40" i="110"/>
  <c r="BM39" i="110"/>
  <c r="BN39" i="110" s="1"/>
  <c r="BL39" i="110"/>
  <c r="BH39" i="110"/>
  <c r="BD39" i="110"/>
  <c r="BF39" i="110" s="1"/>
  <c r="AZ39" i="110"/>
  <c r="AJ39" i="110" s="1"/>
  <c r="AS39" i="110"/>
  <c r="AU39" i="110" s="1"/>
  <c r="AO39" i="110"/>
  <c r="AK39" i="110" s="1"/>
  <c r="AM39" i="110"/>
  <c r="AB39" i="110"/>
  <c r="AA39" i="110"/>
  <c r="O39" i="110"/>
  <c r="BN38" i="110"/>
  <c r="BM38" i="110"/>
  <c r="BO38" i="110" s="1"/>
  <c r="BL38" i="110"/>
  <c r="BH38" i="110"/>
  <c r="BD38" i="110"/>
  <c r="BF38" i="110" s="1"/>
  <c r="AZ38" i="110"/>
  <c r="BB38" i="110" s="1"/>
  <c r="AU38" i="110"/>
  <c r="AS38" i="110"/>
  <c r="AO38" i="110"/>
  <c r="AK38" i="110" s="1"/>
  <c r="AM38" i="110"/>
  <c r="AH38" i="110"/>
  <c r="AB38" i="110"/>
  <c r="AA38" i="110"/>
  <c r="O38" i="110"/>
  <c r="AI37" i="110"/>
  <c r="AF37" i="110"/>
  <c r="Q37" i="110"/>
  <c r="N37" i="110"/>
  <c r="M37" i="110"/>
  <c r="L37" i="110"/>
  <c r="K37" i="110"/>
  <c r="I37" i="110"/>
  <c r="H37" i="110"/>
  <c r="G37" i="110"/>
  <c r="F37" i="110"/>
  <c r="AC37" i="110" s="1"/>
  <c r="E37" i="110"/>
  <c r="BM36" i="110"/>
  <c r="BL36" i="110"/>
  <c r="BH36" i="110"/>
  <c r="BD36" i="110"/>
  <c r="BF36" i="110" s="1"/>
  <c r="AZ36" i="110"/>
  <c r="AS36" i="110"/>
  <c r="AU36" i="110" s="1"/>
  <c r="AO36" i="110"/>
  <c r="AK36" i="110" s="1"/>
  <c r="AM36" i="110"/>
  <c r="AB36" i="110"/>
  <c r="AA36" i="110"/>
  <c r="BM35" i="110"/>
  <c r="BN35" i="110" s="1"/>
  <c r="BL35" i="110"/>
  <c r="BH35" i="110"/>
  <c r="BD35" i="110"/>
  <c r="BF35" i="110" s="1"/>
  <c r="AZ35" i="110"/>
  <c r="BB35" i="110" s="1"/>
  <c r="AS35" i="110"/>
  <c r="AU35" i="110" s="1"/>
  <c r="AO35" i="110"/>
  <c r="AM35" i="110"/>
  <c r="AK35" i="110"/>
  <c r="AJ35" i="110"/>
  <c r="AB35" i="110"/>
  <c r="AA35" i="110"/>
  <c r="BM34" i="110"/>
  <c r="BN34" i="110" s="1"/>
  <c r="BL34" i="110"/>
  <c r="BH34" i="110"/>
  <c r="BD34" i="110"/>
  <c r="BF34" i="110" s="1"/>
  <c r="AZ34" i="110"/>
  <c r="BB34" i="110" s="1"/>
  <c r="AS34" i="110"/>
  <c r="AU34" i="110" s="1"/>
  <c r="AO34" i="110"/>
  <c r="AK34" i="110" s="1"/>
  <c r="AM34" i="110"/>
  <c r="AB34" i="110"/>
  <c r="AA34" i="110"/>
  <c r="BM33" i="110"/>
  <c r="BN33" i="110" s="1"/>
  <c r="BL33" i="110"/>
  <c r="BH33" i="110"/>
  <c r="BD33" i="110"/>
  <c r="BF33" i="110" s="1"/>
  <c r="BB33" i="110"/>
  <c r="AZ33" i="110"/>
  <c r="AJ33" i="110" s="1"/>
  <c r="AS33" i="110"/>
  <c r="AU33" i="110" s="1"/>
  <c r="AO33" i="110"/>
  <c r="AK33" i="110" s="1"/>
  <c r="AM33" i="110"/>
  <c r="AB33" i="110"/>
  <c r="AA33" i="110"/>
  <c r="BM32" i="110"/>
  <c r="BN32" i="110" s="1"/>
  <c r="BL32" i="110"/>
  <c r="BH32" i="110"/>
  <c r="BD32" i="110"/>
  <c r="BF32" i="110" s="1"/>
  <c r="AZ32" i="110"/>
  <c r="AJ32" i="110" s="1"/>
  <c r="AS32" i="110"/>
  <c r="AU32" i="110" s="1"/>
  <c r="AO32" i="110"/>
  <c r="AK32" i="110" s="1"/>
  <c r="AM32" i="110"/>
  <c r="AB32" i="110"/>
  <c r="AA32" i="110"/>
  <c r="BM31" i="110"/>
  <c r="BN31" i="110" s="1"/>
  <c r="BL31" i="110"/>
  <c r="BH31" i="110"/>
  <c r="BD31" i="110"/>
  <c r="BF31" i="110" s="1"/>
  <c r="AZ31" i="110"/>
  <c r="AS31" i="110"/>
  <c r="AU31" i="110" s="1"/>
  <c r="AO31" i="110"/>
  <c r="AK31" i="110" s="1"/>
  <c r="AM31" i="110"/>
  <c r="AB31" i="110"/>
  <c r="AA31" i="110"/>
  <c r="BM30" i="110"/>
  <c r="BO30" i="110" s="1"/>
  <c r="BL30" i="110"/>
  <c r="BH30" i="110"/>
  <c r="BD30" i="110"/>
  <c r="BF30" i="110" s="1"/>
  <c r="AZ30" i="110"/>
  <c r="BB30" i="110" s="1"/>
  <c r="AS30" i="110"/>
  <c r="AU30" i="110" s="1"/>
  <c r="AO30" i="110"/>
  <c r="AK30" i="110" s="1"/>
  <c r="AM30" i="110"/>
  <c r="AH30" i="110"/>
  <c r="AT31" i="110" s="1"/>
  <c r="AB30" i="110"/>
  <c r="AA30" i="110"/>
  <c r="O30" i="110"/>
  <c r="O37" i="110" s="1"/>
  <c r="AI29" i="110"/>
  <c r="AF29" i="110"/>
  <c r="Q29" i="110"/>
  <c r="N29" i="110"/>
  <c r="M29" i="110"/>
  <c r="L29" i="110"/>
  <c r="K29" i="110"/>
  <c r="I29" i="110"/>
  <c r="H29" i="110"/>
  <c r="G29" i="110"/>
  <c r="F29" i="110"/>
  <c r="E29" i="110"/>
  <c r="BM28" i="110"/>
  <c r="BL28" i="110"/>
  <c r="BH28" i="110"/>
  <c r="BD28" i="110"/>
  <c r="BF28" i="110" s="1"/>
  <c r="AZ28" i="110"/>
  <c r="AS28" i="110"/>
  <c r="AU28" i="110" s="1"/>
  <c r="AO28" i="110"/>
  <c r="AK28" i="110" s="1"/>
  <c r="AM28" i="110"/>
  <c r="AB28" i="110"/>
  <c r="AA28" i="110"/>
  <c r="O28" i="110"/>
  <c r="BM27" i="110"/>
  <c r="BN27" i="110" s="1"/>
  <c r="BL27" i="110"/>
  <c r="BH27" i="110"/>
  <c r="AZ27" i="110"/>
  <c r="BB27" i="110" s="1"/>
  <c r="AS27" i="110"/>
  <c r="AU27" i="110" s="1"/>
  <c r="AO27" i="110"/>
  <c r="AM27" i="110"/>
  <c r="AB27" i="110"/>
  <c r="AA27" i="110"/>
  <c r="O27" i="110"/>
  <c r="BM26" i="110"/>
  <c r="BL26" i="110"/>
  <c r="BH26" i="110"/>
  <c r="BD26" i="110"/>
  <c r="BF26" i="110" s="1"/>
  <c r="AZ26" i="110"/>
  <c r="AJ26" i="110" s="1"/>
  <c r="AS26" i="110"/>
  <c r="AU26" i="110" s="1"/>
  <c r="AO26" i="110"/>
  <c r="AK26" i="110" s="1"/>
  <c r="AM26" i="110"/>
  <c r="AB26" i="110"/>
  <c r="AA26" i="110"/>
  <c r="O26" i="110"/>
  <c r="BM25" i="110"/>
  <c r="BN25" i="110" s="1"/>
  <c r="BL25" i="110"/>
  <c r="BJ26" i="110" s="1"/>
  <c r="BH25" i="110"/>
  <c r="BD25" i="110"/>
  <c r="BF25" i="110" s="1"/>
  <c r="AZ25" i="110"/>
  <c r="AJ25" i="110" s="1"/>
  <c r="AS25" i="110"/>
  <c r="AU25" i="110" s="1"/>
  <c r="AO25" i="110"/>
  <c r="AK25" i="110" s="1"/>
  <c r="AM25" i="110"/>
  <c r="AB25" i="110"/>
  <c r="AA25" i="110"/>
  <c r="O25" i="110"/>
  <c r="BM24" i="110"/>
  <c r="BN24" i="110" s="1"/>
  <c r="BL24" i="110"/>
  <c r="BH24" i="110"/>
  <c r="BD24" i="110"/>
  <c r="BF24" i="110" s="1"/>
  <c r="AZ24" i="110"/>
  <c r="AJ24" i="110" s="1"/>
  <c r="AS24" i="110"/>
  <c r="AU24" i="110" s="1"/>
  <c r="AO24" i="110"/>
  <c r="AK24" i="110" s="1"/>
  <c r="AM24" i="110"/>
  <c r="AB24" i="110"/>
  <c r="AA24" i="110"/>
  <c r="O24" i="110"/>
  <c r="BM23" i="110"/>
  <c r="BL23" i="110"/>
  <c r="BH23" i="110"/>
  <c r="BD23" i="110"/>
  <c r="BF23" i="110" s="1"/>
  <c r="AZ23" i="110"/>
  <c r="AJ23" i="110" s="1"/>
  <c r="AS23" i="110"/>
  <c r="AU23" i="110" s="1"/>
  <c r="AO23" i="110"/>
  <c r="AK23" i="110" s="1"/>
  <c r="AM23" i="110"/>
  <c r="AB23" i="110"/>
  <c r="AA23" i="110"/>
  <c r="O23" i="110"/>
  <c r="BM22" i="110"/>
  <c r="BL22" i="110"/>
  <c r="BH22" i="110"/>
  <c r="BD22" i="110"/>
  <c r="BF22" i="110" s="1"/>
  <c r="AZ22" i="110"/>
  <c r="BB22" i="110" s="1"/>
  <c r="AS22" i="110"/>
  <c r="AU22" i="110" s="1"/>
  <c r="AO22" i="110"/>
  <c r="AK22" i="110" s="1"/>
  <c r="AM22" i="110"/>
  <c r="AJ22" i="110"/>
  <c r="AH22" i="110"/>
  <c r="AR22" i="110" s="1"/>
  <c r="AB22" i="110"/>
  <c r="AA22" i="110"/>
  <c r="O22" i="110"/>
  <c r="AI21" i="110"/>
  <c r="AF21" i="110"/>
  <c r="Q21" i="110"/>
  <c r="BM20" i="110"/>
  <c r="BN20" i="110" s="1"/>
  <c r="BH20" i="110"/>
  <c r="BD20" i="110"/>
  <c r="BF20" i="110" s="1"/>
  <c r="AZ20" i="110"/>
  <c r="AJ20" i="110" s="1"/>
  <c r="AS20" i="110"/>
  <c r="AU20" i="110" s="1"/>
  <c r="AO20" i="110"/>
  <c r="AK20" i="110" s="1"/>
  <c r="AM20" i="110"/>
  <c r="AB20" i="110"/>
  <c r="AA20" i="110"/>
  <c r="O20" i="110"/>
  <c r="BM19" i="110"/>
  <c r="BN19" i="110" s="1"/>
  <c r="BH19" i="110"/>
  <c r="BD19" i="110"/>
  <c r="BF19" i="110" s="1"/>
  <c r="AZ19" i="110"/>
  <c r="BB19" i="110" s="1"/>
  <c r="AO19" i="110"/>
  <c r="AM19" i="110"/>
  <c r="AB19" i="110"/>
  <c r="AA19" i="110"/>
  <c r="O19" i="110"/>
  <c r="BM18" i="110"/>
  <c r="BH18" i="110"/>
  <c r="BD18" i="110"/>
  <c r="BF18" i="110" s="1"/>
  <c r="AZ18" i="110"/>
  <c r="BB18" i="110" s="1"/>
  <c r="AS18" i="110"/>
  <c r="AU18" i="110" s="1"/>
  <c r="AO18" i="110"/>
  <c r="AK18" i="110" s="1"/>
  <c r="AM18" i="110"/>
  <c r="AB18" i="110"/>
  <c r="AA18" i="110"/>
  <c r="O18" i="110"/>
  <c r="BM17" i="110"/>
  <c r="BN17" i="110" s="1"/>
  <c r="BH17" i="110"/>
  <c r="BD17" i="110"/>
  <c r="BF17" i="110" s="1"/>
  <c r="AZ17" i="110"/>
  <c r="BB17" i="110" s="1"/>
  <c r="AS17" i="110"/>
  <c r="AU17" i="110" s="1"/>
  <c r="AO17" i="110"/>
  <c r="AK17" i="110" s="1"/>
  <c r="AM17" i="110"/>
  <c r="AB17" i="110"/>
  <c r="AA17" i="110"/>
  <c r="O17" i="110"/>
  <c r="BM16" i="110"/>
  <c r="BH16" i="110"/>
  <c r="BD16" i="110"/>
  <c r="BF16" i="110" s="1"/>
  <c r="AZ16" i="110"/>
  <c r="AJ16" i="110" s="1"/>
  <c r="AS16" i="110"/>
  <c r="AU16" i="110" s="1"/>
  <c r="AO16" i="110"/>
  <c r="AK16" i="110" s="1"/>
  <c r="AM16" i="110"/>
  <c r="AB16" i="110"/>
  <c r="AA16" i="110"/>
  <c r="O16" i="110"/>
  <c r="AB15" i="110"/>
  <c r="AB14" i="110"/>
  <c r="O7" i="109"/>
  <c r="O8" i="109"/>
  <c r="O6" i="109"/>
  <c r="Z6" i="109" s="1"/>
  <c r="X46" i="109"/>
  <c r="BQ45" i="109"/>
  <c r="AI45" i="109"/>
  <c r="AG45" i="109"/>
  <c r="AF45" i="109"/>
  <c r="Q45" i="109"/>
  <c r="N45" i="109"/>
  <c r="M45" i="109"/>
  <c r="L45" i="109"/>
  <c r="K45" i="109"/>
  <c r="I45" i="109"/>
  <c r="H45" i="109"/>
  <c r="G45" i="109"/>
  <c r="F45" i="109"/>
  <c r="E45" i="109"/>
  <c r="BM44" i="109"/>
  <c r="BL44" i="109"/>
  <c r="BH44" i="109"/>
  <c r="BD44" i="109"/>
  <c r="BF44" i="109" s="1"/>
  <c r="AZ44" i="109"/>
  <c r="BB44" i="109" s="1"/>
  <c r="AU44" i="109"/>
  <c r="AS44" i="109"/>
  <c r="AO44" i="109"/>
  <c r="AM44" i="109"/>
  <c r="AK44" i="109"/>
  <c r="AJ44" i="109"/>
  <c r="AB44" i="109"/>
  <c r="AA44" i="109"/>
  <c r="O44" i="109"/>
  <c r="BM43" i="109"/>
  <c r="BL43" i="109"/>
  <c r="BH43" i="109"/>
  <c r="BK43" i="109" s="1"/>
  <c r="V43" i="109" s="1"/>
  <c r="BD43" i="109"/>
  <c r="BF43" i="109" s="1"/>
  <c r="AZ43" i="109"/>
  <c r="AS43" i="109"/>
  <c r="AU43" i="109" s="1"/>
  <c r="AO43" i="109"/>
  <c r="AM43" i="109"/>
  <c r="AK43" i="109"/>
  <c r="AB43" i="109"/>
  <c r="AA43" i="109"/>
  <c r="O43" i="109"/>
  <c r="BM42" i="109"/>
  <c r="BP42" i="109" s="1"/>
  <c r="BL42" i="109"/>
  <c r="BK42" i="109" s="1"/>
  <c r="V42" i="109" s="1"/>
  <c r="BH42" i="109"/>
  <c r="BF42" i="109"/>
  <c r="BD42" i="109"/>
  <c r="BB42" i="109"/>
  <c r="AZ42" i="109"/>
  <c r="AJ42" i="109" s="1"/>
  <c r="AS42" i="109"/>
  <c r="AU42" i="109" s="1"/>
  <c r="AO42" i="109"/>
  <c r="AK42" i="109" s="1"/>
  <c r="AM42" i="109"/>
  <c r="AB42" i="109"/>
  <c r="AA42" i="109"/>
  <c r="O42" i="109"/>
  <c r="BM41" i="109"/>
  <c r="BO41" i="109" s="1"/>
  <c r="BL41" i="109"/>
  <c r="BH41" i="109"/>
  <c r="BD41" i="109"/>
  <c r="BF41" i="109" s="1"/>
  <c r="AZ41" i="109"/>
  <c r="AJ41" i="109" s="1"/>
  <c r="AS41" i="109"/>
  <c r="AU41" i="109" s="1"/>
  <c r="AO41" i="109"/>
  <c r="AK41" i="109" s="1"/>
  <c r="AM41" i="109"/>
  <c r="AB41" i="109"/>
  <c r="AA41" i="109"/>
  <c r="O41" i="109"/>
  <c r="BP40" i="109"/>
  <c r="BM40" i="109"/>
  <c r="BL40" i="109"/>
  <c r="BH40" i="109"/>
  <c r="BD40" i="109"/>
  <c r="BF40" i="109" s="1"/>
  <c r="AZ40" i="109"/>
  <c r="AU40" i="109"/>
  <c r="AS40" i="109"/>
  <c r="AO40" i="109"/>
  <c r="AM40" i="109"/>
  <c r="AK40" i="109"/>
  <c r="AB40" i="109"/>
  <c r="AA40" i="109"/>
  <c r="O40" i="109"/>
  <c r="BM39" i="109"/>
  <c r="BN39" i="109" s="1"/>
  <c r="BL39" i="109"/>
  <c r="BH39" i="109"/>
  <c r="BK39" i="109" s="1"/>
  <c r="V39" i="109" s="1"/>
  <c r="BD39" i="109"/>
  <c r="BF39" i="109" s="1"/>
  <c r="AZ39" i="109"/>
  <c r="AS39" i="109"/>
  <c r="AU39" i="109" s="1"/>
  <c r="AO39" i="109"/>
  <c r="AK39" i="109" s="1"/>
  <c r="AM39" i="109"/>
  <c r="AB39" i="109"/>
  <c r="AA39" i="109"/>
  <c r="O39" i="109"/>
  <c r="BM38" i="109"/>
  <c r="BL38" i="109"/>
  <c r="BH38" i="109"/>
  <c r="BK38" i="109" s="1"/>
  <c r="V38" i="109" s="1"/>
  <c r="BD38" i="109"/>
  <c r="BF38" i="109" s="1"/>
  <c r="AZ38" i="109"/>
  <c r="BB38" i="109" s="1"/>
  <c r="AS38" i="109"/>
  <c r="AU38" i="109" s="1"/>
  <c r="AO38" i="109"/>
  <c r="AK38" i="109" s="1"/>
  <c r="AM38" i="109"/>
  <c r="AJ38" i="109"/>
  <c r="AH38" i="109"/>
  <c r="AR38" i="109" s="1"/>
  <c r="AB38" i="109"/>
  <c r="AA38" i="109"/>
  <c r="O38" i="109"/>
  <c r="AI37" i="109"/>
  <c r="AG37" i="109"/>
  <c r="AF37" i="109"/>
  <c r="Q37" i="109"/>
  <c r="BN36" i="109"/>
  <c r="BM36" i="109"/>
  <c r="BH36" i="109"/>
  <c r="BD36" i="109"/>
  <c r="BF36" i="109" s="1"/>
  <c r="AZ36" i="109"/>
  <c r="AS36" i="109"/>
  <c r="AU36" i="109" s="1"/>
  <c r="AO36" i="109"/>
  <c r="AK36" i="109" s="1"/>
  <c r="AM36" i="109"/>
  <c r="AB36" i="109"/>
  <c r="AA36" i="109"/>
  <c r="BM35" i="109"/>
  <c r="BN35" i="109" s="1"/>
  <c r="BH35" i="109"/>
  <c r="BD35" i="109"/>
  <c r="BF35" i="109" s="1"/>
  <c r="BB35" i="109"/>
  <c r="AZ35" i="109"/>
  <c r="AJ35" i="109" s="1"/>
  <c r="AO35" i="109"/>
  <c r="AM35" i="109"/>
  <c r="AB35" i="109"/>
  <c r="AA35" i="109"/>
  <c r="BM34" i="109"/>
  <c r="BH34" i="109"/>
  <c r="BD34" i="109"/>
  <c r="BF34" i="109" s="1"/>
  <c r="AZ34" i="109"/>
  <c r="AJ34" i="109" s="1"/>
  <c r="AS34" i="109"/>
  <c r="AU34" i="109" s="1"/>
  <c r="AO34" i="109"/>
  <c r="AK34" i="109" s="1"/>
  <c r="AM34" i="109"/>
  <c r="AB34" i="109"/>
  <c r="AA34" i="109"/>
  <c r="AB33" i="109"/>
  <c r="AB32" i="109"/>
  <c r="AB31" i="109"/>
  <c r="AB30" i="109"/>
  <c r="AI29" i="109"/>
  <c r="AG29" i="109"/>
  <c r="AF29" i="109"/>
  <c r="Q29" i="109"/>
  <c r="N29" i="109"/>
  <c r="M29" i="109"/>
  <c r="L29" i="109"/>
  <c r="K29" i="109"/>
  <c r="I29" i="109"/>
  <c r="H29" i="109"/>
  <c r="G29" i="109"/>
  <c r="F29" i="109"/>
  <c r="E29" i="109"/>
  <c r="BM28" i="109"/>
  <c r="BL28" i="109"/>
  <c r="BH28" i="109"/>
  <c r="BD28" i="109"/>
  <c r="BF28" i="109" s="1"/>
  <c r="AZ28" i="109"/>
  <c r="BB28" i="109" s="1"/>
  <c r="AS28" i="109"/>
  <c r="AU28" i="109" s="1"/>
  <c r="AO28" i="109"/>
  <c r="AM28" i="109"/>
  <c r="AK28" i="109"/>
  <c r="AB28" i="109"/>
  <c r="AA28" i="109"/>
  <c r="O28" i="109"/>
  <c r="BM27" i="109"/>
  <c r="BN27" i="109" s="1"/>
  <c r="BL27" i="109"/>
  <c r="BH27" i="109"/>
  <c r="AZ27" i="109"/>
  <c r="BB27" i="109" s="1"/>
  <c r="AO27" i="109"/>
  <c r="AM27" i="109"/>
  <c r="AB27" i="109"/>
  <c r="AA27" i="109"/>
  <c r="O27" i="109"/>
  <c r="BM26" i="109"/>
  <c r="BN26" i="109" s="1"/>
  <c r="BL26" i="109"/>
  <c r="BH26" i="109"/>
  <c r="BD26" i="109"/>
  <c r="BF26" i="109" s="1"/>
  <c r="AZ26" i="109"/>
  <c r="AJ26" i="109" s="1"/>
  <c r="AS26" i="109"/>
  <c r="AU26" i="109" s="1"/>
  <c r="AO26" i="109"/>
  <c r="AK26" i="109" s="1"/>
  <c r="AM26" i="109"/>
  <c r="AB26" i="109"/>
  <c r="AA26" i="109"/>
  <c r="O26" i="109"/>
  <c r="BM25" i="109"/>
  <c r="BN25" i="109" s="1"/>
  <c r="BL25" i="109"/>
  <c r="BH25" i="109"/>
  <c r="BD25" i="109"/>
  <c r="BF25" i="109" s="1"/>
  <c r="AZ25" i="109"/>
  <c r="BB25" i="109" s="1"/>
  <c r="AS25" i="109"/>
  <c r="AU25" i="109" s="1"/>
  <c r="AO25" i="109"/>
  <c r="AK25" i="109" s="1"/>
  <c r="AM25" i="109"/>
  <c r="AB25" i="109"/>
  <c r="AA25" i="109"/>
  <c r="O25" i="109"/>
  <c r="BM24" i="109"/>
  <c r="BL24" i="109"/>
  <c r="BH24" i="109"/>
  <c r="BD24" i="109"/>
  <c r="BF24" i="109" s="1"/>
  <c r="AZ24" i="109"/>
  <c r="BB24" i="109" s="1"/>
  <c r="AS24" i="109"/>
  <c r="AU24" i="109" s="1"/>
  <c r="AO24" i="109"/>
  <c r="AK24" i="109" s="1"/>
  <c r="AM24" i="109"/>
  <c r="AB24" i="109"/>
  <c r="AA24" i="109"/>
  <c r="O24" i="109"/>
  <c r="BM23" i="109"/>
  <c r="BL23" i="109"/>
  <c r="BH23" i="109"/>
  <c r="BD23" i="109"/>
  <c r="BF23" i="109" s="1"/>
  <c r="AZ23" i="109"/>
  <c r="AS23" i="109"/>
  <c r="AU23" i="109" s="1"/>
  <c r="AO23" i="109"/>
  <c r="AM23" i="109"/>
  <c r="AB23" i="109"/>
  <c r="AA23" i="109"/>
  <c r="O23" i="109"/>
  <c r="BM22" i="109"/>
  <c r="BO22" i="109" s="1"/>
  <c r="BL22" i="109"/>
  <c r="BH22" i="109"/>
  <c r="BD22" i="109"/>
  <c r="BF22" i="109" s="1"/>
  <c r="AZ22" i="109"/>
  <c r="BB22" i="109" s="1"/>
  <c r="AS22" i="109"/>
  <c r="AU22" i="109" s="1"/>
  <c r="AO22" i="109"/>
  <c r="AK22" i="109" s="1"/>
  <c r="AM22" i="109"/>
  <c r="AJ22" i="109"/>
  <c r="AH22" i="109"/>
  <c r="AT23" i="109" s="1"/>
  <c r="AB22" i="109"/>
  <c r="AA22" i="109"/>
  <c r="O22" i="109"/>
  <c r="AI21" i="109"/>
  <c r="AG21" i="109"/>
  <c r="AF21" i="109"/>
  <c r="Q21" i="109"/>
  <c r="N21" i="109"/>
  <c r="M21" i="109"/>
  <c r="L21" i="109"/>
  <c r="K21" i="109"/>
  <c r="I21" i="109"/>
  <c r="H21" i="109"/>
  <c r="G21" i="109"/>
  <c r="F21" i="109"/>
  <c r="E21" i="109"/>
  <c r="BM20" i="109"/>
  <c r="BH20" i="109"/>
  <c r="BD20" i="109"/>
  <c r="BF20" i="109" s="1"/>
  <c r="AZ20" i="109"/>
  <c r="AJ20" i="109" s="1"/>
  <c r="AS20" i="109"/>
  <c r="AU20" i="109" s="1"/>
  <c r="AO20" i="109"/>
  <c r="AK20" i="109" s="1"/>
  <c r="AM20" i="109"/>
  <c r="AB20" i="109"/>
  <c r="AA20" i="109"/>
  <c r="O20" i="109"/>
  <c r="BM19" i="109"/>
  <c r="BN19" i="109" s="1"/>
  <c r="BH19" i="109"/>
  <c r="AZ19" i="109"/>
  <c r="AO19" i="109"/>
  <c r="AM19" i="109"/>
  <c r="AB19" i="109"/>
  <c r="AA19" i="109"/>
  <c r="O19" i="109"/>
  <c r="BM18" i="109"/>
  <c r="BN18" i="109" s="1"/>
  <c r="BH18" i="109"/>
  <c r="BD18" i="109"/>
  <c r="BF18" i="109" s="1"/>
  <c r="AZ18" i="109"/>
  <c r="BB18" i="109" s="1"/>
  <c r="AS18" i="109"/>
  <c r="AU18" i="109" s="1"/>
  <c r="AO18" i="109"/>
  <c r="AM18" i="109"/>
  <c r="AB18" i="109"/>
  <c r="AA18" i="109"/>
  <c r="O18" i="109"/>
  <c r="BM17" i="109"/>
  <c r="BH17" i="109"/>
  <c r="BD17" i="109"/>
  <c r="BF17" i="109" s="1"/>
  <c r="AZ17" i="109"/>
  <c r="BB17" i="109" s="1"/>
  <c r="AS17" i="109"/>
  <c r="AU17" i="109" s="1"/>
  <c r="AO17" i="109"/>
  <c r="AK17" i="109" s="1"/>
  <c r="AM17" i="109"/>
  <c r="AB17" i="109"/>
  <c r="AA17" i="109"/>
  <c r="O17" i="109"/>
  <c r="BM16" i="109"/>
  <c r="BH16" i="109"/>
  <c r="BD16" i="109"/>
  <c r="BF16" i="109" s="1"/>
  <c r="AZ16" i="109"/>
  <c r="AJ16" i="109" s="1"/>
  <c r="AS16" i="109"/>
  <c r="AU16" i="109" s="1"/>
  <c r="AO16" i="109"/>
  <c r="AK16" i="109" s="1"/>
  <c r="AM16" i="109"/>
  <c r="AB16" i="109"/>
  <c r="AA16" i="109"/>
  <c r="O16" i="109"/>
  <c r="BM15" i="109"/>
  <c r="BN15" i="109" s="1"/>
  <c r="BH15" i="109"/>
  <c r="BD15" i="109"/>
  <c r="BF15" i="109" s="1"/>
  <c r="AZ15" i="109"/>
  <c r="AJ15" i="109" s="1"/>
  <c r="AS15" i="109"/>
  <c r="AU15" i="109" s="1"/>
  <c r="AO15" i="109"/>
  <c r="AM15" i="109"/>
  <c r="AB15" i="109"/>
  <c r="AA15" i="109"/>
  <c r="BM14" i="109"/>
  <c r="BN14" i="109" s="1"/>
  <c r="BH14" i="109"/>
  <c r="BJ14" i="109" s="1"/>
  <c r="AZ14" i="109"/>
  <c r="AO14" i="109"/>
  <c r="AM14" i="109"/>
  <c r="AH14" i="109"/>
  <c r="AP14" i="109" s="1"/>
  <c r="AB14" i="109"/>
  <c r="AA14" i="109"/>
  <c r="O14" i="109"/>
  <c r="AM13" i="109"/>
  <c r="AJ13" i="109" s="1"/>
  <c r="AK13" i="109"/>
  <c r="AK30" i="111" l="1"/>
  <c r="AY30" i="111"/>
  <c r="AS30" i="111"/>
  <c r="AU30" i="111" s="1"/>
  <c r="BD30" i="111"/>
  <c r="BF30" i="111" s="1"/>
  <c r="AJ30" i="111"/>
  <c r="BB14" i="109"/>
  <c r="BK18" i="111"/>
  <c r="V18" i="111" s="1"/>
  <c r="BK36" i="110"/>
  <c r="V36" i="110" s="1"/>
  <c r="BP22" i="109"/>
  <c r="BN22" i="109"/>
  <c r="BK22" i="109"/>
  <c r="V22" i="109" s="1"/>
  <c r="BK16" i="109"/>
  <c r="V16" i="109" s="1"/>
  <c r="AJ17" i="109"/>
  <c r="U30" i="111"/>
  <c r="AV22" i="111"/>
  <c r="AW22" i="111" s="1"/>
  <c r="BK22" i="110"/>
  <c r="V22" i="110" s="1"/>
  <c r="BJ34" i="110"/>
  <c r="U34" i="110" s="1"/>
  <c r="BJ25" i="110"/>
  <c r="U25" i="110" s="1"/>
  <c r="BC22" i="110"/>
  <c r="AD45" i="111"/>
  <c r="BP35" i="110"/>
  <c r="BP45" i="111"/>
  <c r="BB15" i="109"/>
  <c r="BE23" i="109"/>
  <c r="BB26" i="109"/>
  <c r="AI38" i="109"/>
  <c r="AY38" i="109" s="1"/>
  <c r="AQ38" i="109"/>
  <c r="BP38" i="109"/>
  <c r="AT39" i="109"/>
  <c r="BJ39" i="109"/>
  <c r="U39" i="109" s="1"/>
  <c r="BN42" i="109"/>
  <c r="BJ43" i="109"/>
  <c r="U43" i="109" s="1"/>
  <c r="AT23" i="110"/>
  <c r="BK28" i="110"/>
  <c r="V28" i="110" s="1"/>
  <c r="AG37" i="110"/>
  <c r="AJ38" i="110"/>
  <c r="O45" i="110"/>
  <c r="BK41" i="110"/>
  <c r="V41" i="110" s="1"/>
  <c r="AG45" i="110"/>
  <c r="U26" i="111"/>
  <c r="BC38" i="109"/>
  <c r="BJ22" i="109"/>
  <c r="BJ23" i="109"/>
  <c r="BK23" i="109" s="1"/>
  <c r="V23" i="109" s="1"/>
  <c r="AJ24" i="109"/>
  <c r="AJ25" i="109"/>
  <c r="AJ28" i="109"/>
  <c r="BN38" i="109"/>
  <c r="AH39" i="109"/>
  <c r="AC45" i="109"/>
  <c r="AG29" i="110"/>
  <c r="AJ30" i="110"/>
  <c r="U22" i="111"/>
  <c r="U44" i="111"/>
  <c r="BB34" i="109"/>
  <c r="BI38" i="109"/>
  <c r="BO38" i="109"/>
  <c r="BB41" i="109"/>
  <c r="BN41" i="109"/>
  <c r="Q46" i="110"/>
  <c r="BB32" i="110"/>
  <c r="AJ34" i="110"/>
  <c r="BQ45" i="110"/>
  <c r="BA39" i="111"/>
  <c r="AP39" i="111"/>
  <c r="BC39" i="111"/>
  <c r="AR39" i="111"/>
  <c r="AQ22" i="109"/>
  <c r="AP38" i="109"/>
  <c r="BA22" i="109"/>
  <c r="BJ38" i="109"/>
  <c r="U38" i="109" s="1"/>
  <c r="BI22" i="110"/>
  <c r="BO40" i="110"/>
  <c r="BO44" i="110"/>
  <c r="U36" i="111"/>
  <c r="AP22" i="109"/>
  <c r="AH23" i="109"/>
  <c r="BI23" i="109" s="1"/>
  <c r="BA38" i="109"/>
  <c r="BE39" i="109"/>
  <c r="AI22" i="110"/>
  <c r="AY22" i="110" s="1"/>
  <c r="BP34" i="110"/>
  <c r="BP44" i="110"/>
  <c r="U40" i="111"/>
  <c r="BB23" i="110"/>
  <c r="BB24" i="110"/>
  <c r="BO23" i="110"/>
  <c r="BB20" i="110"/>
  <c r="BO26" i="109"/>
  <c r="AJ18" i="109"/>
  <c r="BP20" i="109"/>
  <c r="U25" i="111"/>
  <c r="U31" i="111"/>
  <c r="U33" i="111"/>
  <c r="BK34" i="111"/>
  <c r="V34" i="111" s="1"/>
  <c r="V37" i="111" s="1"/>
  <c r="S37" i="111" s="1"/>
  <c r="AD37" i="111" s="1"/>
  <c r="U32" i="111"/>
  <c r="BP23" i="110"/>
  <c r="BK24" i="110"/>
  <c r="V24" i="110" s="1"/>
  <c r="AC29" i="109"/>
  <c r="BK26" i="109"/>
  <c r="V26" i="109" s="1"/>
  <c r="BP25" i="109"/>
  <c r="BO25" i="109"/>
  <c r="BK25" i="109"/>
  <c r="V25" i="109" s="1"/>
  <c r="BJ26" i="109"/>
  <c r="U26" i="109" s="1"/>
  <c r="BO15" i="109"/>
  <c r="V21" i="111"/>
  <c r="BN20" i="109"/>
  <c r="BJ16" i="109"/>
  <c r="BP17" i="109"/>
  <c r="BK30" i="110"/>
  <c r="V30" i="110" s="1"/>
  <c r="BJ30" i="110"/>
  <c r="AI30" i="110"/>
  <c r="AP30" i="110"/>
  <c r="BE31" i="110"/>
  <c r="AQ30" i="110"/>
  <c r="BA30" i="110"/>
  <c r="BC30" i="110"/>
  <c r="BI30" i="110"/>
  <c r="AH31" i="110"/>
  <c r="BE32" i="110" s="1"/>
  <c r="U14" i="111"/>
  <c r="BK33" i="110"/>
  <c r="V33" i="110" s="1"/>
  <c r="BK32" i="110"/>
  <c r="V32" i="110" s="1"/>
  <c r="BJ32" i="110"/>
  <c r="U32" i="110" s="1"/>
  <c r="U16" i="111"/>
  <c r="BP21" i="111"/>
  <c r="BP42" i="110"/>
  <c r="BB39" i="110"/>
  <c r="BK40" i="110"/>
  <c r="V40" i="110" s="1"/>
  <c r="BJ40" i="110"/>
  <c r="U40" i="110" s="1"/>
  <c r="BO42" i="110"/>
  <c r="BK44" i="110"/>
  <c r="V44" i="110" s="1"/>
  <c r="BK39" i="110"/>
  <c r="V39" i="110" s="1"/>
  <c r="BJ43" i="110"/>
  <c r="U43" i="110" s="1"/>
  <c r="BJ44" i="110"/>
  <c r="U44" i="110" s="1"/>
  <c r="AL45" i="110"/>
  <c r="T45" i="110" s="1"/>
  <c r="BK31" i="110"/>
  <c r="V31" i="110" s="1"/>
  <c r="BN23" i="110"/>
  <c r="BB26" i="110"/>
  <c r="BJ24" i="110"/>
  <c r="U24" i="110" s="1"/>
  <c r="AJ19" i="110"/>
  <c r="AJ17" i="110"/>
  <c r="V29" i="111"/>
  <c r="BP29" i="111"/>
  <c r="BO33" i="110"/>
  <c r="BH37" i="110"/>
  <c r="BO32" i="110"/>
  <c r="BJ31" i="110"/>
  <c r="U31" i="110" s="1"/>
  <c r="BO31" i="110"/>
  <c r="BJ36" i="110"/>
  <c r="BJ33" i="110"/>
  <c r="U33" i="110" s="1"/>
  <c r="BP18" i="109"/>
  <c r="O21" i="109"/>
  <c r="AC29" i="110"/>
  <c r="BK26" i="110"/>
  <c r="V26" i="110" s="1"/>
  <c r="BK25" i="110"/>
  <c r="V25" i="110" s="1"/>
  <c r="BO27" i="110"/>
  <c r="BO24" i="110"/>
  <c r="BJ27" i="110"/>
  <c r="U27" i="110" s="1"/>
  <c r="BP24" i="110"/>
  <c r="BP25" i="110"/>
  <c r="O46" i="111"/>
  <c r="AV30" i="111"/>
  <c r="AW30" i="111" s="1"/>
  <c r="BP37" i="111"/>
  <c r="BP15" i="109"/>
  <c r="BK17" i="109"/>
  <c r="V17" i="109" s="1"/>
  <c r="BP16" i="109"/>
  <c r="BO14" i="109"/>
  <c r="AQ14" i="109"/>
  <c r="BK14" i="109"/>
  <c r="V14" i="109" s="1"/>
  <c r="AH15" i="109"/>
  <c r="AT16" i="109" s="1"/>
  <c r="BO17" i="109"/>
  <c r="BJ18" i="109"/>
  <c r="U18" i="109" s="1"/>
  <c r="BJ19" i="109"/>
  <c r="U19" i="109" s="1"/>
  <c r="BJ20" i="109"/>
  <c r="BA14" i="109"/>
  <c r="AJ14" i="109" s="1"/>
  <c r="BE15" i="109"/>
  <c r="BJ15" i="109"/>
  <c r="U15" i="109" s="1"/>
  <c r="BC15" i="111"/>
  <c r="BD15" i="111" s="1"/>
  <c r="BF15" i="111" s="1"/>
  <c r="AP15" i="111"/>
  <c r="AK15" i="111" s="1"/>
  <c r="AT16" i="111"/>
  <c r="BI15" i="111"/>
  <c r="BE16" i="111"/>
  <c r="AH16" i="111"/>
  <c r="AI15" i="111"/>
  <c r="AQ15" i="111"/>
  <c r="BA15" i="111"/>
  <c r="AJ15" i="111" s="1"/>
  <c r="AR15" i="111"/>
  <c r="AY39" i="111"/>
  <c r="AV39" i="111"/>
  <c r="AW39" i="111" s="1"/>
  <c r="AI31" i="111"/>
  <c r="BE32" i="111"/>
  <c r="AH32" i="111"/>
  <c r="BA31" i="111"/>
  <c r="AR31" i="111"/>
  <c r="BC31" i="111"/>
  <c r="AT32" i="111"/>
  <c r="BI31" i="111"/>
  <c r="AQ31" i="111"/>
  <c r="AP31" i="111"/>
  <c r="U15" i="111"/>
  <c r="BC40" i="111"/>
  <c r="AP40" i="111"/>
  <c r="BA40" i="111"/>
  <c r="AR40" i="111"/>
  <c r="BE41" i="111"/>
  <c r="AT41" i="111"/>
  <c r="AQ40" i="111"/>
  <c r="AI40" i="111"/>
  <c r="AH41" i="111"/>
  <c r="BI40" i="111"/>
  <c r="U45" i="111"/>
  <c r="W45" i="111" s="1"/>
  <c r="BA23" i="111"/>
  <c r="AJ23" i="111" s="1"/>
  <c r="AR23" i="111"/>
  <c r="AT24" i="111"/>
  <c r="BI23" i="111"/>
  <c r="AQ23" i="111"/>
  <c r="BC23" i="111"/>
  <c r="BD23" i="111" s="1"/>
  <c r="BF23" i="111" s="1"/>
  <c r="AP23" i="111"/>
  <c r="AI23" i="111"/>
  <c r="BE24" i="111"/>
  <c r="AH24" i="111"/>
  <c r="U19" i="111"/>
  <c r="AV14" i="111"/>
  <c r="AW14" i="111" s="1"/>
  <c r="AC45" i="110"/>
  <c r="BB16" i="110"/>
  <c r="AJ31" i="110"/>
  <c r="BB31" i="110"/>
  <c r="BK35" i="110"/>
  <c r="V35" i="110" s="1"/>
  <c r="BJ35" i="110"/>
  <c r="U35" i="110" s="1"/>
  <c r="AJ41" i="110"/>
  <c r="BB41" i="110"/>
  <c r="BP26" i="110"/>
  <c r="BO26" i="110"/>
  <c r="BN26" i="110"/>
  <c r="U26" i="110" s="1"/>
  <c r="AJ18" i="110"/>
  <c r="BN18" i="110"/>
  <c r="BK23" i="110"/>
  <c r="V23" i="110" s="1"/>
  <c r="BJ23" i="110"/>
  <c r="BP27" i="110"/>
  <c r="BO28" i="110"/>
  <c r="BP22" i="110"/>
  <c r="BO22" i="110"/>
  <c r="BN22" i="110"/>
  <c r="BN16" i="110"/>
  <c r="BB28" i="110"/>
  <c r="AJ28" i="110"/>
  <c r="AP22" i="110"/>
  <c r="BJ22" i="110"/>
  <c r="BB25" i="110"/>
  <c r="BO25" i="110"/>
  <c r="BK27" i="110"/>
  <c r="V27" i="110" s="1"/>
  <c r="BJ28" i="110"/>
  <c r="BP28" i="110"/>
  <c r="BN28" i="110"/>
  <c r="O29" i="110"/>
  <c r="AQ22" i="110"/>
  <c r="BA22" i="110"/>
  <c r="AH23" i="110"/>
  <c r="BE23" i="110"/>
  <c r="AJ36" i="110"/>
  <c r="BB36" i="110"/>
  <c r="BP38" i="110"/>
  <c r="BO39" i="110"/>
  <c r="BN30" i="110"/>
  <c r="BP30" i="110"/>
  <c r="BN36" i="110"/>
  <c r="BP36" i="110"/>
  <c r="BO36" i="110"/>
  <c r="BK42" i="110"/>
  <c r="V42" i="110" s="1"/>
  <c r="BJ42" i="110"/>
  <c r="U42" i="110" s="1"/>
  <c r="AR30" i="110"/>
  <c r="BP31" i="110"/>
  <c r="BP32" i="110"/>
  <c r="BP33" i="110"/>
  <c r="BK34" i="110"/>
  <c r="V34" i="110" s="1"/>
  <c r="BO34" i="110"/>
  <c r="BE39" i="110"/>
  <c r="AH39" i="110"/>
  <c r="BA38" i="110"/>
  <c r="AQ38" i="110"/>
  <c r="AT39" i="110"/>
  <c r="BI38" i="110"/>
  <c r="BC38" i="110"/>
  <c r="AI38" i="110"/>
  <c r="AY38" i="110" s="1"/>
  <c r="AP38" i="110"/>
  <c r="BK38" i="110"/>
  <c r="V38" i="110" s="1"/>
  <c r="BJ39" i="110"/>
  <c r="U39" i="110" s="1"/>
  <c r="BP41" i="110"/>
  <c r="BO41" i="110"/>
  <c r="BN41" i="110"/>
  <c r="BO35" i="110"/>
  <c r="AR38" i="110"/>
  <c r="BJ38" i="110"/>
  <c r="U38" i="110" s="1"/>
  <c r="BP39" i="110"/>
  <c r="BJ41" i="110"/>
  <c r="U41" i="110" s="1"/>
  <c r="BP43" i="110"/>
  <c r="U14" i="109"/>
  <c r="BO18" i="109"/>
  <c r="BJ27" i="109"/>
  <c r="U27" i="109" s="1"/>
  <c r="BO19" i="109"/>
  <c r="BP19" i="109" s="1"/>
  <c r="BK24" i="109"/>
  <c r="V24" i="109" s="1"/>
  <c r="BJ24" i="109"/>
  <c r="BP23" i="109"/>
  <c r="BO23" i="109"/>
  <c r="BO24" i="109"/>
  <c r="BN24" i="109"/>
  <c r="BC39" i="109"/>
  <c r="AP39" i="109"/>
  <c r="BE40" i="109"/>
  <c r="AH40" i="109"/>
  <c r="AI39" i="109"/>
  <c r="AT40" i="109"/>
  <c r="AR39" i="109"/>
  <c r="BI39" i="109"/>
  <c r="BA39" i="109"/>
  <c r="AQ39" i="109"/>
  <c r="BP14" i="109"/>
  <c r="BN16" i="109"/>
  <c r="BP24" i="109"/>
  <c r="BN17" i="109"/>
  <c r="BB20" i="109"/>
  <c r="O29" i="109"/>
  <c r="BN28" i="109"/>
  <c r="BP28" i="109"/>
  <c r="BO44" i="109"/>
  <c r="BN44" i="109"/>
  <c r="BP44" i="109"/>
  <c r="AR14" i="109"/>
  <c r="BN23" i="109"/>
  <c r="AI14" i="109"/>
  <c r="BC14" i="109"/>
  <c r="BD14" i="109" s="1"/>
  <c r="BF14" i="109" s="1"/>
  <c r="BI14" i="109"/>
  <c r="AT15" i="109"/>
  <c r="BB16" i="109"/>
  <c r="BO16" i="109"/>
  <c r="BJ17" i="109"/>
  <c r="A14" i="109"/>
  <c r="BK20" i="109"/>
  <c r="V20" i="109" s="1"/>
  <c r="BO20" i="109"/>
  <c r="AC21" i="109"/>
  <c r="Q46" i="109"/>
  <c r="AJ23" i="109"/>
  <c r="BB23" i="109"/>
  <c r="BJ25" i="109"/>
  <c r="U25" i="109" s="1"/>
  <c r="BO27" i="109"/>
  <c r="BP27" i="109" s="1"/>
  <c r="BJ28" i="109"/>
  <c r="BK28" i="109"/>
  <c r="V28" i="109" s="1"/>
  <c r="BO28" i="109"/>
  <c r="AV39" i="109"/>
  <c r="AW39" i="109" s="1"/>
  <c r="BK40" i="109"/>
  <c r="V40" i="109" s="1"/>
  <c r="BJ40" i="109"/>
  <c r="BJ42" i="109"/>
  <c r="U42" i="109" s="1"/>
  <c r="BK41" i="109"/>
  <c r="V41" i="109" s="1"/>
  <c r="BO42" i="109"/>
  <c r="BP41" i="109"/>
  <c r="BP43" i="109"/>
  <c r="BO43" i="109"/>
  <c r="BN43" i="109"/>
  <c r="AR22" i="109"/>
  <c r="BN34" i="109"/>
  <c r="AJ43" i="109"/>
  <c r="BB43" i="109"/>
  <c r="AI22" i="109"/>
  <c r="BC22" i="109"/>
  <c r="BI22" i="109"/>
  <c r="BP26" i="109"/>
  <c r="BB40" i="109"/>
  <c r="AJ40" i="109"/>
  <c r="BK44" i="109"/>
  <c r="V44" i="109" s="1"/>
  <c r="BJ44" i="109"/>
  <c r="U44" i="109" s="1"/>
  <c r="AJ36" i="109"/>
  <c r="BB36" i="109"/>
  <c r="O45" i="109"/>
  <c r="AD45" i="109" s="1"/>
  <c r="BJ41" i="109"/>
  <c r="S45" i="109"/>
  <c r="AL45" i="109" s="1"/>
  <c r="T45" i="109" s="1"/>
  <c r="AJ39" i="109"/>
  <c r="BB39" i="109"/>
  <c r="BP39" i="109"/>
  <c r="BO39" i="109"/>
  <c r="BO40" i="109"/>
  <c r="BN40" i="109"/>
  <c r="U23" i="110" l="1"/>
  <c r="AV22" i="110"/>
  <c r="AW22" i="110" s="1"/>
  <c r="U28" i="109"/>
  <c r="AT24" i="109"/>
  <c r="U22" i="109"/>
  <c r="AQ23" i="109"/>
  <c r="BK18" i="109"/>
  <c r="V18" i="109" s="1"/>
  <c r="AY14" i="109"/>
  <c r="AS14" i="109"/>
  <c r="AU14" i="109" s="1"/>
  <c r="AK14" i="109"/>
  <c r="U37" i="111"/>
  <c r="BQ37" i="111" s="1"/>
  <c r="S21" i="111"/>
  <c r="AD21" i="111" s="1"/>
  <c r="U28" i="110"/>
  <c r="U22" i="110"/>
  <c r="U23" i="109"/>
  <c r="V46" i="111"/>
  <c r="AD45" i="110"/>
  <c r="BK27" i="109"/>
  <c r="V27" i="109" s="1"/>
  <c r="V29" i="109" s="1"/>
  <c r="S29" i="109" s="1"/>
  <c r="AL29" i="109" s="1"/>
  <c r="T29" i="109" s="1"/>
  <c r="U20" i="109"/>
  <c r="U16" i="109"/>
  <c r="U30" i="110"/>
  <c r="V45" i="109"/>
  <c r="AH24" i="109"/>
  <c r="AH25" i="109" s="1"/>
  <c r="U45" i="109"/>
  <c r="W45" i="109" s="1"/>
  <c r="AR23" i="109"/>
  <c r="BE24" i="109"/>
  <c r="U36" i="110"/>
  <c r="U37" i="110" s="1"/>
  <c r="BQ37" i="110" s="1"/>
  <c r="AP23" i="109"/>
  <c r="AK23" i="109" s="1"/>
  <c r="BA23" i="109"/>
  <c r="BP45" i="109"/>
  <c r="AI23" i="109"/>
  <c r="AY23" i="109" s="1"/>
  <c r="U40" i="109"/>
  <c r="U41" i="109"/>
  <c r="BC23" i="109"/>
  <c r="AV38" i="109"/>
  <c r="AW38" i="109" s="1"/>
  <c r="BC31" i="110"/>
  <c r="U24" i="109"/>
  <c r="BP29" i="109"/>
  <c r="S29" i="111"/>
  <c r="AL21" i="111"/>
  <c r="T21" i="111" s="1"/>
  <c r="BK15" i="109"/>
  <c r="V15" i="109" s="1"/>
  <c r="BK19" i="109"/>
  <c r="V19" i="109" s="1"/>
  <c r="AI15" i="109"/>
  <c r="AY15" i="109" s="1"/>
  <c r="BI31" i="110"/>
  <c r="AH32" i="110"/>
  <c r="AH33" i="110" s="1"/>
  <c r="AP31" i="110"/>
  <c r="AQ31" i="110"/>
  <c r="AR31" i="110"/>
  <c r="BA31" i="110"/>
  <c r="AT32" i="110"/>
  <c r="AI31" i="110"/>
  <c r="AV30" i="110"/>
  <c r="AW30" i="110" s="1"/>
  <c r="AY30" i="110"/>
  <c r="V45" i="110"/>
  <c r="U45" i="110"/>
  <c r="V37" i="110"/>
  <c r="S37" i="110" s="1"/>
  <c r="AL37" i="110" s="1"/>
  <c r="T37" i="110" s="1"/>
  <c r="V29" i="110"/>
  <c r="S29" i="110" s="1"/>
  <c r="AD29" i="110" s="1"/>
  <c r="AQ15" i="109"/>
  <c r="BP21" i="109"/>
  <c r="BC15" i="109"/>
  <c r="BE16" i="109"/>
  <c r="AR15" i="109"/>
  <c r="AP15" i="109"/>
  <c r="AK15" i="109" s="1"/>
  <c r="BA15" i="109"/>
  <c r="BI15" i="109"/>
  <c r="AH16" i="109"/>
  <c r="AR16" i="109" s="1"/>
  <c r="BE42" i="111"/>
  <c r="AH42" i="111"/>
  <c r="AI41" i="111"/>
  <c r="AT42" i="111"/>
  <c r="BI41" i="111"/>
  <c r="AQ41" i="111"/>
  <c r="BA41" i="111"/>
  <c r="BC41" i="111"/>
  <c r="AR41" i="111"/>
  <c r="AP41" i="111"/>
  <c r="AY31" i="111"/>
  <c r="AV31" i="111"/>
  <c r="AW31" i="111" s="1"/>
  <c r="AT25" i="111"/>
  <c r="BI24" i="111"/>
  <c r="AQ24" i="111"/>
  <c r="BC24" i="111"/>
  <c r="BD24" i="111" s="1"/>
  <c r="BF24" i="111" s="1"/>
  <c r="AP24" i="111"/>
  <c r="BE25" i="111"/>
  <c r="AH25" i="111"/>
  <c r="AI24" i="111"/>
  <c r="BA24" i="111"/>
  <c r="AJ24" i="111" s="1"/>
  <c r="AR24" i="111"/>
  <c r="AY23" i="111"/>
  <c r="AV23" i="111"/>
  <c r="AW23" i="111" s="1"/>
  <c r="U21" i="111"/>
  <c r="AI32" i="111"/>
  <c r="BE33" i="111"/>
  <c r="AH33" i="111"/>
  <c r="BA32" i="111"/>
  <c r="AR32" i="111"/>
  <c r="AP32" i="111"/>
  <c r="BC32" i="111"/>
  <c r="AT33" i="111"/>
  <c r="BI32" i="111"/>
  <c r="AQ32" i="111"/>
  <c r="AY15" i="111"/>
  <c r="AV15" i="111"/>
  <c r="AW15" i="111" s="1"/>
  <c r="AY40" i="111"/>
  <c r="AV40" i="111"/>
  <c r="AW40" i="111" s="1"/>
  <c r="AE45" i="111"/>
  <c r="BE17" i="111"/>
  <c r="AH17" i="111"/>
  <c r="AI16" i="111"/>
  <c r="BA16" i="111"/>
  <c r="AJ16" i="111" s="1"/>
  <c r="AR16" i="111"/>
  <c r="AT17" i="111"/>
  <c r="BI16" i="111"/>
  <c r="AQ16" i="111"/>
  <c r="BC16" i="111"/>
  <c r="BD16" i="111" s="1"/>
  <c r="BF16" i="111" s="1"/>
  <c r="AP16" i="111"/>
  <c r="AK16" i="111" s="1"/>
  <c r="W45" i="110"/>
  <c r="BP45" i="110"/>
  <c r="BP37" i="110"/>
  <c r="BE24" i="110"/>
  <c r="AH24" i="110"/>
  <c r="AI23" i="110"/>
  <c r="BA23" i="110"/>
  <c r="AR23" i="110"/>
  <c r="AT24" i="110"/>
  <c r="BI23" i="110"/>
  <c r="AQ23" i="110"/>
  <c r="BC23" i="110"/>
  <c r="AP23" i="110"/>
  <c r="BP29" i="110"/>
  <c r="BA39" i="110"/>
  <c r="AR39" i="110"/>
  <c r="AT40" i="110"/>
  <c r="BI39" i="110"/>
  <c r="AQ39" i="110"/>
  <c r="BC39" i="110"/>
  <c r="AP39" i="110"/>
  <c r="BE40" i="110"/>
  <c r="AI39" i="110"/>
  <c r="AH40" i="110"/>
  <c r="AV38" i="110"/>
  <c r="AW38" i="110" s="1"/>
  <c r="U17" i="109"/>
  <c r="AY39" i="109"/>
  <c r="BE41" i="109"/>
  <c r="AH41" i="109"/>
  <c r="AI40" i="109"/>
  <c r="BA40" i="109"/>
  <c r="AR40" i="109"/>
  <c r="AP40" i="109"/>
  <c r="AT41" i="109"/>
  <c r="BC40" i="109"/>
  <c r="AQ40" i="109"/>
  <c r="BI40" i="109"/>
  <c r="Z14" i="109"/>
  <c r="A15" i="109"/>
  <c r="AE45" i="109"/>
  <c r="AY22" i="109"/>
  <c r="AV22" i="109"/>
  <c r="AW22" i="109" s="1"/>
  <c r="AV14" i="109"/>
  <c r="AW14" i="109" s="1"/>
  <c r="AR24" i="109" l="1"/>
  <c r="AV23" i="109"/>
  <c r="AW23" i="109" s="1"/>
  <c r="BC24" i="109"/>
  <c r="AT25" i="109"/>
  <c r="W37" i="111"/>
  <c r="AE37" i="111"/>
  <c r="AD37" i="110"/>
  <c r="AE37" i="110" s="1"/>
  <c r="AL29" i="110"/>
  <c r="T29" i="110" s="1"/>
  <c r="BA24" i="109"/>
  <c r="BE33" i="110"/>
  <c r="U21" i="109"/>
  <c r="BQ21" i="109" s="1"/>
  <c r="AI24" i="109"/>
  <c r="AY24" i="109" s="1"/>
  <c r="AP24" i="109"/>
  <c r="AQ24" i="109"/>
  <c r="BE25" i="109"/>
  <c r="BI24" i="109"/>
  <c r="AE45" i="110"/>
  <c r="AV15" i="109"/>
  <c r="AW15" i="109" s="1"/>
  <c r="AD29" i="109"/>
  <c r="AL29" i="111"/>
  <c r="T29" i="111" s="1"/>
  <c r="T46" i="111" s="1"/>
  <c r="AD29" i="111"/>
  <c r="S46" i="111"/>
  <c r="AP32" i="110"/>
  <c r="BI32" i="110"/>
  <c r="BC32" i="110"/>
  <c r="AR32" i="110"/>
  <c r="AT33" i="110"/>
  <c r="BA32" i="110"/>
  <c r="AI32" i="110"/>
  <c r="AV32" i="110" s="1"/>
  <c r="AW32" i="110" s="1"/>
  <c r="AQ32" i="110"/>
  <c r="AH17" i="109"/>
  <c r="AI17" i="109" s="1"/>
  <c r="V21" i="109"/>
  <c r="AV31" i="110"/>
  <c r="AW31" i="110" s="1"/>
  <c r="AY31" i="110"/>
  <c r="W37" i="110"/>
  <c r="BI16" i="109"/>
  <c r="AP16" i="109"/>
  <c r="BE17" i="109"/>
  <c r="AQ16" i="109"/>
  <c r="BA16" i="109"/>
  <c r="AT17" i="109"/>
  <c r="BC16" i="109"/>
  <c r="AI16" i="109"/>
  <c r="AY16" i="109" s="1"/>
  <c r="AY41" i="111"/>
  <c r="AV41" i="111"/>
  <c r="AW41" i="111" s="1"/>
  <c r="BA17" i="111"/>
  <c r="AJ17" i="111" s="1"/>
  <c r="AR17" i="111"/>
  <c r="AI17" i="111"/>
  <c r="AT18" i="111"/>
  <c r="BI17" i="111"/>
  <c r="AQ17" i="111"/>
  <c r="BE18" i="111"/>
  <c r="AH18" i="111"/>
  <c r="BC17" i="111"/>
  <c r="BD17" i="111" s="1"/>
  <c r="BF17" i="111" s="1"/>
  <c r="AP17" i="111"/>
  <c r="AK17" i="111" s="1"/>
  <c r="AY32" i="111"/>
  <c r="AV32" i="111"/>
  <c r="AW32" i="111" s="1"/>
  <c r="BA42" i="111"/>
  <c r="AR42" i="111"/>
  <c r="AT43" i="111"/>
  <c r="BI42" i="111"/>
  <c r="AQ42" i="111"/>
  <c r="BC42" i="111"/>
  <c r="AP42" i="111"/>
  <c r="BE43" i="111"/>
  <c r="AH43" i="111"/>
  <c r="AI42" i="111"/>
  <c r="AY16" i="111"/>
  <c r="AV16" i="111"/>
  <c r="AW16" i="111" s="1"/>
  <c r="AT34" i="111"/>
  <c r="AI33" i="111"/>
  <c r="BA33" i="111"/>
  <c r="AR33" i="111"/>
  <c r="AQ33" i="111"/>
  <c r="AP33" i="111"/>
  <c r="BE34" i="111"/>
  <c r="AH34" i="111"/>
  <c r="BC33" i="111"/>
  <c r="BI33" i="111"/>
  <c r="BQ21" i="111"/>
  <c r="W21" i="111"/>
  <c r="AE21" i="111"/>
  <c r="AY24" i="111"/>
  <c r="AV24" i="111"/>
  <c r="AW24" i="111" s="1"/>
  <c r="BC25" i="111"/>
  <c r="BD25" i="111" s="1"/>
  <c r="BF25" i="111" s="1"/>
  <c r="AP25" i="111"/>
  <c r="BE26" i="111"/>
  <c r="AH26" i="111"/>
  <c r="BB26" i="111" s="1"/>
  <c r="AI25" i="111"/>
  <c r="BA25" i="111"/>
  <c r="AJ25" i="111" s="1"/>
  <c r="AR25" i="111"/>
  <c r="BI25" i="111"/>
  <c r="AT26" i="111"/>
  <c r="AQ25" i="111"/>
  <c r="AT41" i="110"/>
  <c r="BI40" i="110"/>
  <c r="AQ40" i="110"/>
  <c r="BC40" i="110"/>
  <c r="AP40" i="110"/>
  <c r="BE41" i="110"/>
  <c r="AH41" i="110"/>
  <c r="AI40" i="110"/>
  <c r="AR40" i="110"/>
  <c r="BA40" i="110"/>
  <c r="AY23" i="110"/>
  <c r="AV23" i="110"/>
  <c r="AW23" i="110" s="1"/>
  <c r="AY39" i="110"/>
  <c r="AV39" i="110"/>
  <c r="AW39" i="110" s="1"/>
  <c r="BA24" i="110"/>
  <c r="AR24" i="110"/>
  <c r="AT25" i="110"/>
  <c r="BI24" i="110"/>
  <c r="AQ24" i="110"/>
  <c r="BC24" i="110"/>
  <c r="AP24" i="110"/>
  <c r="BE25" i="110"/>
  <c r="AI24" i="110"/>
  <c r="AH25" i="110"/>
  <c r="AY32" i="110"/>
  <c r="AH34" i="110"/>
  <c r="BA33" i="110"/>
  <c r="AR33" i="110"/>
  <c r="BI33" i="110"/>
  <c r="AQ33" i="110"/>
  <c r="BC33" i="110"/>
  <c r="AP33" i="110"/>
  <c r="AI33" i="110"/>
  <c r="BE34" i="110"/>
  <c r="AT34" i="110"/>
  <c r="Z15" i="109"/>
  <c r="A16" i="109"/>
  <c r="BA41" i="109"/>
  <c r="AR41" i="109"/>
  <c r="AT42" i="109"/>
  <c r="BI41" i="109"/>
  <c r="AQ41" i="109"/>
  <c r="BC41" i="109"/>
  <c r="AH42" i="109"/>
  <c r="BE42" i="109"/>
  <c r="AP41" i="109"/>
  <c r="AI41" i="109"/>
  <c r="BA25" i="109"/>
  <c r="AR25" i="109"/>
  <c r="AT26" i="109"/>
  <c r="BI25" i="109"/>
  <c r="AQ25" i="109"/>
  <c r="BC25" i="109"/>
  <c r="AP25" i="109"/>
  <c r="AH26" i="109"/>
  <c r="BE26" i="109"/>
  <c r="AI25" i="109"/>
  <c r="AY40" i="109"/>
  <c r="AV40" i="109"/>
  <c r="AW40" i="109" s="1"/>
  <c r="AV24" i="109" l="1"/>
  <c r="AW24" i="109" s="1"/>
  <c r="BC17" i="109"/>
  <c r="BE18" i="109"/>
  <c r="AR17" i="109"/>
  <c r="BI17" i="109"/>
  <c r="BA17" i="109"/>
  <c r="AQ17" i="109"/>
  <c r="AT18" i="109"/>
  <c r="AH18" i="109"/>
  <c r="AR18" i="109" s="1"/>
  <c r="S21" i="109"/>
  <c r="W21" i="109" s="1"/>
  <c r="AP17" i="109"/>
  <c r="AV16" i="109"/>
  <c r="AW16" i="109" s="1"/>
  <c r="BE27" i="111"/>
  <c r="AH27" i="111"/>
  <c r="AI26" i="111"/>
  <c r="BA26" i="111"/>
  <c r="AJ26" i="111" s="1"/>
  <c r="AR26" i="111"/>
  <c r="AT27" i="111"/>
  <c r="BI26" i="111"/>
  <c r="AQ26" i="111"/>
  <c r="BC26" i="111"/>
  <c r="BD26" i="111" s="1"/>
  <c r="BF26" i="111" s="1"/>
  <c r="AP26" i="111"/>
  <c r="AT19" i="111"/>
  <c r="BI18" i="111"/>
  <c r="AQ18" i="111"/>
  <c r="BA18" i="111"/>
  <c r="AJ18" i="111" s="1"/>
  <c r="BC18" i="111"/>
  <c r="BD18" i="111" s="1"/>
  <c r="BF18" i="111" s="1"/>
  <c r="AP18" i="111"/>
  <c r="AK18" i="111" s="1"/>
  <c r="AR18" i="111"/>
  <c r="BE19" i="111"/>
  <c r="AH19" i="111"/>
  <c r="AI18" i="111"/>
  <c r="AY33" i="111"/>
  <c r="AV33" i="111"/>
  <c r="AW33" i="111" s="1"/>
  <c r="AT35" i="111"/>
  <c r="BC34" i="111"/>
  <c r="AP34" i="111"/>
  <c r="AK34" i="111" s="1"/>
  <c r="BI34" i="111"/>
  <c r="AR34" i="111"/>
  <c r="AH35" i="111"/>
  <c r="AQ34" i="111"/>
  <c r="AI34" i="111"/>
  <c r="BA34" i="111"/>
  <c r="BE35" i="111"/>
  <c r="AY42" i="111"/>
  <c r="AV42" i="111"/>
  <c r="AW42" i="111" s="1"/>
  <c r="AY17" i="111"/>
  <c r="AV17" i="111"/>
  <c r="AW17" i="111" s="1"/>
  <c r="AY25" i="111"/>
  <c r="AV25" i="111"/>
  <c r="AW25" i="111" s="1"/>
  <c r="AT44" i="111"/>
  <c r="BI43" i="111"/>
  <c r="AQ43" i="111"/>
  <c r="BC43" i="111"/>
  <c r="AP43" i="111"/>
  <c r="BE44" i="111"/>
  <c r="AH44" i="111"/>
  <c r="AI43" i="111"/>
  <c r="BA43" i="111"/>
  <c r="AR43" i="111"/>
  <c r="AY33" i="110"/>
  <c r="AV33" i="110"/>
  <c r="AW33" i="110" s="1"/>
  <c r="AY24" i="110"/>
  <c r="AV24" i="110"/>
  <c r="AW24" i="110" s="1"/>
  <c r="BC41" i="110"/>
  <c r="AP41" i="110"/>
  <c r="BE42" i="110"/>
  <c r="AH42" i="110"/>
  <c r="AI41" i="110"/>
  <c r="BA41" i="110"/>
  <c r="AR41" i="110"/>
  <c r="BI41" i="110"/>
  <c r="AT42" i="110"/>
  <c r="AQ41" i="110"/>
  <c r="AY40" i="110"/>
  <c r="AV40" i="110"/>
  <c r="AW40" i="110" s="1"/>
  <c r="AI34" i="110"/>
  <c r="BE35" i="110"/>
  <c r="AT35" i="110"/>
  <c r="AH35" i="110"/>
  <c r="BI34" i="110"/>
  <c r="BC34" i="110"/>
  <c r="AR34" i="110"/>
  <c r="BA34" i="110"/>
  <c r="AQ34" i="110"/>
  <c r="AP34" i="110"/>
  <c r="AT26" i="110"/>
  <c r="BI25" i="110"/>
  <c r="AQ25" i="110"/>
  <c r="BC25" i="110"/>
  <c r="AP25" i="110"/>
  <c r="BE26" i="110"/>
  <c r="AH26" i="110"/>
  <c r="AI25" i="110"/>
  <c r="BA25" i="110"/>
  <c r="AR25" i="110"/>
  <c r="BE27" i="109"/>
  <c r="AT27" i="109"/>
  <c r="BI26" i="109"/>
  <c r="AQ26" i="109"/>
  <c r="AH27" i="109"/>
  <c r="BC26" i="109"/>
  <c r="AP26" i="109"/>
  <c r="AR26" i="109"/>
  <c r="AI26" i="109"/>
  <c r="BA26" i="109"/>
  <c r="AY17" i="109"/>
  <c r="AV17" i="109"/>
  <c r="AW17" i="109" s="1"/>
  <c r="AT43" i="109"/>
  <c r="BI42" i="109"/>
  <c r="AQ42" i="109"/>
  <c r="BC42" i="109"/>
  <c r="AP42" i="109"/>
  <c r="BE43" i="109"/>
  <c r="AH43" i="109"/>
  <c r="AI42" i="109"/>
  <c r="AR42" i="109"/>
  <c r="BA42" i="109"/>
  <c r="A17" i="109"/>
  <c r="Z16" i="109"/>
  <c r="AY41" i="109"/>
  <c r="AV41" i="109"/>
  <c r="AW41" i="109" s="1"/>
  <c r="AY25" i="109"/>
  <c r="AV25" i="109"/>
  <c r="AW25" i="109" s="1"/>
  <c r="BE19" i="109" l="1"/>
  <c r="BA18" i="109"/>
  <c r="BC18" i="109"/>
  <c r="BI18" i="109"/>
  <c r="AT19" i="109"/>
  <c r="AI18" i="109"/>
  <c r="AY18" i="109" s="1"/>
  <c r="AP18" i="109"/>
  <c r="AK18" i="109" s="1"/>
  <c r="AH19" i="109"/>
  <c r="AT20" i="109" s="1"/>
  <c r="AQ18" i="109"/>
  <c r="AD21" i="109"/>
  <c r="AE21" i="109" s="1"/>
  <c r="BB19" i="109"/>
  <c r="BB27" i="111"/>
  <c r="AL21" i="109"/>
  <c r="T21" i="109" s="1"/>
  <c r="AY18" i="111"/>
  <c r="AV18" i="111"/>
  <c r="AW18" i="111" s="1"/>
  <c r="BC44" i="111"/>
  <c r="AP44" i="111"/>
  <c r="AI44" i="111"/>
  <c r="BA44" i="111"/>
  <c r="AR44" i="111"/>
  <c r="BI44" i="111"/>
  <c r="AQ44" i="111"/>
  <c r="BC35" i="111"/>
  <c r="AP35" i="111"/>
  <c r="BE36" i="111"/>
  <c r="AT36" i="111"/>
  <c r="BI35" i="111"/>
  <c r="AR35" i="111"/>
  <c r="AH36" i="111"/>
  <c r="AQ35" i="111"/>
  <c r="AI35" i="111"/>
  <c r="BA35" i="111"/>
  <c r="AT20" i="111"/>
  <c r="BC19" i="111"/>
  <c r="BD19" i="111" s="1"/>
  <c r="BF19" i="111" s="1"/>
  <c r="AP19" i="111"/>
  <c r="AH20" i="111"/>
  <c r="AI19" i="111"/>
  <c r="AS19" i="111" s="1"/>
  <c r="AU19" i="111" s="1"/>
  <c r="BE20" i="111"/>
  <c r="BI19" i="111"/>
  <c r="AQ19" i="111"/>
  <c r="BA19" i="111"/>
  <c r="AR19" i="111"/>
  <c r="AY26" i="111"/>
  <c r="AV26" i="111"/>
  <c r="AW26" i="111" s="1"/>
  <c r="AY43" i="111"/>
  <c r="AV43" i="111"/>
  <c r="AW43" i="111" s="1"/>
  <c r="AY34" i="111"/>
  <c r="AV34" i="111"/>
  <c r="AW34" i="111" s="1"/>
  <c r="BA27" i="111"/>
  <c r="AJ27" i="111" s="1"/>
  <c r="U29" i="111" s="1"/>
  <c r="AR27" i="111"/>
  <c r="BE28" i="111"/>
  <c r="AT28" i="111"/>
  <c r="BI27" i="111"/>
  <c r="AQ27" i="111"/>
  <c r="BC27" i="111"/>
  <c r="AP27" i="111"/>
  <c r="AH28" i="111"/>
  <c r="AI27" i="111"/>
  <c r="BC26" i="110"/>
  <c r="AP26" i="110"/>
  <c r="AH27" i="110"/>
  <c r="AQ26" i="110"/>
  <c r="BA26" i="110"/>
  <c r="AI26" i="110"/>
  <c r="BE27" i="110"/>
  <c r="AT27" i="110"/>
  <c r="BI26" i="110"/>
  <c r="AR26" i="110"/>
  <c r="AY25" i="110"/>
  <c r="AV25" i="110"/>
  <c r="AW25" i="110" s="1"/>
  <c r="BE36" i="110"/>
  <c r="AH36" i="110"/>
  <c r="AI35" i="110"/>
  <c r="AT36" i="110"/>
  <c r="BI35" i="110"/>
  <c r="AQ35" i="110"/>
  <c r="BC35" i="110"/>
  <c r="AR35" i="110"/>
  <c r="BA35" i="110"/>
  <c r="AP35" i="110"/>
  <c r="BE43" i="110"/>
  <c r="AH43" i="110"/>
  <c r="AI42" i="110"/>
  <c r="BA42" i="110"/>
  <c r="AR42" i="110"/>
  <c r="AT43" i="110"/>
  <c r="BI42" i="110"/>
  <c r="AQ42" i="110"/>
  <c r="BC42" i="110"/>
  <c r="AP42" i="110"/>
  <c r="AY34" i="110"/>
  <c r="AV34" i="110"/>
  <c r="AW34" i="110" s="1"/>
  <c r="AY41" i="110"/>
  <c r="AV41" i="110"/>
  <c r="AW41" i="110" s="1"/>
  <c r="BC43" i="109"/>
  <c r="AP43" i="109"/>
  <c r="BE44" i="109"/>
  <c r="AH44" i="109"/>
  <c r="AI43" i="109"/>
  <c r="AT44" i="109"/>
  <c r="AQ43" i="109"/>
  <c r="BA43" i="109"/>
  <c r="AR43" i="109"/>
  <c r="BI43" i="109"/>
  <c r="AY26" i="109"/>
  <c r="AV26" i="109"/>
  <c r="AW26" i="109" s="1"/>
  <c r="BE28" i="109"/>
  <c r="AH28" i="109"/>
  <c r="AI27" i="109"/>
  <c r="AS27" i="109" s="1"/>
  <c r="AU27" i="109" s="1"/>
  <c r="AT28" i="109"/>
  <c r="AP27" i="109"/>
  <c r="AQ27" i="109"/>
  <c r="BI27" i="109"/>
  <c r="BA27" i="109"/>
  <c r="AJ27" i="109" s="1"/>
  <c r="U29" i="109" s="1"/>
  <c r="BC27" i="109"/>
  <c r="BD27" i="109" s="1"/>
  <c r="BF27" i="109" s="1"/>
  <c r="AR27" i="109"/>
  <c r="Z17" i="109"/>
  <c r="A18" i="109"/>
  <c r="AY42" i="109"/>
  <c r="AV42" i="109"/>
  <c r="AW42" i="109" s="1"/>
  <c r="AJ19" i="111" l="1"/>
  <c r="AV18" i="109"/>
  <c r="AW18" i="109" s="1"/>
  <c r="BI19" i="109"/>
  <c r="AK27" i="109"/>
  <c r="AH20" i="109"/>
  <c r="AP20" i="109" s="1"/>
  <c r="AR19" i="109"/>
  <c r="AQ19" i="109"/>
  <c r="BE20" i="109"/>
  <c r="BA19" i="109"/>
  <c r="AJ19" i="109" s="1"/>
  <c r="AP19" i="109"/>
  <c r="BC19" i="109"/>
  <c r="BD19" i="109" s="1"/>
  <c r="BF19" i="109" s="1"/>
  <c r="AI19" i="109"/>
  <c r="AS19" i="109" s="1"/>
  <c r="AU19" i="109" s="1"/>
  <c r="AV19" i="109" s="1"/>
  <c r="AW19" i="109" s="1"/>
  <c r="BQ29" i="109"/>
  <c r="W29" i="109"/>
  <c r="AE29" i="109"/>
  <c r="BD27" i="111"/>
  <c r="BF27" i="111" s="1"/>
  <c r="U46" i="111"/>
  <c r="AE29" i="111"/>
  <c r="W29" i="111"/>
  <c r="W46" i="111" s="1"/>
  <c r="BQ29" i="111"/>
  <c r="AK19" i="111"/>
  <c r="AY44" i="111"/>
  <c r="AV44" i="111"/>
  <c r="AW44" i="111" s="1"/>
  <c r="BC28" i="111"/>
  <c r="BA28" i="111"/>
  <c r="AQ28" i="111"/>
  <c r="AP28" i="111"/>
  <c r="BI28" i="111"/>
  <c r="AI28" i="111"/>
  <c r="AR28" i="111"/>
  <c r="AI36" i="111"/>
  <c r="AP36" i="111"/>
  <c r="BI36" i="111"/>
  <c r="BC36" i="111"/>
  <c r="AR36" i="111"/>
  <c r="BA36" i="111"/>
  <c r="AQ36" i="111"/>
  <c r="AY27" i="111"/>
  <c r="AV27" i="111"/>
  <c r="AW27" i="111" s="1"/>
  <c r="AY19" i="111"/>
  <c r="AV19" i="111"/>
  <c r="AW19" i="111" s="1"/>
  <c r="AY35" i="111"/>
  <c r="AV35" i="111"/>
  <c r="AW35" i="111" s="1"/>
  <c r="BI20" i="111"/>
  <c r="AQ20" i="111"/>
  <c r="BC20" i="111"/>
  <c r="BD20" i="111" s="1"/>
  <c r="BF20" i="111" s="1"/>
  <c r="AP20" i="111"/>
  <c r="AI20" i="111"/>
  <c r="AR20" i="111"/>
  <c r="BA20" i="111"/>
  <c r="AY26" i="110"/>
  <c r="AV26" i="110"/>
  <c r="AW26" i="110" s="1"/>
  <c r="BE28" i="110"/>
  <c r="AH28" i="110"/>
  <c r="AI27" i="110"/>
  <c r="BI27" i="110"/>
  <c r="BC27" i="110"/>
  <c r="BD27" i="110" s="1"/>
  <c r="BF27" i="110" s="1"/>
  <c r="AR27" i="110"/>
  <c r="BA27" i="110"/>
  <c r="AJ27" i="110" s="1"/>
  <c r="AQ27" i="110"/>
  <c r="AT28" i="110"/>
  <c r="AP27" i="110"/>
  <c r="AK27" i="110" s="1"/>
  <c r="BA43" i="110"/>
  <c r="AR43" i="110"/>
  <c r="AT44" i="110"/>
  <c r="BI43" i="110"/>
  <c r="AQ43" i="110"/>
  <c r="BC43" i="110"/>
  <c r="AP43" i="110"/>
  <c r="AI43" i="110"/>
  <c r="AH44" i="110"/>
  <c r="BE44" i="110"/>
  <c r="AY35" i="110"/>
  <c r="AV35" i="110"/>
  <c r="AW35" i="110" s="1"/>
  <c r="AY42" i="110"/>
  <c r="AV42" i="110"/>
  <c r="AW42" i="110" s="1"/>
  <c r="BA36" i="110"/>
  <c r="AR36" i="110"/>
  <c r="BC36" i="110"/>
  <c r="AP36" i="110"/>
  <c r="BI36" i="110"/>
  <c r="AQ36" i="110"/>
  <c r="AI36" i="110"/>
  <c r="Z18" i="109"/>
  <c r="A19" i="109"/>
  <c r="AY43" i="109"/>
  <c r="AV43" i="109"/>
  <c r="AW43" i="109" s="1"/>
  <c r="AY27" i="109"/>
  <c r="AV27" i="109"/>
  <c r="AW27" i="109" s="1"/>
  <c r="AI44" i="109"/>
  <c r="BA44" i="109"/>
  <c r="AR44" i="109"/>
  <c r="BC44" i="109"/>
  <c r="BI44" i="109"/>
  <c r="AQ44" i="109"/>
  <c r="AP44" i="109"/>
  <c r="BA28" i="109"/>
  <c r="AR28" i="109"/>
  <c r="AI28" i="109"/>
  <c r="AQ28" i="109"/>
  <c r="BI28" i="109"/>
  <c r="AP28" i="109"/>
  <c r="BC28" i="109"/>
  <c r="AJ20" i="111" l="1"/>
  <c r="AK20" i="111"/>
  <c r="AQ20" i="109"/>
  <c r="BI20" i="109"/>
  <c r="AR20" i="109"/>
  <c r="BA20" i="109"/>
  <c r="BC20" i="109"/>
  <c r="AK19" i="109"/>
  <c r="AI20" i="109"/>
  <c r="AY20" i="109" s="1"/>
  <c r="AY19" i="109"/>
  <c r="U29" i="110"/>
  <c r="AE29" i="110" s="1"/>
  <c r="AK19" i="110"/>
  <c r="AY20" i="111"/>
  <c r="AV20" i="111"/>
  <c r="AW20" i="111" s="1"/>
  <c r="AY36" i="111"/>
  <c r="AV36" i="111"/>
  <c r="AW36" i="111" s="1"/>
  <c r="AY28" i="111"/>
  <c r="AV28" i="111"/>
  <c r="AW28" i="111" s="1"/>
  <c r="BI44" i="110"/>
  <c r="AQ44" i="110"/>
  <c r="BC44" i="110"/>
  <c r="AP44" i="110"/>
  <c r="AI44" i="110"/>
  <c r="BA44" i="110"/>
  <c r="AR44" i="110"/>
  <c r="AY43" i="110"/>
  <c r="AV43" i="110"/>
  <c r="AW43" i="110" s="1"/>
  <c r="AY27" i="110"/>
  <c r="AV27" i="110"/>
  <c r="AW27" i="110" s="1"/>
  <c r="AY36" i="110"/>
  <c r="AV36" i="110"/>
  <c r="AW36" i="110" s="1"/>
  <c r="BA28" i="110"/>
  <c r="AR28" i="110"/>
  <c r="BI28" i="110"/>
  <c r="BC28" i="110"/>
  <c r="AQ28" i="110"/>
  <c r="AP28" i="110"/>
  <c r="AI28" i="110"/>
  <c r="AY28" i="109"/>
  <c r="AV28" i="109"/>
  <c r="AW28" i="109" s="1"/>
  <c r="Z19" i="109"/>
  <c r="A20" i="109"/>
  <c r="AY44" i="109"/>
  <c r="AV44" i="109"/>
  <c r="AW44" i="109" s="1"/>
  <c r="AV20" i="109" l="1"/>
  <c r="AW20" i="109" s="1"/>
  <c r="W29" i="110"/>
  <c r="BQ29" i="110"/>
  <c r="AY44" i="110"/>
  <c r="AV44" i="110"/>
  <c r="AW44" i="110" s="1"/>
  <c r="AY28" i="110"/>
  <c r="AV28" i="110"/>
  <c r="AW28" i="110" s="1"/>
  <c r="Z20" i="109"/>
  <c r="A22" i="109"/>
  <c r="A23" i="109" l="1"/>
  <c r="Z22" i="109"/>
  <c r="Z23" i="109" l="1"/>
  <c r="A24" i="109"/>
  <c r="Z24" i="109" l="1"/>
  <c r="A25" i="109"/>
  <c r="A26" i="109" l="1"/>
  <c r="Z25" i="109"/>
  <c r="A27" i="109" l="1"/>
  <c r="Z26" i="109"/>
  <c r="Z27" i="109" l="1"/>
  <c r="A28" i="109"/>
  <c r="A30" i="109" l="1"/>
  <c r="Z28" i="109"/>
  <c r="A31" i="109" l="1"/>
  <c r="Z30" i="109"/>
  <c r="A32" i="109" l="1"/>
  <c r="Z31" i="109"/>
  <c r="A33" i="109" l="1"/>
  <c r="Z32" i="109"/>
  <c r="A34" i="109" l="1"/>
  <c r="Z33" i="109"/>
  <c r="A35" i="109" l="1"/>
  <c r="Z34" i="109"/>
  <c r="Z35" i="109" l="1"/>
  <c r="A36" i="109"/>
  <c r="Z36" i="109" l="1"/>
  <c r="A38" i="109"/>
  <c r="A39" i="109" l="1"/>
  <c r="Z38" i="109"/>
  <c r="Z39" i="109" l="1"/>
  <c r="A40" i="109"/>
  <c r="Z40" i="109" l="1"/>
  <c r="A41" i="109"/>
  <c r="A42" i="109" l="1"/>
  <c r="Z41" i="109"/>
  <c r="A43" i="109" l="1"/>
  <c r="Z42" i="109"/>
  <c r="Z43" i="109" l="1"/>
  <c r="A44" i="109"/>
  <c r="Z44" i="109" l="1"/>
  <c r="C8" i="82" l="1"/>
  <c r="C7" i="82"/>
  <c r="C6" i="82"/>
  <c r="W11" i="82"/>
  <c r="AF45" i="82" s="1"/>
  <c r="E11" i="82"/>
  <c r="AG21" i="82" s="1"/>
  <c r="X46" i="82"/>
  <c r="AI45" i="82"/>
  <c r="Q45" i="82"/>
  <c r="N45" i="82"/>
  <c r="M45" i="82"/>
  <c r="L45" i="82"/>
  <c r="K45" i="82"/>
  <c r="I45" i="82"/>
  <c r="H45" i="82"/>
  <c r="G45" i="82"/>
  <c r="F45" i="82"/>
  <c r="E45" i="82"/>
  <c r="S45" i="82" s="1"/>
  <c r="AM44" i="82"/>
  <c r="AJ44" i="82" s="1"/>
  <c r="U44" i="82" s="1"/>
  <c r="AK44" i="82"/>
  <c r="AB44" i="82"/>
  <c r="AA44" i="82"/>
  <c r="O44" i="82"/>
  <c r="AM43" i="82"/>
  <c r="AJ43" i="82" s="1"/>
  <c r="U43" i="82" s="1"/>
  <c r="AK43" i="82"/>
  <c r="AB43" i="82"/>
  <c r="AA43" i="82"/>
  <c r="O43" i="82"/>
  <c r="AM42" i="82"/>
  <c r="AJ42" i="82" s="1"/>
  <c r="AK42" i="82"/>
  <c r="AB42" i="82"/>
  <c r="AA42" i="82"/>
  <c r="O42" i="82"/>
  <c r="AM41" i="82"/>
  <c r="AJ41" i="82" s="1"/>
  <c r="AK41" i="82"/>
  <c r="AB41" i="82"/>
  <c r="AA41" i="82"/>
  <c r="O41" i="82"/>
  <c r="AM40" i="82"/>
  <c r="AJ40" i="82" s="1"/>
  <c r="AK40" i="82"/>
  <c r="AB40" i="82"/>
  <c r="AA40" i="82"/>
  <c r="O40" i="82"/>
  <c r="AM39" i="82"/>
  <c r="AJ39" i="82" s="1"/>
  <c r="U39" i="82" s="1"/>
  <c r="AK39" i="82"/>
  <c r="AB39" i="82"/>
  <c r="AA39" i="82"/>
  <c r="O39" i="82"/>
  <c r="AM38" i="82"/>
  <c r="AJ38" i="82" s="1"/>
  <c r="AK38" i="82"/>
  <c r="AH38" i="82"/>
  <c r="AH39" i="82" s="1"/>
  <c r="AI39" i="82" s="1"/>
  <c r="V39" i="82" s="1"/>
  <c r="AB38" i="82"/>
  <c r="AA38" i="82"/>
  <c r="O38" i="82"/>
  <c r="AI37" i="82"/>
  <c r="Q37" i="82"/>
  <c r="N37" i="82"/>
  <c r="M37" i="82"/>
  <c r="L37" i="82"/>
  <c r="K37" i="82"/>
  <c r="I37" i="82"/>
  <c r="H37" i="82"/>
  <c r="G37" i="82"/>
  <c r="F37" i="82"/>
  <c r="E37" i="82"/>
  <c r="S37" i="82" s="1"/>
  <c r="AM36" i="82"/>
  <c r="AJ36" i="82" s="1"/>
  <c r="U36" i="82" s="1"/>
  <c r="AK36" i="82"/>
  <c r="AB36" i="82"/>
  <c r="AA36" i="82"/>
  <c r="O36" i="82"/>
  <c r="AM35" i="82"/>
  <c r="AJ35" i="82" s="1"/>
  <c r="AK35" i="82"/>
  <c r="AB35" i="82"/>
  <c r="AA35" i="82"/>
  <c r="O35" i="82"/>
  <c r="AM34" i="82"/>
  <c r="AK34" i="82"/>
  <c r="AJ34" i="82"/>
  <c r="U34" i="82" s="1"/>
  <c r="AB34" i="82"/>
  <c r="AA34" i="82"/>
  <c r="O34" i="82"/>
  <c r="AM33" i="82"/>
  <c r="AJ33" i="82" s="1"/>
  <c r="AK33" i="82"/>
  <c r="AB33" i="82"/>
  <c r="AA33" i="82"/>
  <c r="O33" i="82"/>
  <c r="AM32" i="82"/>
  <c r="AJ32" i="82" s="1"/>
  <c r="AK32" i="82"/>
  <c r="AB32" i="82"/>
  <c r="AA32" i="82"/>
  <c r="O32" i="82"/>
  <c r="AM31" i="82"/>
  <c r="AJ31" i="82" s="1"/>
  <c r="AK31" i="82"/>
  <c r="AB31" i="82"/>
  <c r="AA31" i="82"/>
  <c r="O31" i="82"/>
  <c r="AM30" i="82"/>
  <c r="AK30" i="82"/>
  <c r="AJ30" i="82"/>
  <c r="U30" i="82" s="1"/>
  <c r="AH30" i="82"/>
  <c r="AB30" i="82"/>
  <c r="AA30" i="82"/>
  <c r="O30" i="82"/>
  <c r="O37" i="82" s="1"/>
  <c r="AI29" i="82"/>
  <c r="Q29" i="82"/>
  <c r="N29" i="82"/>
  <c r="M29" i="82"/>
  <c r="L29" i="82"/>
  <c r="K29" i="82"/>
  <c r="I29" i="82"/>
  <c r="H29" i="82"/>
  <c r="G29" i="82"/>
  <c r="F29" i="82"/>
  <c r="E29" i="82"/>
  <c r="S29" i="82" s="1"/>
  <c r="AM28" i="82"/>
  <c r="AJ28" i="82" s="1"/>
  <c r="AK28" i="82"/>
  <c r="AB28" i="82"/>
  <c r="AA28" i="82"/>
  <c r="O28" i="82"/>
  <c r="AM27" i="82"/>
  <c r="AJ27" i="82" s="1"/>
  <c r="U27" i="82" s="1"/>
  <c r="AK27" i="82"/>
  <c r="AB27" i="82"/>
  <c r="AA27" i="82"/>
  <c r="O27" i="82"/>
  <c r="AM26" i="82"/>
  <c r="AJ26" i="82" s="1"/>
  <c r="AK26" i="82"/>
  <c r="AB26" i="82"/>
  <c r="AA26" i="82"/>
  <c r="O26" i="82"/>
  <c r="AM25" i="82"/>
  <c r="AJ25" i="82" s="1"/>
  <c r="U25" i="82" s="1"/>
  <c r="AK25" i="82"/>
  <c r="AB25" i="82"/>
  <c r="AA25" i="82"/>
  <c r="O25" i="82"/>
  <c r="AM24" i="82"/>
  <c r="AJ24" i="82" s="1"/>
  <c r="AK24" i="82"/>
  <c r="AB24" i="82"/>
  <c r="AA24" i="82"/>
  <c r="O24" i="82"/>
  <c r="AM23" i="82"/>
  <c r="AJ23" i="82" s="1"/>
  <c r="U23" i="82" s="1"/>
  <c r="AK23" i="82"/>
  <c r="AB23" i="82"/>
  <c r="AA23" i="82"/>
  <c r="O23" i="82"/>
  <c r="AM22" i="82"/>
  <c r="AJ22" i="82" s="1"/>
  <c r="AK22" i="82"/>
  <c r="AH22" i="82"/>
  <c r="AH23" i="82" s="1"/>
  <c r="AB22" i="82"/>
  <c r="AA22" i="82"/>
  <c r="O22" i="82"/>
  <c r="AI21" i="82"/>
  <c r="Q21" i="82"/>
  <c r="Q46" i="82" s="1"/>
  <c r="N21" i="82"/>
  <c r="M21" i="82"/>
  <c r="L21" i="82"/>
  <c r="K21" i="82"/>
  <c r="I21" i="82"/>
  <c r="H21" i="82"/>
  <c r="G21" i="82"/>
  <c r="F21" i="82"/>
  <c r="E21" i="82"/>
  <c r="S21" i="82" s="1"/>
  <c r="AM20" i="82"/>
  <c r="AK20" i="82"/>
  <c r="AJ20" i="82"/>
  <c r="U20" i="82" s="1"/>
  <c r="AB20" i="82"/>
  <c r="AA20" i="82"/>
  <c r="O20" i="82"/>
  <c r="AM19" i="82"/>
  <c r="AJ19" i="82" s="1"/>
  <c r="AK19" i="82"/>
  <c r="AB19" i="82"/>
  <c r="AA19" i="82"/>
  <c r="O19" i="82"/>
  <c r="AM18" i="82"/>
  <c r="AK18" i="82"/>
  <c r="AJ18" i="82"/>
  <c r="U18" i="82" s="1"/>
  <c r="AB18" i="82"/>
  <c r="AA18" i="82"/>
  <c r="O18" i="82"/>
  <c r="AM17" i="82"/>
  <c r="AJ17" i="82" s="1"/>
  <c r="AK17" i="82"/>
  <c r="AB17" i="82"/>
  <c r="AA17" i="82"/>
  <c r="O17" i="82"/>
  <c r="AM16" i="82"/>
  <c r="AJ16" i="82" s="1"/>
  <c r="U16" i="82" s="1"/>
  <c r="AK16" i="82"/>
  <c r="AB16" i="82"/>
  <c r="AA16" i="82"/>
  <c r="O16" i="82"/>
  <c r="AM15" i="82"/>
  <c r="AJ15" i="82" s="1"/>
  <c r="U15" i="82" s="1"/>
  <c r="AK15" i="82"/>
  <c r="AB15" i="82"/>
  <c r="AA15" i="82"/>
  <c r="O15" i="82"/>
  <c r="AM14" i="82"/>
  <c r="AJ14" i="82" s="1"/>
  <c r="U14" i="82" s="1"/>
  <c r="AK14" i="82"/>
  <c r="AH14" i="82"/>
  <c r="AH15" i="82" s="1"/>
  <c r="AH16" i="82" s="1"/>
  <c r="AB14" i="82"/>
  <c r="AA14" i="82"/>
  <c r="O14" i="82"/>
  <c r="O8" i="82"/>
  <c r="O7" i="82"/>
  <c r="O6" i="82"/>
  <c r="Z6" i="82" s="1"/>
  <c r="U32" i="82" l="1"/>
  <c r="U19" i="82"/>
  <c r="U31" i="82"/>
  <c r="AC45" i="82"/>
  <c r="AC21" i="82"/>
  <c r="AG37" i="82"/>
  <c r="AD37" i="82" s="1"/>
  <c r="W37" i="82" s="1"/>
  <c r="AG45" i="82"/>
  <c r="U24" i="82"/>
  <c r="U28" i="82"/>
  <c r="AC29" i="82"/>
  <c r="U38" i="82"/>
  <c r="U42" i="82"/>
  <c r="O21" i="82"/>
  <c r="U17" i="82"/>
  <c r="U21" i="82" s="1"/>
  <c r="U22" i="82"/>
  <c r="U33" i="82"/>
  <c r="AC37" i="82"/>
  <c r="AI38" i="82"/>
  <c r="V38" i="82" s="1"/>
  <c r="U41" i="82"/>
  <c r="AG29" i="82"/>
  <c r="AF21" i="82"/>
  <c r="AL21" i="82" s="1"/>
  <c r="T21" i="82" s="1"/>
  <c r="AF37" i="82"/>
  <c r="AL37" i="82" s="1"/>
  <c r="T37" i="82" s="1"/>
  <c r="AF29" i="82"/>
  <c r="AL29" i="82" s="1"/>
  <c r="T29" i="82" s="1"/>
  <c r="AD21" i="82"/>
  <c r="W21" i="82" s="1"/>
  <c r="AI16" i="82"/>
  <c r="V16" i="82" s="1"/>
  <c r="AH17" i="82"/>
  <c r="AH24" i="82"/>
  <c r="AI23" i="82"/>
  <c r="V23" i="82" s="1"/>
  <c r="A15" i="82"/>
  <c r="Z15" i="82" s="1"/>
  <c r="AI15" i="82"/>
  <c r="V15" i="82" s="1"/>
  <c r="O45" i="82"/>
  <c r="U40" i="82"/>
  <c r="AI14" i="82"/>
  <c r="V14" i="82" s="1"/>
  <c r="O29" i="82"/>
  <c r="AI22" i="82"/>
  <c r="U26" i="82"/>
  <c r="AL45" i="82"/>
  <c r="T45" i="82" s="1"/>
  <c r="A14" i="82"/>
  <c r="Z14" i="82" s="1"/>
  <c r="S46" i="82"/>
  <c r="AI30" i="82"/>
  <c r="V30" i="82" s="1"/>
  <c r="AH31" i="82"/>
  <c r="U35" i="82"/>
  <c r="U37" i="82" s="1"/>
  <c r="AH40" i="82"/>
  <c r="AD45" i="82" l="1"/>
  <c r="W45" i="82" s="1"/>
  <c r="U29" i="82"/>
  <c r="U46" i="82" s="1"/>
  <c r="U45" i="82"/>
  <c r="V22" i="82"/>
  <c r="O46" i="82"/>
  <c r="A16" i="82"/>
  <c r="Z16" i="82" s="1"/>
  <c r="T46" i="82"/>
  <c r="AI31" i="82"/>
  <c r="V31" i="82" s="1"/>
  <c r="AH32" i="82"/>
  <c r="AD29" i="82"/>
  <c r="W29" i="82" s="1"/>
  <c r="AH25" i="82"/>
  <c r="AI24" i="82"/>
  <c r="V24" i="82" s="1"/>
  <c r="AI40" i="82"/>
  <c r="V40" i="82" s="1"/>
  <c r="AH41" i="82"/>
  <c r="AH18" i="82"/>
  <c r="AI17" i="82"/>
  <c r="V17" i="82" s="1"/>
  <c r="W46" i="82" l="1"/>
  <c r="A17" i="82"/>
  <c r="Z17" i="82" s="1"/>
  <c r="AH42" i="82"/>
  <c r="AI41" i="82"/>
  <c r="V41" i="82" s="1"/>
  <c r="AI25" i="82"/>
  <c r="V25" i="82" s="1"/>
  <c r="AH26" i="82"/>
  <c r="AH33" i="82"/>
  <c r="AI32" i="82"/>
  <c r="V32" i="82" s="1"/>
  <c r="AH19" i="82"/>
  <c r="AI18" i="82"/>
  <c r="V18" i="82" s="1"/>
  <c r="A18" i="82"/>
  <c r="AH20" i="82" l="1"/>
  <c r="AI20" i="82" s="1"/>
  <c r="V20" i="82" s="1"/>
  <c r="AI19" i="82"/>
  <c r="V19" i="82" s="1"/>
  <c r="AH43" i="82"/>
  <c r="AI42" i="82"/>
  <c r="V42" i="82" s="1"/>
  <c r="Z18" i="82"/>
  <c r="A19" i="82"/>
  <c r="AI26" i="82"/>
  <c r="V26" i="82" s="1"/>
  <c r="AH27" i="82"/>
  <c r="AH34" i="82"/>
  <c r="AI33" i="82"/>
  <c r="V33" i="82" s="1"/>
  <c r="V21" i="82" l="1"/>
  <c r="AI34" i="82"/>
  <c r="V34" i="82" s="1"/>
  <c r="AH35" i="82"/>
  <c r="AH28" i="82"/>
  <c r="AI28" i="82" s="1"/>
  <c r="V28" i="82" s="1"/>
  <c r="AI27" i="82"/>
  <c r="V27" i="82" s="1"/>
  <c r="AI43" i="82"/>
  <c r="V43" i="82" s="1"/>
  <c r="AH44" i="82"/>
  <c r="AI44" i="82" s="1"/>
  <c r="V44" i="82" s="1"/>
  <c r="Z19" i="82"/>
  <c r="A20" i="82"/>
  <c r="V29" i="82" l="1"/>
  <c r="V45" i="82"/>
  <c r="A22" i="82"/>
  <c r="Z20" i="82"/>
  <c r="AI35" i="82"/>
  <c r="V35" i="82" s="1"/>
  <c r="AH36" i="82"/>
  <c r="AI36" i="82" s="1"/>
  <c r="V36" i="82" s="1"/>
  <c r="V37" i="82" s="1"/>
  <c r="V46" i="82" l="1"/>
  <c r="Z22" i="82"/>
  <c r="A23" i="82"/>
  <c r="W6" i="57"/>
  <c r="W7" i="57"/>
  <c r="W8" i="57"/>
  <c r="W9" i="57"/>
  <c r="W10" i="57"/>
  <c r="W11" i="57"/>
  <c r="W12" i="57"/>
  <c r="W13" i="57"/>
  <c r="W14" i="57"/>
  <c r="W15" i="57"/>
  <c r="W16" i="57"/>
  <c r="W17" i="57"/>
  <c r="W18" i="57"/>
  <c r="W19" i="57"/>
  <c r="W20" i="57"/>
  <c r="W21" i="57"/>
  <c r="W22" i="57"/>
  <c r="W23" i="57"/>
  <c r="W24" i="57"/>
  <c r="T6" i="57"/>
  <c r="T7" i="57"/>
  <c r="T8" i="57"/>
  <c r="T9" i="57"/>
  <c r="T10" i="57"/>
  <c r="T11" i="57"/>
  <c r="T12" i="57"/>
  <c r="T13" i="57"/>
  <c r="T14" i="57"/>
  <c r="T15" i="57"/>
  <c r="T16" i="57"/>
  <c r="T17" i="57"/>
  <c r="T18" i="57"/>
  <c r="T19" i="57"/>
  <c r="T20" i="57"/>
  <c r="T21" i="57"/>
  <c r="T22" i="57"/>
  <c r="T23" i="57"/>
  <c r="T24" i="57"/>
  <c r="T25" i="57"/>
  <c r="T26" i="57"/>
  <c r="T27" i="57"/>
  <c r="T28" i="57"/>
  <c r="T29" i="57"/>
  <c r="T30" i="57"/>
  <c r="T31" i="57"/>
  <c r="T32" i="57"/>
  <c r="T33" i="57"/>
  <c r="T34" i="57"/>
  <c r="T35" i="57"/>
  <c r="T36" i="57"/>
  <c r="T37" i="57"/>
  <c r="T38" i="57"/>
  <c r="T39" i="57"/>
  <c r="T40" i="57"/>
  <c r="T41" i="57"/>
  <c r="T42" i="57"/>
  <c r="T43" i="57"/>
  <c r="T44" i="57"/>
  <c r="T45" i="57"/>
  <c r="T46" i="57"/>
  <c r="T47" i="57"/>
  <c r="T48" i="57"/>
  <c r="T49" i="57"/>
  <c r="T50" i="57"/>
  <c r="T51" i="57"/>
  <c r="T52" i="57"/>
  <c r="T53" i="57"/>
  <c r="T54" i="57"/>
  <c r="T55" i="57"/>
  <c r="Q6" i="57"/>
  <c r="Q7" i="57"/>
  <c r="Q8" i="57"/>
  <c r="Q9" i="57"/>
  <c r="Q10" i="57"/>
  <c r="Q11" i="57"/>
  <c r="Q12" i="57"/>
  <c r="Q13" i="57"/>
  <c r="Q14" i="57"/>
  <c r="Q15" i="57"/>
  <c r="Q16" i="57"/>
  <c r="Q17" i="57"/>
  <c r="Q18" i="57"/>
  <c r="Q19" i="57"/>
  <c r="Q20" i="57"/>
  <c r="Q21" i="57"/>
  <c r="Q22" i="57"/>
  <c r="Q23" i="57"/>
  <c r="Q24" i="57"/>
  <c r="Q25" i="57"/>
  <c r="Q26" i="57"/>
  <c r="Q27" i="57"/>
  <c r="Q28" i="57"/>
  <c r="Q29" i="57"/>
  <c r="Q30" i="57"/>
  <c r="Q31" i="57"/>
  <c r="Q32" i="57"/>
  <c r="Q33" i="57"/>
  <c r="Q34" i="57"/>
  <c r="Q35" i="57"/>
  <c r="Q36" i="57"/>
  <c r="Q37" i="57"/>
  <c r="Q38" i="57"/>
  <c r="Q39" i="57"/>
  <c r="Q40" i="57"/>
  <c r="Q41" i="57"/>
  <c r="Q42" i="57"/>
  <c r="Q43" i="57"/>
  <c r="Q44" i="57"/>
  <c r="Q45" i="57"/>
  <c r="Q46" i="57"/>
  <c r="Q47" i="57"/>
  <c r="Q48" i="57"/>
  <c r="Q49" i="57"/>
  <c r="Q50" i="57"/>
  <c r="Q51" i="57"/>
  <c r="Q52" i="57"/>
  <c r="Q53" i="57"/>
  <c r="Q54" i="57"/>
  <c r="Q55" i="57"/>
  <c r="N6" i="57"/>
  <c r="N7" i="57"/>
  <c r="N8" i="57"/>
  <c r="N9" i="57"/>
  <c r="N10" i="57"/>
  <c r="N11" i="57"/>
  <c r="N12" i="57"/>
  <c r="N13" i="57"/>
  <c r="N14" i="57"/>
  <c r="N15" i="57"/>
  <c r="N16" i="57"/>
  <c r="N17" i="57"/>
  <c r="N18" i="57"/>
  <c r="N19" i="57"/>
  <c r="N20" i="57"/>
  <c r="N21" i="57"/>
  <c r="N22" i="57"/>
  <c r="N23" i="57"/>
  <c r="N24" i="57"/>
  <c r="N25" i="57"/>
  <c r="N26" i="57"/>
  <c r="N27" i="57"/>
  <c r="N28" i="57"/>
  <c r="N29" i="57"/>
  <c r="N30" i="57"/>
  <c r="N31" i="57"/>
  <c r="N32" i="57"/>
  <c r="N33" i="57"/>
  <c r="N34" i="57"/>
  <c r="N35" i="57"/>
  <c r="N36" i="57"/>
  <c r="N37" i="57"/>
  <c r="N38" i="57"/>
  <c r="N39" i="57"/>
  <c r="N40" i="57"/>
  <c r="N41" i="57"/>
  <c r="N42" i="57"/>
  <c r="N43" i="57"/>
  <c r="N44" i="57"/>
  <c r="N45" i="57"/>
  <c r="N46" i="57"/>
  <c r="N47" i="57"/>
  <c r="N48" i="57"/>
  <c r="N49" i="57"/>
  <c r="N50" i="57"/>
  <c r="N51" i="57"/>
  <c r="N52" i="57"/>
  <c r="N53" i="57"/>
  <c r="N54" i="57"/>
  <c r="N55" i="57"/>
  <c r="K6" i="57"/>
  <c r="K7" i="57"/>
  <c r="K8" i="57"/>
  <c r="K9" i="57"/>
  <c r="K10" i="57"/>
  <c r="K11" i="57"/>
  <c r="K12" i="57"/>
  <c r="K13" i="57"/>
  <c r="K14" i="57"/>
  <c r="K15" i="57"/>
  <c r="K16" i="57"/>
  <c r="K17" i="57"/>
  <c r="K18" i="57"/>
  <c r="K19" i="57"/>
  <c r="K20" i="57"/>
  <c r="K21" i="57"/>
  <c r="K22" i="57"/>
  <c r="K23" i="57"/>
  <c r="K24" i="57"/>
  <c r="K25" i="57"/>
  <c r="K26" i="57"/>
  <c r="K27" i="57"/>
  <c r="K28" i="57"/>
  <c r="K29" i="57"/>
  <c r="K30" i="57"/>
  <c r="K31" i="57"/>
  <c r="K32" i="57"/>
  <c r="K33" i="57"/>
  <c r="K34" i="57"/>
  <c r="K35" i="57"/>
  <c r="K36" i="57"/>
  <c r="K37" i="57"/>
  <c r="K38" i="57"/>
  <c r="K39" i="57"/>
  <c r="K40" i="57"/>
  <c r="K41" i="57"/>
  <c r="K42" i="57"/>
  <c r="K43" i="57"/>
  <c r="K44" i="57"/>
  <c r="K45" i="57"/>
  <c r="K46" i="57"/>
  <c r="K47" i="57"/>
  <c r="K48" i="57"/>
  <c r="K49" i="57"/>
  <c r="K50" i="57"/>
  <c r="K51" i="57"/>
  <c r="K52" i="57"/>
  <c r="K53" i="57"/>
  <c r="K54" i="57"/>
  <c r="K55" i="57"/>
  <c r="H6" i="57"/>
  <c r="H7" i="57"/>
  <c r="H8" i="57"/>
  <c r="H9" i="57"/>
  <c r="H10" i="57"/>
  <c r="H11" i="57"/>
  <c r="H12" i="57"/>
  <c r="H13" i="57"/>
  <c r="H14" i="57"/>
  <c r="H15" i="57"/>
  <c r="H16" i="57"/>
  <c r="H17" i="57"/>
  <c r="H18" i="57"/>
  <c r="H19" i="57"/>
  <c r="H20" i="57"/>
  <c r="H21" i="57"/>
  <c r="H22" i="57"/>
  <c r="H23" i="57"/>
  <c r="H24" i="57"/>
  <c r="H25" i="57"/>
  <c r="H26" i="57"/>
  <c r="H27" i="57"/>
  <c r="H28" i="57"/>
  <c r="H29" i="57"/>
  <c r="H30" i="57"/>
  <c r="H31" i="57"/>
  <c r="H32" i="57"/>
  <c r="H33" i="57"/>
  <c r="H34" i="57"/>
  <c r="H35" i="57"/>
  <c r="H36" i="57"/>
  <c r="H37" i="57"/>
  <c r="H38" i="57"/>
  <c r="H39" i="57"/>
  <c r="H40" i="57"/>
  <c r="H41" i="57"/>
  <c r="H42" i="57"/>
  <c r="H43" i="57"/>
  <c r="H44" i="57"/>
  <c r="H45" i="57"/>
  <c r="H46" i="57"/>
  <c r="H47" i="57"/>
  <c r="H48" i="57"/>
  <c r="H49" i="57"/>
  <c r="H50" i="57"/>
  <c r="H51" i="57"/>
  <c r="H52" i="57"/>
  <c r="H53" i="57"/>
  <c r="H54" i="57"/>
  <c r="H55" i="57"/>
  <c r="E6" i="57"/>
  <c r="E7" i="57"/>
  <c r="E8" i="57"/>
  <c r="E9" i="57"/>
  <c r="E10" i="57"/>
  <c r="E11" i="57"/>
  <c r="E12" i="57"/>
  <c r="E13" i="57"/>
  <c r="E14" i="57"/>
  <c r="E15" i="57"/>
  <c r="E16" i="57"/>
  <c r="E17" i="57"/>
  <c r="E18" i="57"/>
  <c r="E19" i="57"/>
  <c r="E20" i="57"/>
  <c r="E21" i="57"/>
  <c r="E22" i="57"/>
  <c r="E23" i="57"/>
  <c r="E24" i="57"/>
  <c r="E25" i="57"/>
  <c r="E26" i="57"/>
  <c r="E27" i="57"/>
  <c r="E28" i="57"/>
  <c r="E29" i="57"/>
  <c r="E30" i="57"/>
  <c r="E31" i="57"/>
  <c r="E32" i="57"/>
  <c r="E33" i="57"/>
  <c r="E34" i="57"/>
  <c r="E35" i="57"/>
  <c r="E36" i="57"/>
  <c r="E37" i="57"/>
  <c r="E38" i="57"/>
  <c r="E39" i="57"/>
  <c r="E40" i="57"/>
  <c r="E41" i="57"/>
  <c r="E42" i="57"/>
  <c r="E43" i="57"/>
  <c r="E44" i="57"/>
  <c r="E45" i="57"/>
  <c r="E46" i="57"/>
  <c r="E47" i="57"/>
  <c r="E48" i="57"/>
  <c r="E49" i="57"/>
  <c r="E50" i="57"/>
  <c r="E51" i="57"/>
  <c r="E52" i="57"/>
  <c r="E53" i="57"/>
  <c r="E54" i="57"/>
  <c r="E55" i="57"/>
  <c r="A6" i="57"/>
  <c r="B6" i="57"/>
  <c r="B7" i="57"/>
  <c r="B8" i="57"/>
  <c r="B9" i="57"/>
  <c r="B10" i="57"/>
  <c r="B11" i="57"/>
  <c r="B12" i="57"/>
  <c r="B13" i="57"/>
  <c r="B14" i="57"/>
  <c r="B15" i="57"/>
  <c r="B16" i="57"/>
  <c r="B17" i="57"/>
  <c r="B18" i="57"/>
  <c r="B19" i="57"/>
  <c r="B20" i="57"/>
  <c r="B21" i="57"/>
  <c r="B22" i="57"/>
  <c r="B23" i="57"/>
  <c r="B24" i="57"/>
  <c r="B25" i="57"/>
  <c r="B26" i="57"/>
  <c r="B27" i="57"/>
  <c r="B28" i="57"/>
  <c r="B29" i="57"/>
  <c r="B30" i="57"/>
  <c r="B31" i="57"/>
  <c r="B32" i="57"/>
  <c r="B33" i="57"/>
  <c r="B34" i="57"/>
  <c r="B35" i="57"/>
  <c r="B36" i="57"/>
  <c r="B37" i="57"/>
  <c r="B38" i="57"/>
  <c r="B39" i="57"/>
  <c r="B40" i="57"/>
  <c r="B41" i="57"/>
  <c r="B42" i="57"/>
  <c r="B43" i="57"/>
  <c r="B44" i="57"/>
  <c r="B45" i="57"/>
  <c r="B46" i="57"/>
  <c r="B47" i="57"/>
  <c r="B48" i="57"/>
  <c r="B49" i="57"/>
  <c r="B50" i="57"/>
  <c r="B51" i="57"/>
  <c r="B52" i="57"/>
  <c r="B53" i="57"/>
  <c r="B54" i="57"/>
  <c r="B55" i="57"/>
  <c r="A24" i="82" l="1"/>
  <c r="Z23" i="82"/>
  <c r="A25" i="82" l="1"/>
  <c r="Z24" i="82"/>
  <c r="A26" i="82" l="1"/>
  <c r="Z25" i="82"/>
  <c r="A27" i="82" l="1"/>
  <c r="Z26" i="82"/>
  <c r="A28" i="82" l="1"/>
  <c r="Z27" i="82"/>
  <c r="O6" i="133"/>
  <c r="Z6" i="133" s="1"/>
  <c r="O6" i="132"/>
  <c r="Z6" i="132" s="1"/>
  <c r="O6" i="131"/>
  <c r="Z6" i="131" s="1"/>
  <c r="O6" i="130"/>
  <c r="Z6" i="130" s="1"/>
  <c r="O6" i="129"/>
  <c r="Z6" i="129" s="1"/>
  <c r="O6" i="128"/>
  <c r="Z6" i="128" s="1"/>
  <c r="O6" i="127"/>
  <c r="Z6" i="127" s="1"/>
  <c r="O6" i="125"/>
  <c r="Z6" i="125" s="1"/>
  <c r="O6" i="124"/>
  <c r="Z6" i="124" s="1"/>
  <c r="C15" i="8"/>
  <c r="O8" i="123" s="1"/>
  <c r="O6" i="123"/>
  <c r="Z6" i="123" s="1"/>
  <c r="O6" i="122"/>
  <c r="Z6" i="122" s="1"/>
  <c r="O6" i="121"/>
  <c r="Z6" i="121" s="1"/>
  <c r="O6" i="120"/>
  <c r="Z6" i="120" s="1"/>
  <c r="O6" i="119"/>
  <c r="Z6" i="119" s="1"/>
  <c r="O6" i="118"/>
  <c r="Z6" i="118" s="1"/>
  <c r="O6" i="117"/>
  <c r="Z6" i="117" s="1"/>
  <c r="O6" i="116"/>
  <c r="Z6" i="116" s="1"/>
  <c r="O6" i="115"/>
  <c r="Z6" i="115" s="1"/>
  <c r="O6" i="114"/>
  <c r="Z6" i="114" s="1"/>
  <c r="O6" i="113"/>
  <c r="Z6" i="113" s="1"/>
  <c r="O6" i="111"/>
  <c r="Z6" i="111" s="1"/>
  <c r="C3" i="8"/>
  <c r="O8" i="110" s="1"/>
  <c r="O6" i="110"/>
  <c r="Z6" i="110" s="1"/>
  <c r="A14" i="111" l="1"/>
  <c r="Z14" i="111" s="1"/>
  <c r="A14" i="119"/>
  <c r="Z14" i="119" s="1"/>
  <c r="A14" i="131"/>
  <c r="Z14" i="131" s="1"/>
  <c r="A14" i="114"/>
  <c r="Z14" i="114" s="1"/>
  <c r="A14" i="120"/>
  <c r="Z14" i="120" s="1"/>
  <c r="A14" i="125"/>
  <c r="Z14" i="125" s="1"/>
  <c r="A14" i="132"/>
  <c r="Z14" i="132" s="1"/>
  <c r="A14" i="130"/>
  <c r="Z14" i="130" s="1"/>
  <c r="A14" i="121"/>
  <c r="Z14" i="121" s="1"/>
  <c r="A14" i="133"/>
  <c r="Z14" i="133" s="1"/>
  <c r="A14" i="113"/>
  <c r="Z14" i="113" s="1"/>
  <c r="A14" i="115"/>
  <c r="Z14" i="115" s="1"/>
  <c r="A14" i="110"/>
  <c r="Z14" i="110" s="1"/>
  <c r="A14" i="116"/>
  <c r="Z14" i="116" s="1"/>
  <c r="A14" i="122"/>
  <c r="Z14" i="122" s="1"/>
  <c r="A14" i="128"/>
  <c r="Z14" i="128" s="1"/>
  <c r="A14" i="118"/>
  <c r="Z14" i="118" s="1"/>
  <c r="A14" i="124"/>
  <c r="Z14" i="124" s="1"/>
  <c r="A14" i="127"/>
  <c r="Z14" i="127" s="1"/>
  <c r="A14" i="117"/>
  <c r="Z14" i="117" s="1"/>
  <c r="A14" i="123"/>
  <c r="Z14" i="123" s="1"/>
  <c r="A14" i="129"/>
  <c r="Z14" i="129" s="1"/>
  <c r="Z28" i="82"/>
  <c r="A30" i="82"/>
  <c r="C4" i="8"/>
  <c r="O8" i="111" s="1"/>
  <c r="C16" i="8"/>
  <c r="O8" i="124" s="1"/>
  <c r="L2" i="7"/>
  <c r="L3" i="7"/>
  <c r="L4" i="7"/>
  <c r="L5" i="7"/>
  <c r="A15" i="132" l="1"/>
  <c r="A15" i="131"/>
  <c r="A15" i="127"/>
  <c r="A15" i="123"/>
  <c r="Z15" i="123" s="1"/>
  <c r="A15" i="130"/>
  <c r="Z15" i="130" s="1"/>
  <c r="A15" i="125"/>
  <c r="Z15" i="125" s="1"/>
  <c r="A15" i="122"/>
  <c r="Z15" i="122" s="1"/>
  <c r="A15" i="121"/>
  <c r="A15" i="118"/>
  <c r="Z15" i="118" s="1"/>
  <c r="A15" i="117"/>
  <c r="Z15" i="117" s="1"/>
  <c r="A15" i="115"/>
  <c r="Z15" i="115" s="1"/>
  <c r="A15" i="116"/>
  <c r="A15" i="114"/>
  <c r="A15" i="113"/>
  <c r="Z15" i="113" s="1"/>
  <c r="A15" i="111"/>
  <c r="A17" i="127"/>
  <c r="A15" i="128"/>
  <c r="A17" i="132"/>
  <c r="A15" i="119"/>
  <c r="A18" i="133"/>
  <c r="A15" i="110"/>
  <c r="A15" i="129"/>
  <c r="A15" i="124"/>
  <c r="A16" i="122"/>
  <c r="A19" i="116"/>
  <c r="A15" i="133"/>
  <c r="A18" i="121"/>
  <c r="A15" i="120"/>
  <c r="A31" i="82"/>
  <c r="Z30" i="82"/>
  <c r="C5" i="8"/>
  <c r="O8" i="113" s="1"/>
  <c r="C17" i="8"/>
  <c r="O8" i="125" s="1"/>
  <c r="A16" i="125" l="1"/>
  <c r="A16" i="118"/>
  <c r="A17" i="118" s="1"/>
  <c r="Z15" i="132"/>
  <c r="A16" i="132"/>
  <c r="Z16" i="132" s="1"/>
  <c r="Z15" i="127"/>
  <c r="A16" i="127"/>
  <c r="Z16" i="127" s="1"/>
  <c r="A16" i="123"/>
  <c r="Z16" i="123" s="1"/>
  <c r="A16" i="117"/>
  <c r="Z16" i="117" s="1"/>
  <c r="A16" i="115"/>
  <c r="Z15" i="114"/>
  <c r="A16" i="114"/>
  <c r="Z15" i="133"/>
  <c r="A16" i="133"/>
  <c r="A16" i="130"/>
  <c r="Z16" i="130" s="1"/>
  <c r="Z15" i="131"/>
  <c r="A16" i="131"/>
  <c r="Z16" i="122"/>
  <c r="A17" i="122"/>
  <c r="Z15" i="121"/>
  <c r="A16" i="121"/>
  <c r="Z15" i="116"/>
  <c r="A16" i="116"/>
  <c r="A16" i="113"/>
  <c r="Z16" i="113" s="1"/>
  <c r="Z15" i="111"/>
  <c r="A16" i="111"/>
  <c r="Z15" i="110"/>
  <c r="A16" i="110"/>
  <c r="Z15" i="119"/>
  <c r="A16" i="119"/>
  <c r="Z15" i="120"/>
  <c r="A16" i="120"/>
  <c r="Z17" i="127"/>
  <c r="A18" i="127"/>
  <c r="Z15" i="128"/>
  <c r="A16" i="128"/>
  <c r="Z16" i="115"/>
  <c r="A17" i="115"/>
  <c r="Z18" i="121"/>
  <c r="A19" i="121"/>
  <c r="Z16" i="125"/>
  <c r="A17" i="125"/>
  <c r="A20" i="122"/>
  <c r="Z18" i="133"/>
  <c r="A19" i="133"/>
  <c r="Z17" i="132"/>
  <c r="A18" i="132"/>
  <c r="Z15" i="124"/>
  <c r="A16" i="124"/>
  <c r="Z19" i="116"/>
  <c r="A20" i="116"/>
  <c r="Z15" i="129"/>
  <c r="A16" i="129"/>
  <c r="A19" i="128"/>
  <c r="A17" i="130"/>
  <c r="A32" i="82"/>
  <c r="Z31" i="82"/>
  <c r="C18" i="8"/>
  <c r="O8" i="126" s="1"/>
  <c r="C6" i="8"/>
  <c r="O8" i="114" s="1"/>
  <c r="A17" i="123" l="1"/>
  <c r="Z16" i="118"/>
  <c r="A17" i="117"/>
  <c r="Z16" i="133"/>
  <c r="A17" i="133"/>
  <c r="Z17" i="133" s="1"/>
  <c r="Z16" i="121"/>
  <c r="A17" i="121"/>
  <c r="Z17" i="121" s="1"/>
  <c r="A17" i="113"/>
  <c r="Z17" i="113" s="1"/>
  <c r="Z16" i="114"/>
  <c r="A17" i="114"/>
  <c r="Z16" i="131"/>
  <c r="A17" i="131"/>
  <c r="Z16" i="128"/>
  <c r="A17" i="128"/>
  <c r="Z17" i="123"/>
  <c r="A18" i="123"/>
  <c r="Z17" i="122"/>
  <c r="A18" i="122"/>
  <c r="Z17" i="117"/>
  <c r="A18" i="117"/>
  <c r="Z16" i="116"/>
  <c r="A17" i="116"/>
  <c r="Z16" i="111"/>
  <c r="A17" i="111"/>
  <c r="Z16" i="110"/>
  <c r="A17" i="110"/>
  <c r="Z18" i="127"/>
  <c r="A19" i="127"/>
  <c r="Z19" i="133"/>
  <c r="A20" i="133"/>
  <c r="Z16" i="119"/>
  <c r="A17" i="119"/>
  <c r="Z19" i="128"/>
  <c r="A20" i="128"/>
  <c r="Z17" i="115"/>
  <c r="A18" i="115"/>
  <c r="A20" i="117"/>
  <c r="Z20" i="116"/>
  <c r="A22" i="116"/>
  <c r="Z16" i="124"/>
  <c r="A17" i="124"/>
  <c r="Z18" i="132"/>
  <c r="A19" i="132"/>
  <c r="A22" i="122"/>
  <c r="Z20" i="122"/>
  <c r="Z16" i="120"/>
  <c r="A17" i="120"/>
  <c r="Z17" i="125"/>
  <c r="A18" i="125"/>
  <c r="Z17" i="130"/>
  <c r="A18" i="130"/>
  <c r="Z16" i="129"/>
  <c r="A17" i="129"/>
  <c r="Z19" i="121"/>
  <c r="A20" i="121"/>
  <c r="Z17" i="118"/>
  <c r="A18" i="118"/>
  <c r="A33" i="82"/>
  <c r="Z32" i="82"/>
  <c r="C7" i="8"/>
  <c r="O8" i="115" s="1"/>
  <c r="C19" i="8"/>
  <c r="O8" i="127" s="1"/>
  <c r="A18" i="113" l="1"/>
  <c r="Z18" i="113" s="1"/>
  <c r="Z17" i="128"/>
  <c r="A18" i="128"/>
  <c r="Z18" i="128" s="1"/>
  <c r="Z18" i="122"/>
  <c r="A19" i="122"/>
  <c r="Z19" i="122" s="1"/>
  <c r="Z18" i="117"/>
  <c r="A19" i="117"/>
  <c r="Z19" i="117" s="1"/>
  <c r="Z17" i="116"/>
  <c r="A18" i="116"/>
  <c r="Z18" i="116" s="1"/>
  <c r="Z17" i="114"/>
  <c r="A18" i="114"/>
  <c r="A18" i="131"/>
  <c r="Z17" i="131"/>
  <c r="Z18" i="123"/>
  <c r="A19" i="123"/>
  <c r="Z18" i="130"/>
  <c r="A19" i="130"/>
  <c r="Z17" i="129"/>
  <c r="A18" i="129"/>
  <c r="Z18" i="118"/>
  <c r="A19" i="118"/>
  <c r="Z17" i="111"/>
  <c r="A18" i="111"/>
  <c r="Z17" i="110"/>
  <c r="A18" i="110"/>
  <c r="Z20" i="121"/>
  <c r="A22" i="121"/>
  <c r="Z17" i="124"/>
  <c r="A18" i="124"/>
  <c r="Z19" i="127"/>
  <c r="A20" i="127"/>
  <c r="Z18" i="115"/>
  <c r="A19" i="115"/>
  <c r="Z20" i="128"/>
  <c r="A22" i="128"/>
  <c r="Z18" i="125"/>
  <c r="A19" i="125"/>
  <c r="Z20" i="117"/>
  <c r="A22" i="117"/>
  <c r="A23" i="116"/>
  <c r="Z22" i="116"/>
  <c r="Z17" i="119"/>
  <c r="A18" i="119"/>
  <c r="A22" i="133"/>
  <c r="Z20" i="133"/>
  <c r="A23" i="122"/>
  <c r="Z22" i="122"/>
  <c r="Z17" i="120"/>
  <c r="A18" i="120"/>
  <c r="Z19" i="132"/>
  <c r="A20" i="132"/>
  <c r="Z33" i="82"/>
  <c r="A34" i="82"/>
  <c r="C20" i="8"/>
  <c r="O8" i="128" s="1"/>
  <c r="C8" i="8"/>
  <c r="O8" i="116" s="1"/>
  <c r="A19" i="113" l="1"/>
  <c r="Z19" i="113" s="1"/>
  <c r="Z19" i="123"/>
  <c r="A20" i="123"/>
  <c r="A19" i="114"/>
  <c r="Z18" i="114"/>
  <c r="Z18" i="131"/>
  <c r="A19" i="131"/>
  <c r="Z18" i="129"/>
  <c r="A19" i="129"/>
  <c r="Z19" i="130"/>
  <c r="A20" i="130"/>
  <c r="Z19" i="118"/>
  <c r="A20" i="118"/>
  <c r="A20" i="113"/>
  <c r="A19" i="111"/>
  <c r="Z18" i="111"/>
  <c r="Z18" i="110"/>
  <c r="A19" i="110"/>
  <c r="Z18" i="120"/>
  <c r="A19" i="120"/>
  <c r="Z22" i="133"/>
  <c r="A23" i="133"/>
  <c r="Z22" i="117"/>
  <c r="A23" i="117"/>
  <c r="Z22" i="128"/>
  <c r="A23" i="128"/>
  <c r="Z18" i="119"/>
  <c r="A19" i="119"/>
  <c r="A24" i="116"/>
  <c r="Z23" i="116"/>
  <c r="Z19" i="125"/>
  <c r="A20" i="125"/>
  <c r="Z19" i="115"/>
  <c r="A20" i="115"/>
  <c r="A22" i="127"/>
  <c r="Z20" i="127"/>
  <c r="A23" i="121"/>
  <c r="Z22" i="121"/>
  <c r="Z18" i="124"/>
  <c r="A19" i="124"/>
  <c r="A22" i="132"/>
  <c r="Z20" i="132"/>
  <c r="A24" i="122"/>
  <c r="Z23" i="122"/>
  <c r="A35" i="82"/>
  <c r="Z34" i="82"/>
  <c r="C9" i="8"/>
  <c r="O8" i="117" s="1"/>
  <c r="C21" i="8"/>
  <c r="O8" i="129" s="1"/>
  <c r="C3" i="5"/>
  <c r="A22" i="123" l="1"/>
  <c r="Z20" i="123"/>
  <c r="Z19" i="114"/>
  <c r="A20" i="114"/>
  <c r="Z19" i="111"/>
  <c r="A20" i="111"/>
  <c r="Z19" i="131"/>
  <c r="A20" i="131"/>
  <c r="Z19" i="129"/>
  <c r="A20" i="129"/>
  <c r="Z19" i="124"/>
  <c r="A20" i="124"/>
  <c r="A22" i="130"/>
  <c r="Z20" i="130"/>
  <c r="Z19" i="119"/>
  <c r="A20" i="119"/>
  <c r="Z20" i="118"/>
  <c r="A22" i="118"/>
  <c r="Z20" i="113"/>
  <c r="A22" i="113"/>
  <c r="Z19" i="110"/>
  <c r="A20" i="110"/>
  <c r="Z24" i="122"/>
  <c r="A25" i="122"/>
  <c r="A23" i="127"/>
  <c r="Z22" i="127"/>
  <c r="Z23" i="128"/>
  <c r="A24" i="128"/>
  <c r="A24" i="133"/>
  <c r="Z23" i="133"/>
  <c r="Z19" i="120"/>
  <c r="A20" i="120"/>
  <c r="Z22" i="132"/>
  <c r="A23" i="132"/>
  <c r="Z20" i="125"/>
  <c r="A22" i="125"/>
  <c r="A22" i="115"/>
  <c r="Z20" i="115"/>
  <c r="A25" i="116"/>
  <c r="Z24" i="116"/>
  <c r="Z23" i="117"/>
  <c r="A24" i="117"/>
  <c r="A24" i="121"/>
  <c r="Z23" i="121"/>
  <c r="A36" i="82"/>
  <c r="Z35" i="82"/>
  <c r="C22" i="8"/>
  <c r="O8" i="130" s="1"/>
  <c r="C10" i="8"/>
  <c r="O8" i="118" s="1"/>
  <c r="A23" i="123" l="1"/>
  <c r="Z22" i="123"/>
  <c r="A22" i="114"/>
  <c r="Z20" i="114"/>
  <c r="Z20" i="111"/>
  <c r="A22" i="111"/>
  <c r="A22" i="131"/>
  <c r="Z20" i="131"/>
  <c r="Z20" i="129"/>
  <c r="A22" i="129"/>
  <c r="Z20" i="124"/>
  <c r="A22" i="124"/>
  <c r="A23" i="130"/>
  <c r="Z22" i="130"/>
  <c r="Z20" i="119"/>
  <c r="A22" i="119"/>
  <c r="Z22" i="118"/>
  <c r="A23" i="118"/>
  <c r="A23" i="113"/>
  <c r="Z22" i="113"/>
  <c r="A22" i="110"/>
  <c r="Z20" i="110"/>
  <c r="A23" i="125"/>
  <c r="Z22" i="125"/>
  <c r="A25" i="117"/>
  <c r="Z24" i="117"/>
  <c r="A23" i="115"/>
  <c r="Z22" i="115"/>
  <c r="A22" i="120"/>
  <c r="Z20" i="120"/>
  <c r="A24" i="127"/>
  <c r="Z23" i="127"/>
  <c r="A24" i="132"/>
  <c r="Z23" i="132"/>
  <c r="A25" i="133"/>
  <c r="Z24" i="133"/>
  <c r="A26" i="122"/>
  <c r="Z25" i="122"/>
  <c r="A25" i="121"/>
  <c r="Z24" i="121"/>
  <c r="A26" i="116"/>
  <c r="Z25" i="116"/>
  <c r="A25" i="128"/>
  <c r="Z24" i="128"/>
  <c r="A38" i="82"/>
  <c r="Z36" i="82"/>
  <c r="C11" i="8"/>
  <c r="O8" i="119" s="1"/>
  <c r="C23" i="8"/>
  <c r="O8" i="131" s="1"/>
  <c r="A24" i="123" l="1"/>
  <c r="Z23" i="123"/>
  <c r="Z22" i="114"/>
  <c r="A23" i="114"/>
  <c r="A23" i="111"/>
  <c r="Z22" i="111"/>
  <c r="Z22" i="131"/>
  <c r="A23" i="131"/>
  <c r="A23" i="129"/>
  <c r="Z22" i="129"/>
  <c r="A23" i="124"/>
  <c r="Z22" i="124"/>
  <c r="A24" i="130"/>
  <c r="Z23" i="130"/>
  <c r="A23" i="119"/>
  <c r="Z22" i="119"/>
  <c r="Z23" i="118"/>
  <c r="A24" i="118"/>
  <c r="Z23" i="113"/>
  <c r="A24" i="113"/>
  <c r="A23" i="110"/>
  <c r="Z22" i="110"/>
  <c r="A25" i="127"/>
  <c r="Z24" i="127"/>
  <c r="A24" i="115"/>
  <c r="Z23" i="115"/>
  <c r="Z24" i="132"/>
  <c r="A25" i="132"/>
  <c r="A26" i="117"/>
  <c r="Z25" i="117"/>
  <c r="Z26" i="116"/>
  <c r="A27" i="116"/>
  <c r="Z26" i="122"/>
  <c r="A27" i="122"/>
  <c r="Z22" i="120"/>
  <c r="A23" i="120"/>
  <c r="Z23" i="125"/>
  <c r="A24" i="125"/>
  <c r="Z25" i="121"/>
  <c r="A26" i="121"/>
  <c r="A26" i="128"/>
  <c r="Z25" i="128"/>
  <c r="Z25" i="133"/>
  <c r="A26" i="133"/>
  <c r="A39" i="82"/>
  <c r="Z38" i="82"/>
  <c r="C24" i="8"/>
  <c r="O8" i="132" s="1"/>
  <c r="C12" i="8"/>
  <c r="O8" i="120" s="1"/>
  <c r="Z24" i="123" l="1"/>
  <c r="A25" i="123"/>
  <c r="Z23" i="114"/>
  <c r="A24" i="114"/>
  <c r="Z23" i="111"/>
  <c r="A24" i="111"/>
  <c r="A24" i="131"/>
  <c r="Z23" i="131"/>
  <c r="Z23" i="129"/>
  <c r="A24" i="129"/>
  <c r="A24" i="124"/>
  <c r="Z23" i="124"/>
  <c r="A25" i="130"/>
  <c r="Z24" i="130"/>
  <c r="A24" i="119"/>
  <c r="Z23" i="119"/>
  <c r="Z24" i="118"/>
  <c r="A25" i="118"/>
  <c r="Z24" i="113"/>
  <c r="A25" i="113"/>
  <c r="A24" i="110"/>
  <c r="Z23" i="110"/>
  <c r="A27" i="128"/>
  <c r="Z26" i="128"/>
  <c r="Z26" i="121"/>
  <c r="A27" i="121"/>
  <c r="Z24" i="115"/>
  <c r="A25" i="115"/>
  <c r="Z26" i="133"/>
  <c r="A27" i="133"/>
  <c r="A24" i="120"/>
  <c r="Z23" i="120"/>
  <c r="Z27" i="122"/>
  <c r="A28" i="122"/>
  <c r="Z25" i="132"/>
  <c r="A26" i="132"/>
  <c r="Z25" i="127"/>
  <c r="A26" i="127"/>
  <c r="Z24" i="125"/>
  <c r="A25" i="125"/>
  <c r="Z27" i="116"/>
  <c r="A28" i="116"/>
  <c r="A27" i="117"/>
  <c r="Z26" i="117"/>
  <c r="A40" i="82"/>
  <c r="Z39" i="82"/>
  <c r="C13" i="8"/>
  <c r="O8" i="121" s="1"/>
  <c r="C25" i="8"/>
  <c r="O8" i="133" s="1"/>
  <c r="A26" i="123" l="1"/>
  <c r="Z25" i="123"/>
  <c r="A25" i="114"/>
  <c r="Z24" i="114"/>
  <c r="A25" i="111"/>
  <c r="Z24" i="111"/>
  <c r="Z24" i="131"/>
  <c r="A25" i="131"/>
  <c r="A25" i="129"/>
  <c r="Z24" i="129"/>
  <c r="A25" i="124"/>
  <c r="Z24" i="124"/>
  <c r="A26" i="130"/>
  <c r="Z25" i="130"/>
  <c r="A25" i="119"/>
  <c r="Z24" i="119"/>
  <c r="A26" i="118"/>
  <c r="Z25" i="118"/>
  <c r="A26" i="113"/>
  <c r="Z25" i="113"/>
  <c r="A25" i="110"/>
  <c r="Z24" i="110"/>
  <c r="A25" i="120"/>
  <c r="Z24" i="120"/>
  <c r="Z25" i="125"/>
  <c r="A26" i="125"/>
  <c r="A27" i="127"/>
  <c r="Z26" i="127"/>
  <c r="A27" i="132"/>
  <c r="Z26" i="132"/>
  <c r="Z27" i="121"/>
  <c r="A28" i="121"/>
  <c r="A26" i="115"/>
  <c r="Z25" i="115"/>
  <c r="Z27" i="117"/>
  <c r="A28" i="117"/>
  <c r="A30" i="122"/>
  <c r="Z28" i="122"/>
  <c r="Z27" i="133"/>
  <c r="A28" i="133"/>
  <c r="A30" i="116"/>
  <c r="Z28" i="116"/>
  <c r="Z27" i="128"/>
  <c r="A28" i="128"/>
  <c r="A41" i="82"/>
  <c r="Z40" i="82"/>
  <c r="A27" i="123" l="1"/>
  <c r="Z26" i="123"/>
  <c r="A26" i="114"/>
  <c r="Z25" i="114"/>
  <c r="A26" i="111"/>
  <c r="Z25" i="111"/>
  <c r="A26" i="131"/>
  <c r="Z25" i="131"/>
  <c r="A26" i="129"/>
  <c r="Z25" i="129"/>
  <c r="A26" i="124"/>
  <c r="Z25" i="124"/>
  <c r="A27" i="130"/>
  <c r="Z26" i="130"/>
  <c r="A26" i="119"/>
  <c r="Z25" i="119"/>
  <c r="A27" i="118"/>
  <c r="Z26" i="118"/>
  <c r="A27" i="113"/>
  <c r="Z26" i="113"/>
  <c r="Z25" i="110"/>
  <c r="A26" i="110"/>
  <c r="A30" i="121"/>
  <c r="Z28" i="121"/>
  <c r="A31" i="116"/>
  <c r="Z30" i="116"/>
  <c r="Z25" i="120"/>
  <c r="A26" i="120"/>
  <c r="A27" i="115"/>
  <c r="Z26" i="115"/>
  <c r="Z27" i="127"/>
  <c r="A28" i="127"/>
  <c r="A30" i="133"/>
  <c r="Z28" i="133"/>
  <c r="A27" i="125"/>
  <c r="Z26" i="125"/>
  <c r="Z27" i="132"/>
  <c r="A28" i="132"/>
  <c r="Z28" i="128"/>
  <c r="A30" i="128"/>
  <c r="Z28" i="117"/>
  <c r="A30" i="117"/>
  <c r="Z30" i="122"/>
  <c r="A31" i="122"/>
  <c r="A42" i="82"/>
  <c r="Z41" i="82"/>
  <c r="A28" i="123" l="1"/>
  <c r="Z27" i="123"/>
  <c r="A27" i="114"/>
  <c r="Z26" i="114"/>
  <c r="Z26" i="111"/>
  <c r="A27" i="111"/>
  <c r="A27" i="131"/>
  <c r="Z26" i="131"/>
  <c r="A27" i="129"/>
  <c r="Z26" i="129"/>
  <c r="A27" i="124"/>
  <c r="Z26" i="124"/>
  <c r="A28" i="130"/>
  <c r="Z27" i="130"/>
  <c r="A27" i="119"/>
  <c r="Z26" i="119"/>
  <c r="Z27" i="118"/>
  <c r="A28" i="118"/>
  <c r="A28" i="113"/>
  <c r="Z27" i="113"/>
  <c r="A27" i="110"/>
  <c r="Z26" i="110"/>
  <c r="A30" i="132"/>
  <c r="Z28" i="132"/>
  <c r="A31" i="121"/>
  <c r="Z30" i="121"/>
  <c r="Z30" i="128"/>
  <c r="A31" i="128"/>
  <c r="Z30" i="133"/>
  <c r="A31" i="133"/>
  <c r="Z26" i="120"/>
  <c r="A27" i="120"/>
  <c r="Z31" i="122"/>
  <c r="A32" i="122"/>
  <c r="A31" i="117"/>
  <c r="Z30" i="117"/>
  <c r="A28" i="125"/>
  <c r="Z27" i="125"/>
  <c r="Z27" i="115"/>
  <c r="A28" i="115"/>
  <c r="Z28" i="127"/>
  <c r="A30" i="127"/>
  <c r="Z31" i="116"/>
  <c r="A32" i="116"/>
  <c r="A43" i="82"/>
  <c r="Z42" i="82"/>
  <c r="A30" i="123" l="1"/>
  <c r="Z28" i="123"/>
  <c r="Z27" i="114"/>
  <c r="A28" i="114"/>
  <c r="A28" i="111"/>
  <c r="Z27" i="111"/>
  <c r="Z27" i="131"/>
  <c r="A28" i="131"/>
  <c r="A28" i="129"/>
  <c r="Z27" i="129"/>
  <c r="Z27" i="124"/>
  <c r="A28" i="124"/>
  <c r="A30" i="130"/>
  <c r="Z28" i="130"/>
  <c r="Z27" i="119"/>
  <c r="A28" i="119"/>
  <c r="Z28" i="118"/>
  <c r="A30" i="118"/>
  <c r="A30" i="113"/>
  <c r="Z28" i="113"/>
  <c r="Z27" i="110"/>
  <c r="A28" i="110"/>
  <c r="Z31" i="128"/>
  <c r="A32" i="128"/>
  <c r="A33" i="116"/>
  <c r="Z32" i="116"/>
  <c r="A32" i="117"/>
  <c r="Z31" i="117"/>
  <c r="Z31" i="133"/>
  <c r="A32" i="133"/>
  <c r="A31" i="127"/>
  <c r="Z30" i="127"/>
  <c r="A30" i="115"/>
  <c r="Z28" i="115"/>
  <c r="Z28" i="125"/>
  <c r="A30" i="125"/>
  <c r="Z27" i="120"/>
  <c r="A28" i="120"/>
  <c r="Z31" i="121"/>
  <c r="A32" i="121"/>
  <c r="A33" i="122"/>
  <c r="Z32" i="122"/>
  <c r="A31" i="132"/>
  <c r="Z30" i="132"/>
  <c r="A44" i="82"/>
  <c r="Z44" i="82" s="1"/>
  <c r="Z43" i="82"/>
  <c r="A31" i="123" l="1"/>
  <c r="Z30" i="123"/>
  <c r="A30" i="114"/>
  <c r="Z28" i="114"/>
  <c r="Z28" i="111"/>
  <c r="A30" i="111"/>
  <c r="A30" i="131"/>
  <c r="Z28" i="131"/>
  <c r="A30" i="129"/>
  <c r="Z28" i="129"/>
  <c r="A30" i="124"/>
  <c r="Z28" i="124"/>
  <c r="Z30" i="130"/>
  <c r="A31" i="130"/>
  <c r="Z28" i="119"/>
  <c r="A30" i="119"/>
  <c r="Z30" i="118"/>
  <c r="A31" i="118"/>
  <c r="A31" i="113"/>
  <c r="Z30" i="113"/>
  <c r="Z28" i="110"/>
  <c r="A30" i="110"/>
  <c r="A30" i="120"/>
  <c r="Z28" i="120"/>
  <c r="Z32" i="128"/>
  <c r="A33" i="128"/>
  <c r="Z31" i="132"/>
  <c r="A32" i="132"/>
  <c r="Z32" i="121"/>
  <c r="A33" i="121"/>
  <c r="Z31" i="127"/>
  <c r="A32" i="127"/>
  <c r="Z30" i="115"/>
  <c r="A31" i="115"/>
  <c r="Z32" i="133"/>
  <c r="A33" i="133"/>
  <c r="Z30" i="125"/>
  <c r="A31" i="125"/>
  <c r="Z32" i="117"/>
  <c r="A33" i="117"/>
  <c r="A34" i="122"/>
  <c r="Z33" i="122"/>
  <c r="A34" i="116"/>
  <c r="Z33" i="116"/>
  <c r="A7" i="2"/>
  <c r="A32" i="123" l="1"/>
  <c r="Z31" i="123"/>
  <c r="Z30" i="114"/>
  <c r="A31" i="114"/>
  <c r="Z30" i="111"/>
  <c r="A31" i="111"/>
  <c r="Z30" i="131"/>
  <c r="A31" i="131"/>
  <c r="Z30" i="129"/>
  <c r="A31" i="129"/>
  <c r="Z30" i="124"/>
  <c r="A31" i="124"/>
  <c r="A32" i="130"/>
  <c r="Z31" i="130"/>
  <c r="Z30" i="119"/>
  <c r="A31" i="119"/>
  <c r="A32" i="118"/>
  <c r="Z31" i="118"/>
  <c r="A32" i="113"/>
  <c r="Z31" i="113"/>
  <c r="Z30" i="110"/>
  <c r="A31" i="110"/>
  <c r="A33" i="132"/>
  <c r="Z32" i="132"/>
  <c r="Z34" i="122"/>
  <c r="A35" i="122"/>
  <c r="Z33" i="117"/>
  <c r="A34" i="117"/>
  <c r="Z31" i="115"/>
  <c r="A32" i="115"/>
  <c r="A34" i="133"/>
  <c r="Z33" i="133"/>
  <c r="A31" i="120"/>
  <c r="Z30" i="120"/>
  <c r="A35" i="116"/>
  <c r="Z34" i="116"/>
  <c r="Z33" i="128"/>
  <c r="A34" i="128"/>
  <c r="A35" i="128" s="1"/>
  <c r="A34" i="121"/>
  <c r="Z33" i="121"/>
  <c r="A32" i="125"/>
  <c r="Z31" i="125"/>
  <c r="Z32" i="127"/>
  <c r="A33" i="127"/>
  <c r="A7" i="57"/>
  <c r="A8" i="2"/>
  <c r="Z32" i="123" l="1"/>
  <c r="A33" i="123"/>
  <c r="A32" i="114"/>
  <c r="Z31" i="114"/>
  <c r="Z31" i="111"/>
  <c r="A32" i="111"/>
  <c r="Z31" i="131"/>
  <c r="A32" i="131"/>
  <c r="A32" i="129"/>
  <c r="Z31" i="129"/>
  <c r="Z31" i="124"/>
  <c r="A32" i="124"/>
  <c r="A33" i="130"/>
  <c r="Z32" i="130"/>
  <c r="A32" i="119"/>
  <c r="Z31" i="119"/>
  <c r="A33" i="118"/>
  <c r="Z32" i="118"/>
  <c r="A33" i="113"/>
  <c r="Z32" i="113"/>
  <c r="A32" i="110"/>
  <c r="Z31" i="110"/>
  <c r="Z33" i="127"/>
  <c r="A34" i="127"/>
  <c r="A35" i="133"/>
  <c r="Z34" i="133"/>
  <c r="Z34" i="121"/>
  <c r="A35" i="121"/>
  <c r="A35" i="117"/>
  <c r="Z34" i="117"/>
  <c r="Z33" i="132"/>
  <c r="A34" i="132"/>
  <c r="Z31" i="120"/>
  <c r="A32" i="120"/>
  <c r="Z32" i="125"/>
  <c r="A33" i="125"/>
  <c r="A36" i="116"/>
  <c r="Z35" i="116"/>
  <c r="Z35" i="122"/>
  <c r="A36" i="122"/>
  <c r="Z34" i="128"/>
  <c r="A33" i="115"/>
  <c r="Z32" i="115"/>
  <c r="A9" i="2"/>
  <c r="A8" i="57"/>
  <c r="Z33" i="123" l="1"/>
  <c r="A34" i="123"/>
  <c r="Z32" i="114"/>
  <c r="A33" i="114"/>
  <c r="A33" i="111"/>
  <c r="Z32" i="111"/>
  <c r="Z32" i="131"/>
  <c r="A33" i="131"/>
  <c r="Z32" i="129"/>
  <c r="A33" i="129"/>
  <c r="Z32" i="124"/>
  <c r="A33" i="124"/>
  <c r="A34" i="130"/>
  <c r="Z33" i="130"/>
  <c r="Z32" i="119"/>
  <c r="A33" i="119"/>
  <c r="A34" i="118"/>
  <c r="Z33" i="118"/>
  <c r="Z33" i="113"/>
  <c r="A34" i="113"/>
  <c r="Z32" i="110"/>
  <c r="A33" i="110"/>
  <c r="A34" i="115"/>
  <c r="Z33" i="115"/>
  <c r="A33" i="120"/>
  <c r="Z32" i="120"/>
  <c r="Z35" i="121"/>
  <c r="A36" i="121"/>
  <c r="A35" i="127"/>
  <c r="Z34" i="127"/>
  <c r="Z36" i="116"/>
  <c r="A38" i="116"/>
  <c r="A35" i="132"/>
  <c r="Z34" i="132"/>
  <c r="A36" i="117"/>
  <c r="Z35" i="117"/>
  <c r="Z35" i="128"/>
  <c r="A36" i="128"/>
  <c r="Z33" i="125"/>
  <c r="A34" i="125"/>
  <c r="A38" i="122"/>
  <c r="Z36" i="122"/>
  <c r="Z35" i="133"/>
  <c r="A36" i="133"/>
  <c r="A10" i="2"/>
  <c r="A9" i="57"/>
  <c r="A35" i="123" l="1"/>
  <c r="Z34" i="123"/>
  <c r="Z33" i="114"/>
  <c r="A34" i="114"/>
  <c r="Z33" i="111"/>
  <c r="A34" i="111"/>
  <c r="A34" i="131"/>
  <c r="Z33" i="131"/>
  <c r="A34" i="129"/>
  <c r="Z33" i="129"/>
  <c r="Z33" i="124"/>
  <c r="A34" i="124"/>
  <c r="Z34" i="130"/>
  <c r="A35" i="130"/>
  <c r="Z33" i="119"/>
  <c r="A34" i="119"/>
  <c r="Z34" i="118"/>
  <c r="A35" i="118"/>
  <c r="Z34" i="113"/>
  <c r="A35" i="113"/>
  <c r="A34" i="110"/>
  <c r="Z33" i="110"/>
  <c r="A38" i="121"/>
  <c r="Z36" i="121"/>
  <c r="A34" i="120"/>
  <c r="Z33" i="120"/>
  <c r="A39" i="122"/>
  <c r="Z38" i="122"/>
  <c r="Z35" i="127"/>
  <c r="A36" i="127"/>
  <c r="Z38" i="116"/>
  <c r="A39" i="116"/>
  <c r="Z36" i="133"/>
  <c r="A38" i="133"/>
  <c r="Z34" i="125"/>
  <c r="A35" i="125"/>
  <c r="Z36" i="128"/>
  <c r="A38" i="128"/>
  <c r="A38" i="117"/>
  <c r="Z36" i="117"/>
  <c r="A36" i="132"/>
  <c r="Z35" i="132"/>
  <c r="Z34" i="115"/>
  <c r="A35" i="115"/>
  <c r="A11" i="2"/>
  <c r="A10" i="57"/>
  <c r="A36" i="123" l="1"/>
  <c r="Z35" i="123"/>
  <c r="Z34" i="114"/>
  <c r="A35" i="114"/>
  <c r="A35" i="111"/>
  <c r="Z34" i="111"/>
  <c r="A35" i="131"/>
  <c r="Z34" i="131"/>
  <c r="A35" i="129"/>
  <c r="Z34" i="129"/>
  <c r="Z34" i="124"/>
  <c r="A35" i="124"/>
  <c r="Z35" i="130"/>
  <c r="A36" i="130"/>
  <c r="A35" i="119"/>
  <c r="Z34" i="119"/>
  <c r="Z35" i="118"/>
  <c r="A36" i="118"/>
  <c r="A36" i="113"/>
  <c r="Z35" i="113"/>
  <c r="Z34" i="110"/>
  <c r="A35" i="110"/>
  <c r="A35" i="120"/>
  <c r="Z34" i="120"/>
  <c r="A39" i="128"/>
  <c r="Z38" i="128"/>
  <c r="A36" i="115"/>
  <c r="Z35" i="115"/>
  <c r="A38" i="132"/>
  <c r="Z36" i="132"/>
  <c r="Z35" i="125"/>
  <c r="A36" i="125"/>
  <c r="Z39" i="122"/>
  <c r="A40" i="122"/>
  <c r="A39" i="117"/>
  <c r="Z38" i="117"/>
  <c r="A38" i="127"/>
  <c r="Z36" i="127"/>
  <c r="Z38" i="121"/>
  <c r="A39" i="121"/>
  <c r="Z38" i="133"/>
  <c r="A39" i="133"/>
  <c r="Z39" i="116"/>
  <c r="A40" i="116"/>
  <c r="A12" i="2"/>
  <c r="A11" i="57"/>
  <c r="Z36" i="123" l="1"/>
  <c r="A38" i="123"/>
  <c r="Z35" i="114"/>
  <c r="A36" i="114"/>
  <c r="A36" i="111"/>
  <c r="Z35" i="111"/>
  <c r="A36" i="131"/>
  <c r="Z35" i="131"/>
  <c r="A36" i="129"/>
  <c r="Z35" i="129"/>
  <c r="A36" i="124"/>
  <c r="Z35" i="124"/>
  <c r="A38" i="130"/>
  <c r="Z36" i="130"/>
  <c r="Z35" i="119"/>
  <c r="A36" i="119"/>
  <c r="A38" i="118"/>
  <c r="Z36" i="118"/>
  <c r="Z36" i="113"/>
  <c r="A38" i="113"/>
  <c r="Z35" i="110"/>
  <c r="A36" i="110"/>
  <c r="A38" i="125"/>
  <c r="Z36" i="125"/>
  <c r="Z39" i="128"/>
  <c r="A40" i="128"/>
  <c r="A36" i="120"/>
  <c r="Z35" i="120"/>
  <c r="A39" i="127"/>
  <c r="Z38" i="127"/>
  <c r="A38" i="115"/>
  <c r="Z36" i="115"/>
  <c r="A41" i="122"/>
  <c r="Z40" i="122"/>
  <c r="Z40" i="116"/>
  <c r="A41" i="116"/>
  <c r="A40" i="133"/>
  <c r="Z39" i="133"/>
  <c r="A40" i="121"/>
  <c r="Z39" i="121"/>
  <c r="A40" i="117"/>
  <c r="Z39" i="117"/>
  <c r="Z38" i="132"/>
  <c r="A39" i="132"/>
  <c r="A13" i="2"/>
  <c r="A12" i="57"/>
  <c r="Z38" i="123" l="1"/>
  <c r="A39" i="123"/>
  <c r="A38" i="114"/>
  <c r="Z36" i="114"/>
  <c r="Z36" i="111"/>
  <c r="A38" i="111"/>
  <c r="A38" i="131"/>
  <c r="Z36" i="131"/>
  <c r="A38" i="129"/>
  <c r="Z36" i="129"/>
  <c r="Z36" i="124"/>
  <c r="A38" i="124"/>
  <c r="A39" i="130"/>
  <c r="Z38" i="130"/>
  <c r="Z36" i="119"/>
  <c r="A38" i="119"/>
  <c r="A39" i="118"/>
  <c r="Z38" i="118"/>
  <c r="Z38" i="113"/>
  <c r="A39" i="113"/>
  <c r="Z36" i="110"/>
  <c r="A38" i="110"/>
  <c r="Z36" i="120"/>
  <c r="A38" i="120"/>
  <c r="A39" i="115"/>
  <c r="Z38" i="115"/>
  <c r="A41" i="133"/>
  <c r="Z40" i="133"/>
  <c r="A40" i="132"/>
  <c r="Z39" i="132"/>
  <c r="A39" i="125"/>
  <c r="Z38" i="125"/>
  <c r="Z41" i="116"/>
  <c r="A42" i="116"/>
  <c r="Z40" i="121"/>
  <c r="A41" i="121"/>
  <c r="Z39" i="127"/>
  <c r="A40" i="127"/>
  <c r="A41" i="117"/>
  <c r="Z40" i="117"/>
  <c r="Z41" i="122"/>
  <c r="A42" i="122"/>
  <c r="Z40" i="128"/>
  <c r="A41" i="128"/>
  <c r="A14" i="2"/>
  <c r="A13" i="57"/>
  <c r="A40" i="123" l="1"/>
  <c r="Z39" i="123"/>
  <c r="Z38" i="114"/>
  <c r="A39" i="114"/>
  <c r="Z38" i="111"/>
  <c r="A39" i="111"/>
  <c r="A39" i="131"/>
  <c r="Z38" i="131"/>
  <c r="Z38" i="129"/>
  <c r="A39" i="129"/>
  <c r="Z38" i="124"/>
  <c r="A39" i="124"/>
  <c r="A40" i="130"/>
  <c r="Z39" i="130"/>
  <c r="A39" i="119"/>
  <c r="Z38" i="119"/>
  <c r="A40" i="118"/>
  <c r="Z39" i="118"/>
  <c r="A40" i="113"/>
  <c r="Z39" i="113"/>
  <c r="Z38" i="110"/>
  <c r="A39" i="110"/>
  <c r="A41" i="127"/>
  <c r="Z40" i="127"/>
  <c r="A43" i="116"/>
  <c r="Z42" i="116"/>
  <c r="Z39" i="125"/>
  <c r="A40" i="125"/>
  <c r="Z39" i="115"/>
  <c r="A40" i="115"/>
  <c r="A39" i="120"/>
  <c r="Z38" i="120"/>
  <c r="Z41" i="121"/>
  <c r="A42" i="121"/>
  <c r="Z41" i="133"/>
  <c r="A42" i="133"/>
  <c r="Z42" i="122"/>
  <c r="A43" i="122"/>
  <c r="A42" i="128"/>
  <c r="Z41" i="128"/>
  <c r="Z41" i="117"/>
  <c r="A42" i="117"/>
  <c r="Z40" i="132"/>
  <c r="A41" i="132"/>
  <c r="A15" i="2"/>
  <c r="A14" i="57"/>
  <c r="A41" i="123" l="1"/>
  <c r="Z40" i="123"/>
  <c r="Z39" i="114"/>
  <c r="A40" i="114"/>
  <c r="A40" i="111"/>
  <c r="Z39" i="111"/>
  <c r="A40" i="131"/>
  <c r="Z39" i="131"/>
  <c r="A40" i="129"/>
  <c r="Z39" i="129"/>
  <c r="Z39" i="124"/>
  <c r="A40" i="124"/>
  <c r="Z40" i="130"/>
  <c r="A41" i="130"/>
  <c r="Z39" i="119"/>
  <c r="A40" i="119"/>
  <c r="Z40" i="118"/>
  <c r="A41" i="118"/>
  <c r="A41" i="113"/>
  <c r="Z40" i="113"/>
  <c r="A40" i="110"/>
  <c r="Z39" i="110"/>
  <c r="Z42" i="117"/>
  <c r="A43" i="117"/>
  <c r="Z43" i="122"/>
  <c r="A44" i="122"/>
  <c r="Z44" i="122" s="1"/>
  <c r="Z42" i="133"/>
  <c r="A43" i="133"/>
  <c r="A42" i="132"/>
  <c r="Z41" i="132"/>
  <c r="Z40" i="125"/>
  <c r="A41" i="125"/>
  <c r="Z42" i="121"/>
  <c r="A43" i="121"/>
  <c r="A40" i="120"/>
  <c r="Z39" i="120"/>
  <c r="A44" i="116"/>
  <c r="Z44" i="116" s="1"/>
  <c r="Z43" i="116"/>
  <c r="A42" i="127"/>
  <c r="Z41" i="127"/>
  <c r="A43" i="128"/>
  <c r="Z42" i="128"/>
  <c r="Z40" i="115"/>
  <c r="A41" i="115"/>
  <c r="A16" i="2"/>
  <c r="A15" i="57"/>
  <c r="A42" i="123" l="1"/>
  <c r="Z41" i="123"/>
  <c r="Z40" i="114"/>
  <c r="A41" i="114"/>
  <c r="A41" i="111"/>
  <c r="Z40" i="111"/>
  <c r="Z40" i="131"/>
  <c r="A41" i="131"/>
  <c r="A41" i="129"/>
  <c r="Z40" i="129"/>
  <c r="A41" i="124"/>
  <c r="Z40" i="124"/>
  <c r="Z41" i="130"/>
  <c r="A42" i="130"/>
  <c r="Z40" i="119"/>
  <c r="A41" i="119"/>
  <c r="Z41" i="118"/>
  <c r="A42" i="118"/>
  <c r="Z41" i="113"/>
  <c r="A42" i="113"/>
  <c r="A41" i="110"/>
  <c r="Z40" i="110"/>
  <c r="Z41" i="115"/>
  <c r="A42" i="115"/>
  <c r="Z43" i="128"/>
  <c r="A44" i="128"/>
  <c r="Z44" i="128" s="1"/>
  <c r="Z43" i="133"/>
  <c r="A44" i="133"/>
  <c r="Z44" i="133" s="1"/>
  <c r="Z40" i="120"/>
  <c r="A41" i="120"/>
  <c r="A43" i="132"/>
  <c r="Z42" i="132"/>
  <c r="A43" i="127"/>
  <c r="Z42" i="127"/>
  <c r="A44" i="121"/>
  <c r="Z44" i="121" s="1"/>
  <c r="Z43" i="121"/>
  <c r="Z41" i="125"/>
  <c r="A42" i="125"/>
  <c r="A44" i="117"/>
  <c r="Z44" i="117" s="1"/>
  <c r="Z43" i="117"/>
  <c r="A17" i="2"/>
  <c r="A16" i="57"/>
  <c r="Z42" i="123" l="1"/>
  <c r="A43" i="123"/>
  <c r="Z41" i="114"/>
  <c r="A42" i="114"/>
  <c r="Z41" i="111"/>
  <c r="A42" i="111"/>
  <c r="Z41" i="131"/>
  <c r="A42" i="131"/>
  <c r="Z41" i="129"/>
  <c r="A42" i="129"/>
  <c r="Z41" i="124"/>
  <c r="A42" i="124"/>
  <c r="Z42" i="130"/>
  <c r="A43" i="130"/>
  <c r="Z41" i="119"/>
  <c r="A42" i="119"/>
  <c r="A43" i="118"/>
  <c r="Z42" i="118"/>
  <c r="Z42" i="113"/>
  <c r="A43" i="113"/>
  <c r="Z41" i="110"/>
  <c r="A42" i="110"/>
  <c r="Z42" i="125"/>
  <c r="A43" i="125"/>
  <c r="Z43" i="132"/>
  <c r="A44" i="132"/>
  <c r="Z44" i="132" s="1"/>
  <c r="Z43" i="127"/>
  <c r="A44" i="127"/>
  <c r="Z44" i="127" s="1"/>
  <c r="A43" i="115"/>
  <c r="Z42" i="115"/>
  <c r="A42" i="120"/>
  <c r="Z41" i="120"/>
  <c r="A18" i="2"/>
  <c r="A17" i="57"/>
  <c r="Z43" i="123" l="1"/>
  <c r="A44" i="123"/>
  <c r="Z44" i="123" s="1"/>
  <c r="Z42" i="114"/>
  <c r="A43" i="114"/>
  <c r="A43" i="111"/>
  <c r="Z42" i="111"/>
  <c r="A43" i="131"/>
  <c r="Z42" i="131"/>
  <c r="Z42" i="129"/>
  <c r="A43" i="129"/>
  <c r="A43" i="124"/>
  <c r="Z42" i="124"/>
  <c r="Z43" i="130"/>
  <c r="A44" i="130"/>
  <c r="Z44" i="130" s="1"/>
  <c r="A43" i="119"/>
  <c r="Z42" i="119"/>
  <c r="A44" i="118"/>
  <c r="Z44" i="118" s="1"/>
  <c r="Z43" i="118"/>
  <c r="A44" i="113"/>
  <c r="Z44" i="113" s="1"/>
  <c r="Z43" i="113"/>
  <c r="A43" i="110"/>
  <c r="Z42" i="110"/>
  <c r="Z42" i="120"/>
  <c r="A43" i="120"/>
  <c r="Z43" i="115"/>
  <c r="A44" i="115"/>
  <c r="Z44" i="115" s="1"/>
  <c r="A44" i="125"/>
  <c r="Z44" i="125" s="1"/>
  <c r="Z43" i="125"/>
  <c r="A19" i="2"/>
  <c r="A18" i="57"/>
  <c r="Z43" i="114" l="1"/>
  <c r="A44" i="114"/>
  <c r="Z44" i="114" s="1"/>
  <c r="A44" i="111"/>
  <c r="Z44" i="111" s="1"/>
  <c r="Z43" i="111"/>
  <c r="Z43" i="131"/>
  <c r="A44" i="131"/>
  <c r="Z44" i="131" s="1"/>
  <c r="Z43" i="129"/>
  <c r="A44" i="129"/>
  <c r="Z44" i="129" s="1"/>
  <c r="Z43" i="124"/>
  <c r="A44" i="124"/>
  <c r="Z44" i="124" s="1"/>
  <c r="Z43" i="119"/>
  <c r="A44" i="119"/>
  <c r="Z44" i="119" s="1"/>
  <c r="A44" i="110"/>
  <c r="Z44" i="110" s="1"/>
  <c r="Z43" i="110"/>
  <c r="Z43" i="120"/>
  <c r="A44" i="120"/>
  <c r="Z44" i="120" s="1"/>
  <c r="A20" i="2"/>
  <c r="A19" i="57"/>
  <c r="A21" i="2" l="1"/>
  <c r="A20" i="57"/>
  <c r="A22" i="2" l="1"/>
  <c r="A21" i="57"/>
  <c r="A23" i="2" l="1"/>
  <c r="A22" i="57"/>
  <c r="A24" i="2" l="1"/>
  <c r="A23" i="57"/>
  <c r="A25" i="2" l="1"/>
  <c r="A24" i="57"/>
  <c r="A26" i="2" l="1"/>
  <c r="A25" i="57"/>
  <c r="A27" i="2" l="1"/>
  <c r="A26" i="57"/>
  <c r="A28" i="2" l="1"/>
  <c r="A27" i="57"/>
  <c r="A29" i="2" l="1"/>
  <c r="A28" i="57"/>
  <c r="A30" i="2" l="1"/>
  <c r="A29" i="57"/>
  <c r="A31" i="2" l="1"/>
  <c r="A30" i="57"/>
  <c r="A32" i="2" l="1"/>
  <c r="A31" i="57"/>
  <c r="A33" i="2" l="1"/>
  <c r="A32" i="57"/>
  <c r="A34" i="2" l="1"/>
  <c r="A33" i="57"/>
  <c r="A35" i="2" l="1"/>
  <c r="A34" i="57"/>
  <c r="A36" i="2" l="1"/>
  <c r="A35" i="57"/>
  <c r="A37" i="2" l="1"/>
  <c r="A36" i="57"/>
  <c r="A38" i="2" l="1"/>
  <c r="A37" i="57"/>
  <c r="A39" i="2" l="1"/>
  <c r="A38" i="57"/>
  <c r="A40" i="2" l="1"/>
  <c r="A39" i="57"/>
  <c r="A41" i="2" l="1"/>
  <c r="A40" i="57"/>
  <c r="A42" i="2" l="1"/>
  <c r="A41" i="57"/>
  <c r="A43" i="2" l="1"/>
  <c r="A42" i="57"/>
  <c r="A44" i="2" l="1"/>
  <c r="A43" i="57"/>
  <c r="A45" i="2" l="1"/>
  <c r="A44" i="57"/>
  <c r="A46" i="2" l="1"/>
  <c r="A45" i="57"/>
  <c r="A47" i="2" l="1"/>
  <c r="A46" i="57"/>
  <c r="A48" i="2" l="1"/>
  <c r="A47" i="57"/>
  <c r="A49" i="2" l="1"/>
  <c r="A48" i="57"/>
  <c r="A50" i="2" l="1"/>
  <c r="A49" i="57"/>
  <c r="A51" i="2" l="1"/>
  <c r="A50" i="57"/>
  <c r="A52" i="2" l="1"/>
  <c r="A51" i="57"/>
  <c r="A53" i="2" l="1"/>
  <c r="A52" i="57"/>
  <c r="A54" i="2" l="1"/>
  <c r="A53" i="57"/>
  <c r="A55" i="2" l="1"/>
  <c r="A54" i="57"/>
  <c r="A56" i="2" l="1"/>
  <c r="A55" i="57"/>
  <c r="A57" i="2" l="1"/>
  <c r="D6" i="57"/>
  <c r="A58" i="2" l="1"/>
  <c r="D7" i="57"/>
  <c r="A59" i="2" l="1"/>
  <c r="D8" i="57"/>
  <c r="A60" i="2" l="1"/>
  <c r="D9" i="57"/>
  <c r="A61" i="2" l="1"/>
  <c r="D10" i="57"/>
  <c r="A62" i="2" l="1"/>
  <c r="D11" i="57"/>
  <c r="A63" i="2" l="1"/>
  <c r="D12" i="57"/>
  <c r="A64" i="2" l="1"/>
  <c r="D13" i="57"/>
  <c r="A65" i="2" l="1"/>
  <c r="D14" i="57"/>
  <c r="A66" i="2" l="1"/>
  <c r="D15" i="57"/>
  <c r="A67" i="2" l="1"/>
  <c r="D16" i="57"/>
  <c r="A68" i="2" l="1"/>
  <c r="D17" i="57"/>
  <c r="A69" i="2" l="1"/>
  <c r="D18" i="57"/>
  <c r="A70" i="2" l="1"/>
  <c r="D19" i="57"/>
  <c r="A71" i="2" l="1"/>
  <c r="D20" i="57"/>
  <c r="A72" i="2" l="1"/>
  <c r="D21" i="57"/>
  <c r="A73" i="2" l="1"/>
  <c r="D22" i="57"/>
  <c r="A74" i="2" l="1"/>
  <c r="D23" i="57"/>
  <c r="A75" i="2" l="1"/>
  <c r="D24" i="57"/>
  <c r="A76" i="2" l="1"/>
  <c r="D25" i="57"/>
  <c r="A77" i="2" l="1"/>
  <c r="D26" i="57"/>
  <c r="A78" i="2" l="1"/>
  <c r="D27" i="57"/>
  <c r="A79" i="2" l="1"/>
  <c r="D28" i="57"/>
  <c r="A80" i="2" l="1"/>
  <c r="D29" i="57"/>
  <c r="A81" i="2" l="1"/>
  <c r="D30" i="57"/>
  <c r="A82" i="2" l="1"/>
  <c r="D31" i="57"/>
  <c r="A83" i="2" l="1"/>
  <c r="D32" i="57"/>
  <c r="A84" i="2" l="1"/>
  <c r="D33" i="57"/>
  <c r="A85" i="2" l="1"/>
  <c r="D34" i="57"/>
  <c r="A86" i="2" l="1"/>
  <c r="D35" i="57"/>
  <c r="A87" i="2" l="1"/>
  <c r="D36" i="57"/>
  <c r="A88" i="2" l="1"/>
  <c r="D37" i="57"/>
  <c r="A89" i="2" l="1"/>
  <c r="D38" i="57"/>
  <c r="A90" i="2" l="1"/>
  <c r="D39" i="57"/>
  <c r="A91" i="2" l="1"/>
  <c r="D40" i="57"/>
  <c r="A92" i="2" l="1"/>
  <c r="D41" i="57"/>
  <c r="A93" i="2" l="1"/>
  <c r="D42" i="57"/>
  <c r="A94" i="2" l="1"/>
  <c r="D43" i="57"/>
  <c r="A95" i="2" l="1"/>
  <c r="D44" i="57"/>
  <c r="A96" i="2" l="1"/>
  <c r="D45" i="57"/>
  <c r="A97" i="2" l="1"/>
  <c r="D46" i="57"/>
  <c r="A98" i="2" l="1"/>
  <c r="D47" i="57"/>
  <c r="A99" i="2" l="1"/>
  <c r="D48" i="57"/>
  <c r="A100" i="2" l="1"/>
  <c r="D49" i="57"/>
  <c r="A101" i="2" l="1"/>
  <c r="D50" i="57"/>
  <c r="A102" i="2" l="1"/>
  <c r="D51" i="57"/>
  <c r="A103" i="2" l="1"/>
  <c r="D52" i="57"/>
  <c r="A104" i="2" l="1"/>
  <c r="D53" i="57"/>
  <c r="A105" i="2" l="1"/>
  <c r="D54" i="57"/>
  <c r="A106" i="2" l="1"/>
  <c r="D55" i="57"/>
  <c r="A107" i="2" l="1"/>
  <c r="G6" i="57"/>
  <c r="A108" i="2" l="1"/>
  <c r="G7" i="57"/>
  <c r="A109" i="2" l="1"/>
  <c r="G8" i="57"/>
  <c r="A110" i="2" l="1"/>
  <c r="G9" i="57"/>
  <c r="A111" i="2" l="1"/>
  <c r="G10" i="57"/>
  <c r="A112" i="2" l="1"/>
  <c r="G11" i="57"/>
  <c r="A113" i="2" l="1"/>
  <c r="G12" i="57"/>
  <c r="A114" i="2" l="1"/>
  <c r="G13" i="57"/>
  <c r="A115" i="2" l="1"/>
  <c r="G14" i="57"/>
  <c r="A116" i="2" l="1"/>
  <c r="G15" i="57"/>
  <c r="A117" i="2" l="1"/>
  <c r="G16" i="57"/>
  <c r="A118" i="2" l="1"/>
  <c r="G17" i="57"/>
  <c r="A119" i="2" l="1"/>
  <c r="G18" i="57"/>
  <c r="A120" i="2" l="1"/>
  <c r="G19" i="57"/>
  <c r="A121" i="2" l="1"/>
  <c r="G20" i="57"/>
  <c r="A122" i="2" l="1"/>
  <c r="G21" i="57"/>
  <c r="A123" i="2" l="1"/>
  <c r="G22" i="57"/>
  <c r="A124" i="2" l="1"/>
  <c r="G23" i="57"/>
  <c r="A125" i="2" l="1"/>
  <c r="G24" i="57"/>
  <c r="A126" i="2" l="1"/>
  <c r="G25" i="57"/>
  <c r="A127" i="2" l="1"/>
  <c r="G26" i="57"/>
  <c r="A128" i="2" l="1"/>
  <c r="G27" i="57"/>
  <c r="A129" i="2" l="1"/>
  <c r="G28" i="57"/>
  <c r="A130" i="2" l="1"/>
  <c r="G29" i="57"/>
  <c r="A131" i="2" l="1"/>
  <c r="G30" i="57"/>
  <c r="A132" i="2" l="1"/>
  <c r="G31" i="57"/>
  <c r="A133" i="2" l="1"/>
  <c r="G32" i="57"/>
  <c r="A134" i="2" l="1"/>
  <c r="G33" i="57"/>
  <c r="A135" i="2" l="1"/>
  <c r="G34" i="57"/>
  <c r="A136" i="2" l="1"/>
  <c r="G35" i="57"/>
  <c r="A137" i="2" l="1"/>
  <c r="G36" i="57"/>
  <c r="A138" i="2" l="1"/>
  <c r="G37" i="57"/>
  <c r="A139" i="2" l="1"/>
  <c r="G38" i="57"/>
  <c r="A140" i="2" l="1"/>
  <c r="G39" i="57"/>
  <c r="A141" i="2" l="1"/>
  <c r="G40" i="57"/>
  <c r="A142" i="2" l="1"/>
  <c r="G41" i="57"/>
  <c r="A143" i="2" l="1"/>
  <c r="G42" i="57"/>
  <c r="A144" i="2" l="1"/>
  <c r="G43" i="57"/>
  <c r="A145" i="2" l="1"/>
  <c r="G44" i="57"/>
  <c r="A146" i="2" l="1"/>
  <c r="G45" i="57"/>
  <c r="A147" i="2" l="1"/>
  <c r="G46" i="57"/>
  <c r="A148" i="2" l="1"/>
  <c r="G47" i="57"/>
  <c r="A149" i="2" l="1"/>
  <c r="G48" i="57"/>
  <c r="A150" i="2" l="1"/>
  <c r="G49" i="57"/>
  <c r="A151" i="2" l="1"/>
  <c r="G50" i="57"/>
  <c r="A152" i="2" l="1"/>
  <c r="G51" i="57"/>
  <c r="A153" i="2" l="1"/>
  <c r="G52" i="57"/>
  <c r="A154" i="2" l="1"/>
  <c r="G53" i="57"/>
  <c r="A155" i="2" l="1"/>
  <c r="G54" i="57"/>
  <c r="A156" i="2" l="1"/>
  <c r="G55" i="57"/>
  <c r="A157" i="2" l="1"/>
  <c r="J6" i="57"/>
  <c r="A158" i="2" l="1"/>
  <c r="J7" i="57"/>
  <c r="A159" i="2" l="1"/>
  <c r="J8" i="57"/>
  <c r="A160" i="2" l="1"/>
  <c r="J9" i="57"/>
  <c r="A161" i="2" l="1"/>
  <c r="J10" i="57"/>
  <c r="A162" i="2" l="1"/>
  <c r="J11" i="57"/>
  <c r="A163" i="2" l="1"/>
  <c r="J12" i="57"/>
  <c r="A164" i="2" l="1"/>
  <c r="J13" i="57"/>
  <c r="A165" i="2" l="1"/>
  <c r="J14" i="57"/>
  <c r="A166" i="2" l="1"/>
  <c r="J15" i="57"/>
  <c r="A167" i="2" l="1"/>
  <c r="J16" i="57"/>
  <c r="A168" i="2" l="1"/>
  <c r="J17" i="57"/>
  <c r="A169" i="2" l="1"/>
  <c r="J18" i="57"/>
  <c r="A170" i="2" l="1"/>
  <c r="J19" i="57"/>
  <c r="A171" i="2" l="1"/>
  <c r="J20" i="57"/>
  <c r="A172" i="2" l="1"/>
  <c r="J21" i="57"/>
  <c r="A173" i="2" l="1"/>
  <c r="J22" i="57"/>
  <c r="A174" i="2" l="1"/>
  <c r="J23" i="57"/>
  <c r="A175" i="2" l="1"/>
  <c r="J24" i="57"/>
  <c r="A176" i="2" l="1"/>
  <c r="J25" i="57"/>
  <c r="A177" i="2" l="1"/>
  <c r="J26" i="57"/>
  <c r="A178" i="2" l="1"/>
  <c r="J27" i="57"/>
  <c r="A179" i="2" l="1"/>
  <c r="J28" i="57"/>
  <c r="A180" i="2" l="1"/>
  <c r="J29" i="57"/>
  <c r="A181" i="2" l="1"/>
  <c r="J30" i="57"/>
  <c r="A182" i="2" l="1"/>
  <c r="J31" i="57"/>
  <c r="A183" i="2" l="1"/>
  <c r="J32" i="57"/>
  <c r="A184" i="2" l="1"/>
  <c r="J33" i="57"/>
  <c r="A185" i="2" l="1"/>
  <c r="J34" i="57"/>
  <c r="A186" i="2" l="1"/>
  <c r="J35" i="57"/>
  <c r="A187" i="2" l="1"/>
  <c r="J36" i="57"/>
  <c r="A188" i="2" l="1"/>
  <c r="J37" i="57"/>
  <c r="A189" i="2" l="1"/>
  <c r="J38" i="57"/>
  <c r="A190" i="2" l="1"/>
  <c r="J39" i="57"/>
  <c r="A191" i="2" l="1"/>
  <c r="J40" i="57"/>
  <c r="A192" i="2" l="1"/>
  <c r="J41" i="57"/>
  <c r="A193" i="2" l="1"/>
  <c r="J42" i="57"/>
  <c r="A194" i="2" l="1"/>
  <c r="J43" i="57"/>
  <c r="A195" i="2" l="1"/>
  <c r="J44" i="57"/>
  <c r="A196" i="2" l="1"/>
  <c r="J45" i="57"/>
  <c r="A197" i="2" l="1"/>
  <c r="J46" i="57"/>
  <c r="A198" i="2" l="1"/>
  <c r="J47" i="57"/>
  <c r="A199" i="2" l="1"/>
  <c r="J48" i="57"/>
  <c r="A200" i="2" l="1"/>
  <c r="J49" i="57"/>
  <c r="A201" i="2" l="1"/>
  <c r="J50" i="57"/>
  <c r="A202" i="2" l="1"/>
  <c r="J51" i="57"/>
  <c r="A203" i="2" l="1"/>
  <c r="J52" i="57"/>
  <c r="A204" i="2" l="1"/>
  <c r="J53" i="57"/>
  <c r="A205" i="2" l="1"/>
  <c r="J54" i="57"/>
  <c r="A206" i="2" l="1"/>
  <c r="J55" i="57"/>
  <c r="A207" i="2" l="1"/>
  <c r="M6" i="57"/>
  <c r="A208" i="2" l="1"/>
  <c r="M7" i="57"/>
  <c r="A209" i="2" l="1"/>
  <c r="M8" i="57"/>
  <c r="A210" i="2" l="1"/>
  <c r="M9" i="57"/>
  <c r="A211" i="2" l="1"/>
  <c r="M10" i="57"/>
  <c r="A212" i="2" l="1"/>
  <c r="M11" i="57"/>
  <c r="A213" i="2" l="1"/>
  <c r="M12" i="57"/>
  <c r="A214" i="2" l="1"/>
  <c r="M13" i="57"/>
  <c r="A215" i="2" l="1"/>
  <c r="M14" i="57"/>
  <c r="A216" i="2" l="1"/>
  <c r="M15" i="57"/>
  <c r="A217" i="2" l="1"/>
  <c r="M16" i="57"/>
  <c r="A218" i="2" l="1"/>
  <c r="M17" i="57"/>
  <c r="A219" i="2" l="1"/>
  <c r="M18" i="57"/>
  <c r="A220" i="2" l="1"/>
  <c r="M19" i="57"/>
  <c r="A221" i="2" l="1"/>
  <c r="M20" i="57"/>
  <c r="A222" i="2" l="1"/>
  <c r="M21" i="57"/>
  <c r="A223" i="2" l="1"/>
  <c r="M22" i="57"/>
  <c r="A224" i="2" l="1"/>
  <c r="M23" i="57"/>
  <c r="A225" i="2" l="1"/>
  <c r="M24" i="57"/>
  <c r="A226" i="2" l="1"/>
  <c r="M25" i="57"/>
  <c r="A227" i="2" l="1"/>
  <c r="M26" i="57"/>
  <c r="A228" i="2" l="1"/>
  <c r="M27" i="57"/>
  <c r="A229" i="2" l="1"/>
  <c r="M28" i="57"/>
  <c r="A230" i="2" l="1"/>
  <c r="M29" i="57"/>
  <c r="A231" i="2" l="1"/>
  <c r="M30" i="57"/>
  <c r="A232" i="2" l="1"/>
  <c r="M31" i="57"/>
  <c r="A233" i="2" l="1"/>
  <c r="M32" i="57"/>
  <c r="A234" i="2" l="1"/>
  <c r="M33" i="57"/>
  <c r="A235" i="2" l="1"/>
  <c r="M34" i="57"/>
  <c r="A236" i="2" l="1"/>
  <c r="M35" i="57"/>
  <c r="A237" i="2" l="1"/>
  <c r="M36" i="57"/>
  <c r="A238" i="2" l="1"/>
  <c r="M37" i="57"/>
  <c r="A239" i="2" l="1"/>
  <c r="M38" i="57"/>
  <c r="A240" i="2" l="1"/>
  <c r="M39" i="57"/>
  <c r="A241" i="2" l="1"/>
  <c r="M40" i="57"/>
  <c r="A242" i="2" l="1"/>
  <c r="M41" i="57"/>
  <c r="A243" i="2" l="1"/>
  <c r="M42" i="57"/>
  <c r="A244" i="2" l="1"/>
  <c r="M43" i="57"/>
  <c r="A245" i="2" l="1"/>
  <c r="M44" i="57"/>
  <c r="A246" i="2" l="1"/>
  <c r="M45" i="57"/>
  <c r="A247" i="2" l="1"/>
  <c r="M46" i="57"/>
  <c r="A248" i="2" l="1"/>
  <c r="M47" i="57"/>
  <c r="A249" i="2" l="1"/>
  <c r="M48" i="57"/>
  <c r="A250" i="2" l="1"/>
  <c r="M49" i="57"/>
  <c r="A251" i="2" l="1"/>
  <c r="M50" i="57"/>
  <c r="A252" i="2" l="1"/>
  <c r="M51" i="57"/>
  <c r="A253" i="2" l="1"/>
  <c r="M52" i="57"/>
  <c r="A254" i="2" l="1"/>
  <c r="M53" i="57"/>
  <c r="A255" i="2" l="1"/>
  <c r="M54" i="57"/>
  <c r="A256" i="2" l="1"/>
  <c r="M55" i="57"/>
  <c r="A257" i="2" l="1"/>
  <c r="P6" i="57"/>
  <c r="A258" i="2" l="1"/>
  <c r="P7" i="57"/>
  <c r="A259" i="2" l="1"/>
  <c r="P8" i="57"/>
  <c r="A260" i="2" l="1"/>
  <c r="P9" i="57"/>
  <c r="A261" i="2" l="1"/>
  <c r="P10" i="57"/>
  <c r="A262" i="2" l="1"/>
  <c r="P11" i="57"/>
  <c r="A263" i="2" l="1"/>
  <c r="P12" i="57"/>
  <c r="A264" i="2" l="1"/>
  <c r="P13" i="57"/>
  <c r="A265" i="2" l="1"/>
  <c r="P14" i="57"/>
  <c r="A266" i="2" l="1"/>
  <c r="P15" i="57"/>
  <c r="A267" i="2" l="1"/>
  <c r="P16" i="57"/>
  <c r="A268" i="2" l="1"/>
  <c r="P17" i="57"/>
  <c r="A269" i="2" l="1"/>
  <c r="P18" i="57"/>
  <c r="A270" i="2" l="1"/>
  <c r="P19" i="57"/>
  <c r="A271" i="2" l="1"/>
  <c r="P20" i="57"/>
  <c r="A272" i="2" l="1"/>
  <c r="P21" i="57"/>
  <c r="A273" i="2" l="1"/>
  <c r="P22" i="57"/>
  <c r="A274" i="2" l="1"/>
  <c r="P23" i="57"/>
  <c r="A275" i="2" l="1"/>
  <c r="P24" i="57"/>
  <c r="A276" i="2" l="1"/>
  <c r="P25" i="57"/>
  <c r="A277" i="2" l="1"/>
  <c r="P26" i="57"/>
  <c r="A278" i="2" l="1"/>
  <c r="P27" i="57"/>
  <c r="A279" i="2" l="1"/>
  <c r="P28" i="57"/>
  <c r="A280" i="2" l="1"/>
  <c r="P29" i="57"/>
  <c r="A281" i="2" l="1"/>
  <c r="P30" i="57"/>
  <c r="A282" i="2" l="1"/>
  <c r="P31" i="57"/>
  <c r="A283" i="2" l="1"/>
  <c r="P32" i="57"/>
  <c r="A284" i="2" l="1"/>
  <c r="P33" i="57"/>
  <c r="A285" i="2" l="1"/>
  <c r="P34" i="57"/>
  <c r="A286" i="2" l="1"/>
  <c r="P35" i="57"/>
  <c r="A287" i="2" l="1"/>
  <c r="P36" i="57"/>
  <c r="A288" i="2" l="1"/>
  <c r="P37" i="57"/>
  <c r="A289" i="2" l="1"/>
  <c r="P38" i="57"/>
  <c r="A290" i="2" l="1"/>
  <c r="P39" i="57"/>
  <c r="A291" i="2" l="1"/>
  <c r="P40" i="57"/>
  <c r="A292" i="2" l="1"/>
  <c r="P41" i="57"/>
  <c r="A293" i="2" l="1"/>
  <c r="P42" i="57"/>
  <c r="A294" i="2" l="1"/>
  <c r="P43" i="57"/>
  <c r="A295" i="2" l="1"/>
  <c r="P44" i="57"/>
  <c r="A296" i="2" l="1"/>
  <c r="P45" i="57"/>
  <c r="A297" i="2" l="1"/>
  <c r="P46" i="57"/>
  <c r="A298" i="2" l="1"/>
  <c r="P47" i="57"/>
  <c r="A299" i="2" l="1"/>
  <c r="P48" i="57"/>
  <c r="A300" i="2" l="1"/>
  <c r="P49" i="57"/>
  <c r="A301" i="2" l="1"/>
  <c r="P50" i="57"/>
  <c r="A302" i="2" l="1"/>
  <c r="P51" i="57"/>
  <c r="A303" i="2" l="1"/>
  <c r="P52" i="57"/>
  <c r="A304" i="2" l="1"/>
  <c r="P53" i="57"/>
  <c r="A305" i="2" l="1"/>
  <c r="P54" i="57"/>
  <c r="A306" i="2" l="1"/>
  <c r="P55" i="57"/>
  <c r="A307" i="2" l="1"/>
  <c r="S6" i="57"/>
  <c r="A308" i="2" l="1"/>
  <c r="S7" i="57"/>
  <c r="A309" i="2" l="1"/>
  <c r="S8" i="57"/>
  <c r="A310" i="2" l="1"/>
  <c r="S9" i="57"/>
  <c r="A311" i="2" l="1"/>
  <c r="S10" i="57"/>
  <c r="A312" i="2" l="1"/>
  <c r="S11" i="57"/>
  <c r="A313" i="2" l="1"/>
  <c r="S12" i="57"/>
  <c r="A314" i="2" l="1"/>
  <c r="S13" i="57"/>
  <c r="A315" i="2" l="1"/>
  <c r="S14" i="57"/>
  <c r="A316" i="2" l="1"/>
  <c r="S15" i="57"/>
  <c r="A317" i="2" l="1"/>
  <c r="S16" i="57"/>
  <c r="A318" i="2" l="1"/>
  <c r="S17" i="57"/>
  <c r="A319" i="2" l="1"/>
  <c r="S18" i="57"/>
  <c r="A320" i="2" l="1"/>
  <c r="S19" i="57"/>
  <c r="A321" i="2" l="1"/>
  <c r="S20" i="57"/>
  <c r="A322" i="2" l="1"/>
  <c r="S21" i="57"/>
  <c r="A323" i="2" l="1"/>
  <c r="S22" i="57"/>
  <c r="A324" i="2" l="1"/>
  <c r="S23" i="57"/>
  <c r="A325" i="2" l="1"/>
  <c r="S24" i="57"/>
  <c r="A326" i="2" l="1"/>
  <c r="S25" i="57"/>
  <c r="A327" i="2" l="1"/>
  <c r="S26" i="57"/>
  <c r="A328" i="2" l="1"/>
  <c r="S27" i="57"/>
  <c r="A329" i="2" l="1"/>
  <c r="S28" i="57"/>
  <c r="A330" i="2" l="1"/>
  <c r="S29" i="57"/>
  <c r="A331" i="2" l="1"/>
  <c r="S30" i="57"/>
  <c r="A332" i="2" l="1"/>
  <c r="S31" i="57"/>
  <c r="A333" i="2" l="1"/>
  <c r="S32" i="57"/>
  <c r="A334" i="2" l="1"/>
  <c r="S33" i="57"/>
  <c r="A335" i="2" l="1"/>
  <c r="S34" i="57"/>
  <c r="A336" i="2" l="1"/>
  <c r="S35" i="57"/>
  <c r="A337" i="2" l="1"/>
  <c r="S36" i="57"/>
  <c r="A338" i="2" l="1"/>
  <c r="S37" i="57"/>
  <c r="A339" i="2" l="1"/>
  <c r="S38" i="57"/>
  <c r="A340" i="2" l="1"/>
  <c r="S39" i="57"/>
  <c r="A341" i="2" l="1"/>
  <c r="S40" i="57"/>
  <c r="A342" i="2" l="1"/>
  <c r="S41" i="57"/>
  <c r="A343" i="2" l="1"/>
  <c r="S42" i="57"/>
  <c r="A344" i="2" l="1"/>
  <c r="S43" i="57"/>
  <c r="A345" i="2" l="1"/>
  <c r="S44" i="57"/>
  <c r="A346" i="2" l="1"/>
  <c r="S45" i="57"/>
  <c r="A347" i="2" l="1"/>
  <c r="S46" i="57"/>
  <c r="A348" i="2" l="1"/>
  <c r="S47" i="57"/>
  <c r="A349" i="2" l="1"/>
  <c r="S48" i="57"/>
  <c r="A350" i="2" l="1"/>
  <c r="S49" i="57"/>
  <c r="A351" i="2" l="1"/>
  <c r="S50" i="57"/>
  <c r="A352" i="2" l="1"/>
  <c r="S51" i="57"/>
  <c r="A353" i="2" l="1"/>
  <c r="S52" i="57"/>
  <c r="A354" i="2" l="1"/>
  <c r="S53" i="57"/>
  <c r="A355" i="2" l="1"/>
  <c r="S54" i="57"/>
  <c r="A356" i="2" l="1"/>
  <c r="S55" i="57"/>
  <c r="A357" i="2" l="1"/>
  <c r="V6" i="57"/>
  <c r="A358" i="2" l="1"/>
  <c r="V7" i="57"/>
  <c r="A359" i="2" l="1"/>
  <c r="V8" i="57"/>
  <c r="A360" i="2" l="1"/>
  <c r="V9" i="57"/>
  <c r="A361" i="2" l="1"/>
  <c r="V10" i="57"/>
  <c r="A362" i="2" l="1"/>
  <c r="V11" i="57"/>
  <c r="A363" i="2" l="1"/>
  <c r="V12" i="57"/>
  <c r="A364" i="2" l="1"/>
  <c r="V13" i="57"/>
  <c r="A365" i="2" l="1"/>
  <c r="V14" i="57"/>
  <c r="A366" i="2" l="1"/>
  <c r="V15" i="57"/>
  <c r="A367" i="2" l="1"/>
  <c r="V16" i="57"/>
  <c r="A368" i="2" l="1"/>
  <c r="V17" i="57"/>
  <c r="A369" i="2" l="1"/>
  <c r="V18" i="57"/>
  <c r="A370" i="2" l="1"/>
  <c r="V19" i="57"/>
  <c r="X15" i="82" l="1"/>
  <c r="X16" i="82"/>
  <c r="X17" i="82"/>
  <c r="X18" i="82"/>
  <c r="X19" i="82"/>
  <c r="X33" i="126"/>
  <c r="X39" i="109"/>
  <c r="X30" i="132"/>
  <c r="X44" i="109"/>
  <c r="X36" i="109"/>
  <c r="X35" i="109"/>
  <c r="X41" i="126"/>
  <c r="X32" i="126"/>
  <c r="X38" i="109"/>
  <c r="X30" i="126"/>
  <c r="X38" i="126"/>
  <c r="X31" i="109"/>
  <c r="X35" i="126"/>
  <c r="X43" i="109"/>
  <c r="X42" i="109"/>
  <c r="X43" i="126"/>
  <c r="X42" i="126"/>
  <c r="X32" i="109"/>
  <c r="X40" i="126"/>
  <c r="X30" i="127"/>
  <c r="X30" i="128"/>
  <c r="X31" i="122"/>
  <c r="X31" i="113"/>
  <c r="X34" i="118"/>
  <c r="X32" i="113"/>
  <c r="X31" i="130"/>
  <c r="X33" i="118"/>
  <c r="X30" i="118"/>
  <c r="X31" i="117"/>
  <c r="X36" i="126"/>
  <c r="X31" i="110"/>
  <c r="X32" i="119"/>
  <c r="X40" i="109"/>
  <c r="X31" i="111"/>
  <c r="X32" i="123"/>
  <c r="X30" i="131"/>
  <c r="X33" i="130"/>
  <c r="X30" i="111"/>
  <c r="X33" i="113"/>
  <c r="X31" i="126"/>
  <c r="X32" i="122"/>
  <c r="X34" i="126"/>
  <c r="X34" i="109"/>
  <c r="X30" i="117"/>
  <c r="X30" i="119"/>
  <c r="X32" i="111"/>
  <c r="X32" i="130"/>
  <c r="X32" i="131"/>
  <c r="X33" i="119"/>
  <c r="X30" i="130"/>
  <c r="X32" i="124"/>
  <c r="X30" i="109"/>
  <c r="X39" i="126"/>
  <c r="X31" i="119"/>
  <c r="X41" i="109"/>
  <c r="X30" i="116"/>
  <c r="X33" i="131"/>
  <c r="X31" i="133"/>
  <c r="X31" i="128"/>
  <c r="X33" i="109"/>
  <c r="X33" i="129"/>
  <c r="X32" i="116"/>
  <c r="X31" i="121"/>
  <c r="X33" i="128"/>
  <c r="X31" i="129"/>
  <c r="X30" i="123"/>
  <c r="X30" i="115"/>
  <c r="X31" i="131"/>
  <c r="X34" i="111"/>
  <c r="X31" i="124"/>
  <c r="X34" i="131"/>
  <c r="X31" i="123"/>
  <c r="X34" i="119"/>
  <c r="X33" i="111"/>
  <c r="X30" i="113"/>
  <c r="X44" i="126"/>
  <c r="X33" i="123"/>
  <c r="X30" i="114"/>
  <c r="X33" i="122"/>
  <c r="X31" i="116"/>
  <c r="X34" i="124"/>
  <c r="X30" i="129"/>
  <c r="X35" i="111"/>
  <c r="X35" i="124"/>
  <c r="X30" i="110"/>
  <c r="X30" i="124"/>
  <c r="X30" i="122"/>
  <c r="X30" i="121"/>
  <c r="X30" i="125"/>
  <c r="X30" i="133"/>
  <c r="X33" i="124"/>
  <c r="X35" i="131"/>
  <c r="X32" i="121"/>
  <c r="X31" i="132"/>
  <c r="X33" i="116"/>
  <c r="X31" i="114"/>
  <c r="X35" i="119"/>
  <c r="X34" i="130"/>
  <c r="X34" i="129"/>
  <c r="X35" i="129"/>
  <c r="X35" i="118"/>
  <c r="X32" i="117"/>
  <c r="X32" i="110"/>
  <c r="X31" i="127"/>
  <c r="X36" i="124"/>
  <c r="X32" i="118"/>
  <c r="X31" i="118"/>
  <c r="X35" i="113"/>
  <c r="X36" i="119"/>
  <c r="X32" i="114"/>
  <c r="X36" i="118"/>
  <c r="X33" i="133"/>
  <c r="X34" i="123"/>
  <c r="X36" i="131"/>
  <c r="X32" i="132"/>
  <c r="X31" i="125"/>
  <c r="X35" i="130"/>
  <c r="X32" i="128"/>
  <c r="X33" i="110"/>
  <c r="X36" i="113"/>
  <c r="X35" i="123"/>
  <c r="X36" i="129"/>
  <c r="X34" i="113"/>
  <c r="X34" i="116"/>
  <c r="X34" i="133"/>
  <c r="X32" i="129"/>
  <c r="X36" i="111"/>
  <c r="X38" i="129"/>
  <c r="X33" i="121"/>
  <c r="X33" i="117"/>
  <c r="X38" i="119"/>
  <c r="X31" i="115"/>
  <c r="X31" i="120"/>
  <c r="X33" i="115"/>
  <c r="X36" i="130"/>
  <c r="X30" i="120"/>
  <c r="X33" i="114"/>
  <c r="X38" i="111"/>
  <c r="X38" i="131"/>
  <c r="X32" i="127"/>
  <c r="X34" i="121"/>
  <c r="X38" i="113"/>
  <c r="X32" i="115"/>
  <c r="X34" i="117"/>
  <c r="X33" i="132"/>
  <c r="X39" i="131"/>
  <c r="X38" i="124"/>
  <c r="X35" i="116"/>
  <c r="X38" i="130"/>
  <c r="X36" i="116"/>
  <c r="X33" i="127"/>
  <c r="X38" i="118"/>
  <c r="X32" i="125"/>
  <c r="X33" i="125"/>
  <c r="X34" i="132"/>
  <c r="X35" i="117"/>
  <c r="X35" i="122"/>
  <c r="X34" i="128"/>
  <c r="X34" i="114"/>
  <c r="X36" i="123"/>
  <c r="X34" i="125"/>
  <c r="X34" i="122"/>
  <c r="X36" i="133"/>
  <c r="X40" i="119"/>
  <c r="X39" i="113"/>
  <c r="X39" i="124"/>
  <c r="X39" i="129"/>
  <c r="X39" i="122"/>
  <c r="X34" i="127"/>
  <c r="X35" i="114"/>
  <c r="X39" i="123"/>
  <c r="X33" i="120"/>
  <c r="X35" i="133"/>
  <c r="X36" i="117"/>
  <c r="X35" i="128"/>
  <c r="X39" i="130"/>
  <c r="X36" i="128"/>
  <c r="X39" i="118"/>
  <c r="X35" i="132"/>
  <c r="X36" i="122"/>
  <c r="X40" i="118"/>
  <c r="X38" i="128"/>
  <c r="X34" i="110"/>
  <c r="X38" i="122"/>
  <c r="X34" i="115"/>
  <c r="X40" i="124"/>
  <c r="X39" i="119"/>
  <c r="X35" i="121"/>
  <c r="X40" i="111"/>
  <c r="X41" i="130"/>
  <c r="X38" i="123"/>
  <c r="X39" i="111"/>
  <c r="X35" i="115"/>
  <c r="X38" i="133"/>
  <c r="X32" i="120"/>
  <c r="X39" i="116"/>
  <c r="X36" i="114"/>
  <c r="X40" i="131"/>
  <c r="X40" i="123"/>
  <c r="X38" i="116"/>
  <c r="X39" i="133"/>
  <c r="X36" i="121"/>
  <c r="X41" i="118"/>
  <c r="X36" i="110"/>
  <c r="X36" i="132"/>
  <c r="X38" i="127"/>
  <c r="X42" i="131"/>
  <c r="X34" i="120"/>
  <c r="X40" i="113"/>
  <c r="X40" i="130"/>
  <c r="X41" i="111"/>
  <c r="X39" i="121"/>
  <c r="X43" i="123"/>
  <c r="X42" i="124"/>
  <c r="X40" i="133"/>
  <c r="X40" i="116"/>
  <c r="X36" i="127"/>
  <c r="X42" i="113"/>
  <c r="X35" i="125"/>
  <c r="X42" i="111"/>
  <c r="X35" i="127"/>
  <c r="X35" i="120"/>
  <c r="X36" i="125"/>
  <c r="X40" i="129"/>
  <c r="X41" i="131"/>
  <c r="X42" i="130"/>
  <c r="X42" i="118"/>
  <c r="X41" i="113"/>
  <c r="X35" i="110"/>
  <c r="X40" i="117"/>
  <c r="X38" i="132"/>
  <c r="X38" i="121"/>
  <c r="X39" i="114"/>
  <c r="X38" i="110"/>
  <c r="X41" i="119"/>
  <c r="X38" i="117"/>
  <c r="X41" i="124"/>
  <c r="X41" i="123"/>
  <c r="X38" i="114"/>
  <c r="X44" i="124"/>
  <c r="X43" i="124"/>
  <c r="X44" i="111"/>
  <c r="X41" i="122"/>
  <c r="X39" i="110"/>
  <c r="X43" i="131"/>
  <c r="X44" i="131"/>
  <c r="X40" i="128"/>
  <c r="X44" i="129"/>
  <c r="X41" i="129"/>
  <c r="X39" i="132"/>
  <c r="X39" i="128"/>
  <c r="X41" i="116"/>
  <c r="X42" i="129"/>
  <c r="X39" i="127"/>
  <c r="X36" i="115"/>
  <c r="X43" i="118"/>
  <c r="X38" i="120"/>
  <c r="X44" i="130"/>
  <c r="X41" i="121"/>
  <c r="X42" i="123"/>
  <c r="X40" i="121"/>
  <c r="X42" i="122"/>
  <c r="X41" i="133"/>
  <c r="X44" i="119"/>
  <c r="X42" i="119"/>
  <c r="X39" i="117"/>
  <c r="X43" i="111"/>
  <c r="X43" i="130"/>
  <c r="X43" i="128"/>
  <c r="X38" i="125"/>
  <c r="X44" i="118"/>
  <c r="X40" i="132"/>
  <c r="X40" i="115"/>
  <c r="X42" i="117"/>
  <c r="X42" i="110"/>
  <c r="X40" i="110"/>
  <c r="X43" i="129"/>
  <c r="X39" i="120"/>
  <c r="X38" i="115"/>
  <c r="X40" i="127"/>
  <c r="X41" i="114"/>
  <c r="X40" i="122"/>
  <c r="X41" i="132"/>
  <c r="X43" i="113"/>
  <c r="X44" i="123"/>
  <c r="X39" i="115"/>
  <c r="X44" i="113"/>
  <c r="X39" i="125"/>
  <c r="X36" i="120"/>
  <c r="X40" i="114"/>
  <c r="X40" i="125"/>
  <c r="X44" i="122"/>
  <c r="X42" i="128"/>
  <c r="X41" i="110"/>
  <c r="X44" i="121"/>
  <c r="X41" i="125"/>
  <c r="X41" i="128"/>
  <c r="X43" i="119"/>
  <c r="X42" i="116"/>
  <c r="X43" i="116"/>
  <c r="X41" i="117"/>
  <c r="X41" i="127"/>
  <c r="X42" i="121"/>
  <c r="X42" i="127"/>
  <c r="X44" i="133"/>
  <c r="X42" i="132"/>
  <c r="X40" i="120"/>
  <c r="X43" i="117"/>
  <c r="X42" i="133"/>
  <c r="X43" i="121"/>
  <c r="X43" i="122"/>
  <c r="X42" i="120"/>
  <c r="X44" i="117"/>
  <c r="X43" i="133"/>
  <c r="X42" i="114"/>
  <c r="X43" i="127"/>
  <c r="X42" i="115"/>
  <c r="X43" i="110"/>
  <c r="X41" i="115"/>
  <c r="X42" i="125"/>
  <c r="X44" i="132"/>
  <c r="X44" i="114"/>
  <c r="X41" i="120"/>
  <c r="X44" i="127"/>
  <c r="X44" i="128"/>
  <c r="X44" i="116"/>
  <c r="X44" i="125"/>
  <c r="X43" i="120"/>
  <c r="X43" i="114"/>
  <c r="X44" i="110"/>
  <c r="X44" i="120"/>
  <c r="X43" i="115"/>
  <c r="X44" i="115"/>
  <c r="X43" i="125"/>
  <c r="X43" i="132"/>
  <c r="X14" i="82"/>
  <c r="X20" i="82"/>
  <c r="X24" i="82"/>
  <c r="X34" i="82"/>
  <c r="X43" i="82"/>
  <c r="X32" i="82"/>
  <c r="X35" i="82"/>
  <c r="X31" i="82"/>
  <c r="X22" i="82"/>
  <c r="X38" i="82"/>
  <c r="X39" i="82"/>
  <c r="X28" i="82"/>
  <c r="X33" i="82"/>
  <c r="X23" i="82"/>
  <c r="X41" i="82"/>
  <c r="X25" i="82"/>
  <c r="X26" i="82"/>
  <c r="X27" i="82"/>
  <c r="X40" i="82"/>
  <c r="X30" i="82"/>
  <c r="X42" i="82"/>
  <c r="X44" i="82"/>
  <c r="X36" i="82"/>
  <c r="A371" i="2"/>
  <c r="V20" i="57"/>
  <c r="X18" i="109" l="1"/>
  <c r="R18" i="109" s="1"/>
  <c r="X15" i="109"/>
  <c r="X16" i="109"/>
  <c r="X17" i="109"/>
  <c r="P17" i="82"/>
  <c r="R17" i="82"/>
  <c r="P16" i="82"/>
  <c r="R16" i="82"/>
  <c r="R15" i="82"/>
  <c r="P15" i="82"/>
  <c r="P18" i="109"/>
  <c r="R19" i="82"/>
  <c r="P19" i="82"/>
  <c r="R18" i="82"/>
  <c r="P18" i="82"/>
  <c r="R44" i="110"/>
  <c r="P44" i="110"/>
  <c r="P42" i="132"/>
  <c r="R42" i="132"/>
  <c r="P40" i="122"/>
  <c r="R40" i="122"/>
  <c r="R44" i="130"/>
  <c r="P44" i="130"/>
  <c r="P38" i="110"/>
  <c r="R38" i="110"/>
  <c r="P40" i="130"/>
  <c r="R40" i="130"/>
  <c r="R39" i="111"/>
  <c r="P39" i="111"/>
  <c r="P34" i="122"/>
  <c r="R34" i="122"/>
  <c r="P36" i="116"/>
  <c r="R36" i="116"/>
  <c r="P38" i="111"/>
  <c r="R38" i="111"/>
  <c r="P31" i="115"/>
  <c r="R31" i="115"/>
  <c r="P36" i="131"/>
  <c r="R36" i="131"/>
  <c r="R32" i="117"/>
  <c r="P32" i="117"/>
  <c r="P30" i="133"/>
  <c r="R30" i="133"/>
  <c r="P30" i="114"/>
  <c r="R30" i="114"/>
  <c r="R30" i="123"/>
  <c r="P30" i="123"/>
  <c r="R32" i="131"/>
  <c r="P32" i="131"/>
  <c r="P34" i="126"/>
  <c r="R34" i="126"/>
  <c r="R36" i="126"/>
  <c r="P36" i="126"/>
  <c r="P34" i="118"/>
  <c r="R34" i="118"/>
  <c r="R31" i="109"/>
  <c r="P35" i="109"/>
  <c r="R35" i="109"/>
  <c r="X16" i="126"/>
  <c r="X19" i="109"/>
  <c r="X22" i="109"/>
  <c r="X22" i="126"/>
  <c r="X25" i="126"/>
  <c r="X26" i="126"/>
  <c r="X28" i="109"/>
  <c r="X26" i="109"/>
  <c r="P26" i="109" s="1"/>
  <c r="X20" i="109"/>
  <c r="X23" i="126"/>
  <c r="X28" i="126"/>
  <c r="X14" i="126"/>
  <c r="X25" i="109"/>
  <c r="X14" i="109"/>
  <c r="X17" i="126"/>
  <c r="X20" i="126"/>
  <c r="X27" i="126"/>
  <c r="X20" i="132"/>
  <c r="X26" i="118"/>
  <c r="X28" i="117"/>
  <c r="X24" i="114"/>
  <c r="X27" i="109"/>
  <c r="X27" i="113"/>
  <c r="X22" i="132"/>
  <c r="X22" i="130"/>
  <c r="X24" i="130"/>
  <c r="X19" i="122"/>
  <c r="X20" i="124"/>
  <c r="X17" i="121"/>
  <c r="X24" i="109"/>
  <c r="X26" i="130"/>
  <c r="X16" i="133"/>
  <c r="X22" i="113"/>
  <c r="X22" i="125"/>
  <c r="X28" i="132"/>
  <c r="X20" i="114"/>
  <c r="X16" i="117"/>
  <c r="X26" i="115"/>
  <c r="X20" i="119"/>
  <c r="X15" i="113"/>
  <c r="X17" i="116"/>
  <c r="X27" i="132"/>
  <c r="X18" i="127"/>
  <c r="X25" i="131"/>
  <c r="X14" i="111"/>
  <c r="X27" i="114"/>
  <c r="X23" i="111"/>
  <c r="X28" i="123"/>
  <c r="X27" i="122"/>
  <c r="X16" i="128"/>
  <c r="X20" i="118"/>
  <c r="X17" i="131"/>
  <c r="X15" i="115"/>
  <c r="X15" i="130"/>
  <c r="X19" i="120"/>
  <c r="X23" i="131"/>
  <c r="X16" i="111"/>
  <c r="X14" i="122"/>
  <c r="X27" i="127"/>
  <c r="X22" i="115"/>
  <c r="X19" i="127"/>
  <c r="X19" i="117"/>
  <c r="X24" i="120"/>
  <c r="X23" i="127"/>
  <c r="X18" i="124"/>
  <c r="X25" i="128"/>
  <c r="X24" i="116"/>
  <c r="X19" i="125"/>
  <c r="X26" i="128"/>
  <c r="X23" i="124"/>
  <c r="X32" i="133"/>
  <c r="X23" i="113"/>
  <c r="X26" i="117"/>
  <c r="X19" i="129"/>
  <c r="X22" i="127"/>
  <c r="X19" i="131"/>
  <c r="X18" i="119"/>
  <c r="X19" i="123"/>
  <c r="X16" i="114"/>
  <c r="X28" i="119"/>
  <c r="X26" i="122"/>
  <c r="X25" i="116"/>
  <c r="X18" i="126"/>
  <c r="X17" i="122"/>
  <c r="X17" i="129"/>
  <c r="X22" i="118"/>
  <c r="X25" i="119"/>
  <c r="X28" i="116"/>
  <c r="X16" i="125"/>
  <c r="X17" i="111"/>
  <c r="X14" i="130"/>
  <c r="X23" i="128"/>
  <c r="X24" i="125"/>
  <c r="X17" i="133"/>
  <c r="X22" i="117"/>
  <c r="X27" i="133"/>
  <c r="X27" i="118"/>
  <c r="X27" i="129"/>
  <c r="X18" i="122"/>
  <c r="X16" i="123"/>
  <c r="X22" i="114"/>
  <c r="X20" i="113"/>
  <c r="X20" i="122"/>
  <c r="X18" i="121"/>
  <c r="X14" i="121"/>
  <c r="X17" i="132"/>
  <c r="X17" i="127"/>
  <c r="X15" i="119"/>
  <c r="X14" i="129"/>
  <c r="X14" i="120"/>
  <c r="X22" i="124"/>
  <c r="X20" i="127"/>
  <c r="X15" i="125"/>
  <c r="X23" i="132"/>
  <c r="X18" i="129"/>
  <c r="X22" i="128"/>
  <c r="X26" i="120"/>
  <c r="X26" i="129"/>
  <c r="X24" i="123"/>
  <c r="X15" i="121"/>
  <c r="X18" i="128"/>
  <c r="X14" i="119"/>
  <c r="X20" i="121"/>
  <c r="X22" i="129"/>
  <c r="X14" i="118"/>
  <c r="X20" i="120"/>
  <c r="X16" i="121"/>
  <c r="X23" i="129"/>
  <c r="X14" i="125"/>
  <c r="X19" i="110"/>
  <c r="X16" i="118"/>
  <c r="X26" i="119"/>
  <c r="X28" i="114"/>
  <c r="X19" i="114"/>
  <c r="X26" i="127"/>
  <c r="X27" i="124"/>
  <c r="X28" i="111"/>
  <c r="X20" i="116"/>
  <c r="X19" i="126"/>
  <c r="X14" i="116"/>
  <c r="X19" i="115"/>
  <c r="X16" i="113"/>
  <c r="X24" i="124"/>
  <c r="X23" i="120"/>
  <c r="X25" i="123"/>
  <c r="X28" i="113"/>
  <c r="X23" i="115"/>
  <c r="X28" i="122"/>
  <c r="X17" i="130"/>
  <c r="X15" i="131"/>
  <c r="X28" i="110"/>
  <c r="X23" i="109"/>
  <c r="X15" i="118"/>
  <c r="X28" i="130"/>
  <c r="X18" i="123"/>
  <c r="X28" i="133"/>
  <c r="X25" i="113"/>
  <c r="X20" i="110"/>
  <c r="X18" i="110"/>
  <c r="X17" i="124"/>
  <c r="X16" i="127"/>
  <c r="X19" i="113"/>
  <c r="X23" i="133"/>
  <c r="X24" i="115"/>
  <c r="X26" i="113"/>
  <c r="X25" i="125"/>
  <c r="X23" i="118"/>
  <c r="X24" i="126"/>
  <c r="X18" i="131"/>
  <c r="X16" i="119"/>
  <c r="X26" i="124"/>
  <c r="X24" i="127"/>
  <c r="X22" i="111"/>
  <c r="X23" i="119"/>
  <c r="X17" i="115"/>
  <c r="X26" i="110"/>
  <c r="X25" i="118"/>
  <c r="X19" i="132"/>
  <c r="X16" i="122"/>
  <c r="X28" i="125"/>
  <c r="X24" i="110"/>
  <c r="X27" i="117"/>
  <c r="X15" i="123"/>
  <c r="X25" i="115"/>
  <c r="X15" i="122"/>
  <c r="X17" i="110"/>
  <c r="X16" i="130"/>
  <c r="X25" i="124"/>
  <c r="X15" i="133"/>
  <c r="X22" i="120"/>
  <c r="X17" i="125"/>
  <c r="X15" i="124"/>
  <c r="X24" i="133"/>
  <c r="X20" i="129"/>
  <c r="X16" i="132"/>
  <c r="X17" i="113"/>
  <c r="X14" i="115"/>
  <c r="X27" i="123"/>
  <c r="X23" i="121"/>
  <c r="X17" i="123"/>
  <c r="X24" i="117"/>
  <c r="X15" i="116"/>
  <c r="X17" i="118"/>
  <c r="X28" i="128"/>
  <c r="X27" i="111"/>
  <c r="X17" i="117"/>
  <c r="X26" i="132"/>
  <c r="X14" i="117"/>
  <c r="X14" i="113"/>
  <c r="X25" i="132"/>
  <c r="X25" i="117"/>
  <c r="X19" i="128"/>
  <c r="X26" i="111"/>
  <c r="X20" i="130"/>
  <c r="X15" i="114"/>
  <c r="X24" i="121"/>
  <c r="X27" i="119"/>
  <c r="X16" i="129"/>
  <c r="X25" i="121"/>
  <c r="X16" i="131"/>
  <c r="X28" i="121"/>
  <c r="X15" i="127"/>
  <c r="X19" i="111"/>
  <c r="X14" i="131"/>
  <c r="X19" i="124"/>
  <c r="X26" i="116"/>
  <c r="X20" i="123"/>
  <c r="X25" i="122"/>
  <c r="X18" i="118"/>
  <c r="X14" i="110"/>
  <c r="X24" i="128"/>
  <c r="X25" i="133"/>
  <c r="X15" i="110"/>
  <c r="X24" i="119"/>
  <c r="X14" i="133"/>
  <c r="X28" i="127"/>
  <c r="X14" i="132"/>
  <c r="X24" i="131"/>
  <c r="X27" i="120"/>
  <c r="X24" i="129"/>
  <c r="X17" i="120"/>
  <c r="X19" i="121"/>
  <c r="X18" i="125"/>
  <c r="X28" i="118"/>
  <c r="X23" i="117"/>
  <c r="X28" i="120"/>
  <c r="X20" i="131"/>
  <c r="X24" i="132"/>
  <c r="X19" i="130"/>
  <c r="X26" i="125"/>
  <c r="X27" i="128"/>
  <c r="X18" i="133"/>
  <c r="X16" i="116"/>
  <c r="X22" i="121"/>
  <c r="X15" i="128"/>
  <c r="X27" i="115"/>
  <c r="X18" i="116"/>
  <c r="X27" i="131"/>
  <c r="X14" i="114"/>
  <c r="X22" i="119"/>
  <c r="X25" i="127"/>
  <c r="X22" i="122"/>
  <c r="X26" i="114"/>
  <c r="X19" i="119"/>
  <c r="X22" i="116"/>
  <c r="X24" i="118"/>
  <c r="X15" i="132"/>
  <c r="X14" i="123"/>
  <c r="X17" i="128"/>
  <c r="X27" i="125"/>
  <c r="X14" i="127"/>
  <c r="X14" i="124"/>
  <c r="X26" i="121"/>
  <c r="X28" i="129"/>
  <c r="X18" i="114"/>
  <c r="X16" i="120"/>
  <c r="X14" i="128"/>
  <c r="X18" i="117"/>
  <c r="X23" i="122"/>
  <c r="X27" i="130"/>
  <c r="X24" i="111"/>
  <c r="X18" i="130"/>
  <c r="X20" i="125"/>
  <c r="X16" i="115"/>
  <c r="X23" i="110"/>
  <c r="X26" i="133"/>
  <c r="X18" i="132"/>
  <c r="X23" i="116"/>
  <c r="X15" i="126"/>
  <c r="X25" i="114"/>
  <c r="X20" i="133"/>
  <c r="X25" i="120"/>
  <c r="X24" i="122"/>
  <c r="X27" i="116"/>
  <c r="X18" i="115"/>
  <c r="X15" i="129"/>
  <c r="X19" i="133"/>
  <c r="X22" i="133"/>
  <c r="X15" i="120"/>
  <c r="X17" i="119"/>
  <c r="X19" i="118"/>
  <c r="X27" i="110"/>
  <c r="X25" i="130"/>
  <c r="X16" i="124"/>
  <c r="X22" i="110"/>
  <c r="X16" i="110"/>
  <c r="X23" i="114"/>
  <c r="X25" i="110"/>
  <c r="X15" i="117"/>
  <c r="X28" i="131"/>
  <c r="X23" i="125"/>
  <c r="X17" i="114"/>
  <c r="X18" i="111"/>
  <c r="X20" i="115"/>
  <c r="X20" i="128"/>
  <c r="X20" i="111"/>
  <c r="X22" i="131"/>
  <c r="X18" i="113"/>
  <c r="X25" i="129"/>
  <c r="X22" i="123"/>
  <c r="X26" i="131"/>
  <c r="X25" i="111"/>
  <c r="X23" i="130"/>
  <c r="X28" i="124"/>
  <c r="X24" i="113"/>
  <c r="X28" i="115"/>
  <c r="X19" i="116"/>
  <c r="X26" i="123"/>
  <c r="X15" i="111"/>
  <c r="X23" i="123"/>
  <c r="X18" i="120"/>
  <c r="X27" i="121"/>
  <c r="X20" i="117"/>
  <c r="R43" i="132"/>
  <c r="P43" i="132"/>
  <c r="R43" i="114"/>
  <c r="P43" i="114"/>
  <c r="P41" i="120"/>
  <c r="R41" i="120"/>
  <c r="R42" i="115"/>
  <c r="P42" i="115"/>
  <c r="R43" i="122"/>
  <c r="P43" i="122"/>
  <c r="R44" i="133"/>
  <c r="P44" i="133"/>
  <c r="P42" i="116"/>
  <c r="R42" i="116"/>
  <c r="R42" i="128"/>
  <c r="P42" i="128"/>
  <c r="P44" i="113"/>
  <c r="R44" i="113"/>
  <c r="P41" i="114"/>
  <c r="R41" i="114"/>
  <c r="R42" i="110"/>
  <c r="P42" i="110"/>
  <c r="P43" i="128"/>
  <c r="R43" i="128"/>
  <c r="P41" i="133"/>
  <c r="R41" i="133"/>
  <c r="P38" i="120"/>
  <c r="R38" i="120"/>
  <c r="R39" i="128"/>
  <c r="P39" i="128"/>
  <c r="R43" i="131"/>
  <c r="P43" i="131"/>
  <c r="P38" i="114"/>
  <c r="R38" i="114"/>
  <c r="P39" i="114"/>
  <c r="R39" i="114"/>
  <c r="R42" i="118"/>
  <c r="P42" i="118"/>
  <c r="R35" i="127"/>
  <c r="P35" i="127"/>
  <c r="R40" i="133"/>
  <c r="P40" i="133"/>
  <c r="R40" i="113"/>
  <c r="P40" i="113"/>
  <c r="P41" i="118"/>
  <c r="R41" i="118"/>
  <c r="P36" i="114"/>
  <c r="R36" i="114"/>
  <c r="P38" i="123"/>
  <c r="R38" i="123"/>
  <c r="R34" i="115"/>
  <c r="P34" i="115"/>
  <c r="R35" i="132"/>
  <c r="P35" i="132"/>
  <c r="P35" i="133"/>
  <c r="R35" i="133"/>
  <c r="R39" i="129"/>
  <c r="P39" i="129"/>
  <c r="P34" i="125"/>
  <c r="R34" i="125"/>
  <c r="R34" i="132"/>
  <c r="P34" i="132"/>
  <c r="P38" i="130"/>
  <c r="R38" i="130"/>
  <c r="P32" i="115"/>
  <c r="R32" i="115"/>
  <c r="R33" i="114"/>
  <c r="P33" i="114"/>
  <c r="P38" i="119"/>
  <c r="R38" i="119"/>
  <c r="P34" i="133"/>
  <c r="R34" i="133"/>
  <c r="P33" i="110"/>
  <c r="R33" i="110"/>
  <c r="P34" i="123"/>
  <c r="R34" i="123"/>
  <c r="R31" i="118"/>
  <c r="P31" i="118"/>
  <c r="R35" i="118"/>
  <c r="P35" i="118"/>
  <c r="P33" i="116"/>
  <c r="R33" i="116"/>
  <c r="P30" i="125"/>
  <c r="R30" i="125"/>
  <c r="P35" i="111"/>
  <c r="R35" i="111"/>
  <c r="R33" i="123"/>
  <c r="P33" i="123"/>
  <c r="R34" i="131"/>
  <c r="P34" i="131"/>
  <c r="R31" i="129"/>
  <c r="P31" i="129"/>
  <c r="R31" i="128"/>
  <c r="P31" i="128"/>
  <c r="P39" i="126"/>
  <c r="R39" i="126"/>
  <c r="P32" i="130"/>
  <c r="R32" i="130"/>
  <c r="P32" i="122"/>
  <c r="R32" i="122"/>
  <c r="P32" i="123"/>
  <c r="R32" i="123"/>
  <c r="R31" i="117"/>
  <c r="P31" i="117"/>
  <c r="P31" i="113"/>
  <c r="R31" i="113"/>
  <c r="P42" i="126"/>
  <c r="R42" i="126"/>
  <c r="R38" i="126"/>
  <c r="P38" i="126"/>
  <c r="R36" i="109"/>
  <c r="P36" i="109"/>
  <c r="R44" i="127"/>
  <c r="P44" i="127"/>
  <c r="P43" i="116"/>
  <c r="R43" i="116"/>
  <c r="R40" i="110"/>
  <c r="P40" i="110"/>
  <c r="P41" i="116"/>
  <c r="R41" i="116"/>
  <c r="R41" i="113"/>
  <c r="P41" i="113"/>
  <c r="P40" i="131"/>
  <c r="R40" i="131"/>
  <c r="P40" i="124"/>
  <c r="R40" i="124"/>
  <c r="R36" i="117"/>
  <c r="P36" i="117"/>
  <c r="R35" i="117"/>
  <c r="P35" i="117"/>
  <c r="P34" i="117"/>
  <c r="R34" i="117"/>
  <c r="R32" i="129"/>
  <c r="P32" i="129"/>
  <c r="P36" i="113"/>
  <c r="R36" i="113"/>
  <c r="R35" i="113"/>
  <c r="P35" i="113"/>
  <c r="R31" i="114"/>
  <c r="P31" i="114"/>
  <c r="R35" i="124"/>
  <c r="P35" i="124"/>
  <c r="R31" i="123"/>
  <c r="P31" i="123"/>
  <c r="R33" i="109"/>
  <c r="R31" i="119"/>
  <c r="P31" i="119"/>
  <c r="R30" i="131"/>
  <c r="P30" i="131"/>
  <c r="R32" i="109"/>
  <c r="P43" i="125"/>
  <c r="R43" i="125"/>
  <c r="R43" i="120"/>
  <c r="P43" i="120"/>
  <c r="R44" i="114"/>
  <c r="P44" i="114"/>
  <c r="P43" i="127"/>
  <c r="R43" i="127"/>
  <c r="R43" i="121"/>
  <c r="P43" i="121"/>
  <c r="P42" i="127"/>
  <c r="R42" i="127"/>
  <c r="R43" i="119"/>
  <c r="P43" i="119"/>
  <c r="P44" i="122"/>
  <c r="R44" i="122"/>
  <c r="P39" i="115"/>
  <c r="R39" i="115"/>
  <c r="R40" i="127"/>
  <c r="P40" i="127"/>
  <c r="R42" i="117"/>
  <c r="P42" i="117"/>
  <c r="R43" i="130"/>
  <c r="P43" i="130"/>
  <c r="R42" i="122"/>
  <c r="P42" i="122"/>
  <c r="P43" i="118"/>
  <c r="R43" i="118"/>
  <c r="P39" i="132"/>
  <c r="R39" i="132"/>
  <c r="P39" i="110"/>
  <c r="R39" i="110"/>
  <c r="R41" i="123"/>
  <c r="P41" i="123"/>
  <c r="R38" i="121"/>
  <c r="P38" i="121"/>
  <c r="R42" i="130"/>
  <c r="P42" i="130"/>
  <c r="P42" i="111"/>
  <c r="R42" i="111"/>
  <c r="R42" i="124"/>
  <c r="P42" i="124"/>
  <c r="P34" i="120"/>
  <c r="R34" i="120"/>
  <c r="R36" i="121"/>
  <c r="P36" i="121"/>
  <c r="R39" i="116"/>
  <c r="P39" i="116"/>
  <c r="P41" i="130"/>
  <c r="R41" i="130"/>
  <c r="P38" i="122"/>
  <c r="R38" i="122"/>
  <c r="R39" i="118"/>
  <c r="P39" i="118"/>
  <c r="P33" i="120"/>
  <c r="R33" i="120"/>
  <c r="P39" i="124"/>
  <c r="R39" i="124"/>
  <c r="R36" i="123"/>
  <c r="P36" i="123"/>
  <c r="R33" i="125"/>
  <c r="P33" i="125"/>
  <c r="R35" i="116"/>
  <c r="P35" i="116"/>
  <c r="P38" i="113"/>
  <c r="R38" i="113"/>
  <c r="R30" i="120"/>
  <c r="P30" i="120"/>
  <c r="R33" i="117"/>
  <c r="P33" i="117"/>
  <c r="P34" i="116"/>
  <c r="R34" i="116"/>
  <c r="R32" i="128"/>
  <c r="P32" i="128"/>
  <c r="P33" i="133"/>
  <c r="R33" i="133"/>
  <c r="R32" i="118"/>
  <c r="P32" i="118"/>
  <c r="R35" i="129"/>
  <c r="P35" i="129"/>
  <c r="P31" i="132"/>
  <c r="R31" i="132"/>
  <c r="R30" i="121"/>
  <c r="P30" i="121"/>
  <c r="R30" i="129"/>
  <c r="P30" i="129"/>
  <c r="P44" i="126"/>
  <c r="R44" i="126"/>
  <c r="R31" i="124"/>
  <c r="P31" i="124"/>
  <c r="R33" i="128"/>
  <c r="P33" i="128"/>
  <c r="P31" i="133"/>
  <c r="R31" i="133"/>
  <c r="R30" i="109"/>
  <c r="P32" i="111"/>
  <c r="R32" i="111"/>
  <c r="P31" i="126"/>
  <c r="R31" i="126"/>
  <c r="P31" i="111"/>
  <c r="R31" i="111"/>
  <c r="R30" i="118"/>
  <c r="P30" i="118"/>
  <c r="P31" i="122"/>
  <c r="R31" i="122"/>
  <c r="R43" i="126"/>
  <c r="P43" i="126"/>
  <c r="P30" i="126"/>
  <c r="R30" i="126"/>
  <c r="R44" i="109"/>
  <c r="P44" i="109"/>
  <c r="R39" i="133"/>
  <c r="P39" i="133"/>
  <c r="P32" i="120"/>
  <c r="R32" i="120"/>
  <c r="R40" i="111"/>
  <c r="P40" i="111"/>
  <c r="P34" i="110"/>
  <c r="R34" i="110"/>
  <c r="R36" i="128"/>
  <c r="P36" i="128"/>
  <c r="P39" i="123"/>
  <c r="R39" i="123"/>
  <c r="P39" i="113"/>
  <c r="R39" i="113"/>
  <c r="R34" i="114"/>
  <c r="P34" i="114"/>
  <c r="P32" i="125"/>
  <c r="R32" i="125"/>
  <c r="P38" i="124"/>
  <c r="R38" i="124"/>
  <c r="P34" i="121"/>
  <c r="R34" i="121"/>
  <c r="P36" i="130"/>
  <c r="R36" i="130"/>
  <c r="R33" i="121"/>
  <c r="P33" i="121"/>
  <c r="R34" i="113"/>
  <c r="P34" i="113"/>
  <c r="P35" i="130"/>
  <c r="R35" i="130"/>
  <c r="R36" i="118"/>
  <c r="P36" i="118"/>
  <c r="R36" i="124"/>
  <c r="P36" i="124"/>
  <c r="P34" i="129"/>
  <c r="R34" i="129"/>
  <c r="R32" i="121"/>
  <c r="P32" i="121"/>
  <c r="R30" i="122"/>
  <c r="P30" i="122"/>
  <c r="R34" i="124"/>
  <c r="P34" i="124"/>
  <c r="P30" i="113"/>
  <c r="R30" i="113"/>
  <c r="P34" i="111"/>
  <c r="R34" i="111"/>
  <c r="R31" i="121"/>
  <c r="P31" i="121"/>
  <c r="R33" i="131"/>
  <c r="P33" i="131"/>
  <c r="P32" i="124"/>
  <c r="R32" i="124"/>
  <c r="R30" i="119"/>
  <c r="P30" i="119"/>
  <c r="R33" i="113"/>
  <c r="P33" i="113"/>
  <c r="R40" i="109"/>
  <c r="P40" i="109"/>
  <c r="R33" i="118"/>
  <c r="P33" i="118"/>
  <c r="P30" i="128"/>
  <c r="R30" i="128"/>
  <c r="P42" i="109"/>
  <c r="R42" i="109"/>
  <c r="P38" i="109"/>
  <c r="R38" i="109"/>
  <c r="R30" i="132"/>
  <c r="P30" i="132"/>
  <c r="R43" i="110"/>
  <c r="P43" i="110"/>
  <c r="P41" i="110"/>
  <c r="R41" i="110"/>
  <c r="P44" i="119"/>
  <c r="R44" i="119"/>
  <c r="R44" i="124"/>
  <c r="P44" i="124"/>
  <c r="P40" i="116"/>
  <c r="R40" i="116"/>
  <c r="P36" i="122"/>
  <c r="R36" i="122"/>
  <c r="R44" i="125"/>
  <c r="P44" i="125"/>
  <c r="P42" i="133"/>
  <c r="R42" i="133"/>
  <c r="P41" i="128"/>
  <c r="R41" i="128"/>
  <c r="P40" i="125"/>
  <c r="R40" i="125"/>
  <c r="P38" i="115"/>
  <c r="R38" i="115"/>
  <c r="P43" i="111"/>
  <c r="R43" i="111"/>
  <c r="P36" i="115"/>
  <c r="R36" i="115"/>
  <c r="P41" i="122"/>
  <c r="R41" i="122"/>
  <c r="P38" i="132"/>
  <c r="R38" i="132"/>
  <c r="R41" i="131"/>
  <c r="P41" i="131"/>
  <c r="P35" i="125"/>
  <c r="R35" i="125"/>
  <c r="P43" i="123"/>
  <c r="R43" i="123"/>
  <c r="R42" i="131"/>
  <c r="P42" i="131"/>
  <c r="P43" i="115"/>
  <c r="R43" i="115"/>
  <c r="R44" i="116"/>
  <c r="P44" i="116"/>
  <c r="R42" i="125"/>
  <c r="P42" i="125"/>
  <c r="R43" i="133"/>
  <c r="P43" i="133"/>
  <c r="P43" i="117"/>
  <c r="R43" i="117"/>
  <c r="R41" i="127"/>
  <c r="P41" i="127"/>
  <c r="R41" i="125"/>
  <c r="P41" i="125"/>
  <c r="R40" i="114"/>
  <c r="P40" i="114"/>
  <c r="R43" i="113"/>
  <c r="P43" i="113"/>
  <c r="R39" i="120"/>
  <c r="P39" i="120"/>
  <c r="R40" i="132"/>
  <c r="P40" i="132"/>
  <c r="R39" i="117"/>
  <c r="P39" i="117"/>
  <c r="P42" i="123"/>
  <c r="R42" i="123"/>
  <c r="R39" i="127"/>
  <c r="P39" i="127"/>
  <c r="R44" i="129"/>
  <c r="P44" i="129"/>
  <c r="P44" i="111"/>
  <c r="R44" i="111"/>
  <c r="R38" i="117"/>
  <c r="P38" i="117"/>
  <c r="R40" i="117"/>
  <c r="P40" i="117"/>
  <c r="R40" i="129"/>
  <c r="P40" i="129"/>
  <c r="R42" i="113"/>
  <c r="P42" i="113"/>
  <c r="R39" i="121"/>
  <c r="P39" i="121"/>
  <c r="P38" i="127"/>
  <c r="R38" i="127"/>
  <c r="P38" i="116"/>
  <c r="R38" i="116"/>
  <c r="R38" i="133"/>
  <c r="P38" i="133"/>
  <c r="P35" i="121"/>
  <c r="R35" i="121"/>
  <c r="R38" i="128"/>
  <c r="P38" i="128"/>
  <c r="P39" i="130"/>
  <c r="R39" i="130"/>
  <c r="R35" i="114"/>
  <c r="P35" i="114"/>
  <c r="P40" i="119"/>
  <c r="R40" i="119"/>
  <c r="P34" i="128"/>
  <c r="R34" i="128"/>
  <c r="R38" i="118"/>
  <c r="P38" i="118"/>
  <c r="P39" i="131"/>
  <c r="R39" i="131"/>
  <c r="R32" i="127"/>
  <c r="P32" i="127"/>
  <c r="P33" i="115"/>
  <c r="R33" i="115"/>
  <c r="R38" i="129"/>
  <c r="P38" i="129"/>
  <c r="R36" i="129"/>
  <c r="P36" i="129"/>
  <c r="P31" i="125"/>
  <c r="R31" i="125"/>
  <c r="R32" i="114"/>
  <c r="P32" i="114"/>
  <c r="R31" i="127"/>
  <c r="P31" i="127"/>
  <c r="P34" i="130"/>
  <c r="R34" i="130"/>
  <c r="P35" i="131"/>
  <c r="R35" i="131"/>
  <c r="P30" i="124"/>
  <c r="R30" i="124"/>
  <c r="P31" i="116"/>
  <c r="R31" i="116"/>
  <c r="P33" i="111"/>
  <c r="R33" i="111"/>
  <c r="R31" i="131"/>
  <c r="P31" i="131"/>
  <c r="P32" i="116"/>
  <c r="R32" i="116"/>
  <c r="R30" i="116"/>
  <c r="P30" i="116"/>
  <c r="P30" i="130"/>
  <c r="R30" i="130"/>
  <c r="P30" i="117"/>
  <c r="R30" i="117"/>
  <c r="R30" i="111"/>
  <c r="P30" i="111"/>
  <c r="R32" i="119"/>
  <c r="P32" i="119"/>
  <c r="P31" i="130"/>
  <c r="R31" i="130"/>
  <c r="P30" i="127"/>
  <c r="R30" i="127"/>
  <c r="P43" i="109"/>
  <c r="R43" i="109"/>
  <c r="R32" i="126"/>
  <c r="P32" i="126"/>
  <c r="P39" i="109"/>
  <c r="R39" i="109"/>
  <c r="R42" i="120"/>
  <c r="P42" i="120"/>
  <c r="P39" i="125"/>
  <c r="R39" i="125"/>
  <c r="P38" i="125"/>
  <c r="R38" i="125"/>
  <c r="R44" i="131"/>
  <c r="P44" i="131"/>
  <c r="R35" i="120"/>
  <c r="P35" i="120"/>
  <c r="R36" i="110"/>
  <c r="P36" i="110"/>
  <c r="R39" i="122"/>
  <c r="P39" i="122"/>
  <c r="P44" i="115"/>
  <c r="R44" i="115"/>
  <c r="R44" i="132"/>
  <c r="P44" i="132"/>
  <c r="R42" i="114"/>
  <c r="P42" i="114"/>
  <c r="P42" i="121"/>
  <c r="R42" i="121"/>
  <c r="P44" i="123"/>
  <c r="R44" i="123"/>
  <c r="P40" i="115"/>
  <c r="R40" i="115"/>
  <c r="R40" i="121"/>
  <c r="P40" i="121"/>
  <c r="P41" i="129"/>
  <c r="R41" i="129"/>
  <c r="P41" i="124"/>
  <c r="R41" i="124"/>
  <c r="R44" i="120"/>
  <c r="P44" i="120"/>
  <c r="R44" i="128"/>
  <c r="P44" i="128"/>
  <c r="R41" i="115"/>
  <c r="P41" i="115"/>
  <c r="P44" i="117"/>
  <c r="R44" i="117"/>
  <c r="P40" i="120"/>
  <c r="R40" i="120"/>
  <c r="R41" i="117"/>
  <c r="P41" i="117"/>
  <c r="R44" i="121"/>
  <c r="P44" i="121"/>
  <c r="P36" i="120"/>
  <c r="R36" i="120"/>
  <c r="R41" i="132"/>
  <c r="P41" i="132"/>
  <c r="P43" i="129"/>
  <c r="R43" i="129"/>
  <c r="P44" i="118"/>
  <c r="R44" i="118"/>
  <c r="R42" i="119"/>
  <c r="P42" i="119"/>
  <c r="P41" i="121"/>
  <c r="R41" i="121"/>
  <c r="R42" i="129"/>
  <c r="P42" i="129"/>
  <c r="P40" i="128"/>
  <c r="R40" i="128"/>
  <c r="R43" i="124"/>
  <c r="P43" i="124"/>
  <c r="P41" i="119"/>
  <c r="R41" i="119"/>
  <c r="P35" i="110"/>
  <c r="R35" i="110"/>
  <c r="R36" i="125"/>
  <c r="P36" i="125"/>
  <c r="P36" i="127"/>
  <c r="R36" i="127"/>
  <c r="P41" i="111"/>
  <c r="R41" i="111"/>
  <c r="P36" i="132"/>
  <c r="R36" i="132"/>
  <c r="P40" i="123"/>
  <c r="R40" i="123"/>
  <c r="R35" i="115"/>
  <c r="P35" i="115"/>
  <c r="P39" i="119"/>
  <c r="R39" i="119"/>
  <c r="R40" i="118"/>
  <c r="P40" i="118"/>
  <c r="R35" i="128"/>
  <c r="P35" i="128"/>
  <c r="R34" i="127"/>
  <c r="P34" i="127"/>
  <c r="R36" i="133"/>
  <c r="P36" i="133"/>
  <c r="P35" i="122"/>
  <c r="R35" i="122"/>
  <c r="P33" i="127"/>
  <c r="R33" i="127"/>
  <c r="R33" i="132"/>
  <c r="P33" i="132"/>
  <c r="R38" i="131"/>
  <c r="P38" i="131"/>
  <c r="P31" i="120"/>
  <c r="R31" i="120"/>
  <c r="P36" i="111"/>
  <c r="R36" i="111"/>
  <c r="P35" i="123"/>
  <c r="R35" i="123"/>
  <c r="R32" i="132"/>
  <c r="P32" i="132"/>
  <c r="P36" i="119"/>
  <c r="R36" i="119"/>
  <c r="R32" i="110"/>
  <c r="P32" i="110"/>
  <c r="P35" i="119"/>
  <c r="R35" i="119"/>
  <c r="P33" i="124"/>
  <c r="R33" i="124"/>
  <c r="P30" i="110"/>
  <c r="R30" i="110"/>
  <c r="R33" i="122"/>
  <c r="P33" i="122"/>
  <c r="R34" i="119"/>
  <c r="P34" i="119"/>
  <c r="P30" i="115"/>
  <c r="R30" i="115"/>
  <c r="R33" i="129"/>
  <c r="P33" i="129"/>
  <c r="R41" i="109"/>
  <c r="P41" i="109"/>
  <c r="P33" i="119"/>
  <c r="R33" i="119"/>
  <c r="R34" i="109"/>
  <c r="P34" i="109"/>
  <c r="R33" i="130"/>
  <c r="P33" i="130"/>
  <c r="P31" i="110"/>
  <c r="R31" i="110"/>
  <c r="R32" i="113"/>
  <c r="P32" i="113"/>
  <c r="P40" i="126"/>
  <c r="R40" i="126"/>
  <c r="P35" i="126"/>
  <c r="R35" i="126"/>
  <c r="R41" i="126"/>
  <c r="P41" i="126"/>
  <c r="P33" i="126"/>
  <c r="R33" i="126"/>
  <c r="P39" i="82"/>
  <c r="R39" i="82"/>
  <c r="P38" i="82"/>
  <c r="R38" i="82"/>
  <c r="R35" i="82"/>
  <c r="P35" i="82"/>
  <c r="R32" i="82"/>
  <c r="P32" i="82"/>
  <c r="P34" i="82"/>
  <c r="R34" i="82"/>
  <c r="R20" i="82"/>
  <c r="P20" i="82"/>
  <c r="P36" i="82"/>
  <c r="R36" i="82"/>
  <c r="P42" i="82"/>
  <c r="R42" i="82"/>
  <c r="P40" i="82"/>
  <c r="R40" i="82"/>
  <c r="P44" i="82"/>
  <c r="R44" i="82"/>
  <c r="R41" i="82"/>
  <c r="P41" i="82"/>
  <c r="P23" i="82"/>
  <c r="R23" i="82"/>
  <c r="P33" i="82"/>
  <c r="R33" i="82"/>
  <c r="P28" i="82"/>
  <c r="R28" i="82"/>
  <c r="R30" i="82"/>
  <c r="P30" i="82"/>
  <c r="P27" i="82"/>
  <c r="R27" i="82"/>
  <c r="P26" i="82"/>
  <c r="R26" i="82"/>
  <c r="R25" i="82"/>
  <c r="P25" i="82"/>
  <c r="P22" i="82"/>
  <c r="R22" i="82"/>
  <c r="P31" i="82"/>
  <c r="R31" i="82"/>
  <c r="R43" i="82"/>
  <c r="P43" i="82"/>
  <c r="R24" i="82"/>
  <c r="P24" i="82"/>
  <c r="P14" i="82"/>
  <c r="R14" i="82"/>
  <c r="A372" i="2"/>
  <c r="V21" i="57"/>
  <c r="P45" i="131" l="1"/>
  <c r="P45" i="116"/>
  <c r="R17" i="109"/>
  <c r="P17" i="109"/>
  <c r="R16" i="109"/>
  <c r="P16" i="109"/>
  <c r="R15" i="109"/>
  <c r="P15" i="109"/>
  <c r="P45" i="133"/>
  <c r="R45" i="133"/>
  <c r="P37" i="124"/>
  <c r="P37" i="129"/>
  <c r="R37" i="129"/>
  <c r="R45" i="120"/>
  <c r="R45" i="119"/>
  <c r="R45" i="114"/>
  <c r="R37" i="113"/>
  <c r="P37" i="128"/>
  <c r="R18" i="111"/>
  <c r="P18" i="111"/>
  <c r="P20" i="125"/>
  <c r="R20" i="125"/>
  <c r="R14" i="114"/>
  <c r="P14" i="114"/>
  <c r="R18" i="118"/>
  <c r="P18" i="118"/>
  <c r="P23" i="121"/>
  <c r="R23" i="121"/>
  <c r="R18" i="131"/>
  <c r="P18" i="131"/>
  <c r="R28" i="110"/>
  <c r="P28" i="110"/>
  <c r="P16" i="121"/>
  <c r="R16" i="121"/>
  <c r="R14" i="130"/>
  <c r="P14" i="130"/>
  <c r="P24" i="116"/>
  <c r="R24" i="116"/>
  <c r="R26" i="130"/>
  <c r="P26" i="130"/>
  <c r="P28" i="109"/>
  <c r="R28" i="109"/>
  <c r="P37" i="111"/>
  <c r="P37" i="127"/>
  <c r="P37" i="120"/>
  <c r="R37" i="110"/>
  <c r="P45" i="125"/>
  <c r="R45" i="129"/>
  <c r="R45" i="128"/>
  <c r="R45" i="117"/>
  <c r="P37" i="122"/>
  <c r="R37" i="118"/>
  <c r="P45" i="124"/>
  <c r="P45" i="113"/>
  <c r="R37" i="123"/>
  <c r="R45" i="121"/>
  <c r="R37" i="117"/>
  <c r="R45" i="126"/>
  <c r="P45" i="123"/>
  <c r="R45" i="131"/>
  <c r="P26" i="123"/>
  <c r="R26" i="123"/>
  <c r="R25" i="111"/>
  <c r="P25" i="111"/>
  <c r="P20" i="111"/>
  <c r="R20" i="111"/>
  <c r="R28" i="131"/>
  <c r="P28" i="131"/>
  <c r="R16" i="124"/>
  <c r="P16" i="124"/>
  <c r="P22" i="133"/>
  <c r="R22" i="133"/>
  <c r="R25" i="120"/>
  <c r="P25" i="120"/>
  <c r="R26" i="133"/>
  <c r="P26" i="133"/>
  <c r="R27" i="130"/>
  <c r="P27" i="130"/>
  <c r="P28" i="129"/>
  <c r="R28" i="129"/>
  <c r="P14" i="123"/>
  <c r="R14" i="123"/>
  <c r="R22" i="122"/>
  <c r="P22" i="122"/>
  <c r="R27" i="115"/>
  <c r="P27" i="115"/>
  <c r="R26" i="125"/>
  <c r="P26" i="125"/>
  <c r="R28" i="118"/>
  <c r="P28" i="118"/>
  <c r="R24" i="131"/>
  <c r="P24" i="131"/>
  <c r="P25" i="133"/>
  <c r="R25" i="133"/>
  <c r="R26" i="116"/>
  <c r="P26" i="116"/>
  <c r="P16" i="131"/>
  <c r="R16" i="131"/>
  <c r="P20" i="130"/>
  <c r="R20" i="130"/>
  <c r="P14" i="117"/>
  <c r="R14" i="117"/>
  <c r="P15" i="116"/>
  <c r="R15" i="116"/>
  <c r="R17" i="113"/>
  <c r="P17" i="113"/>
  <c r="P22" i="120"/>
  <c r="R22" i="120"/>
  <c r="P25" i="115"/>
  <c r="R25" i="115"/>
  <c r="P19" i="132"/>
  <c r="R19" i="132"/>
  <c r="R24" i="127"/>
  <c r="P24" i="127"/>
  <c r="R25" i="125"/>
  <c r="P25" i="125"/>
  <c r="R17" i="124"/>
  <c r="P17" i="124"/>
  <c r="R28" i="130"/>
  <c r="P28" i="130"/>
  <c r="P28" i="122"/>
  <c r="R28" i="122"/>
  <c r="R16" i="113"/>
  <c r="P16" i="113"/>
  <c r="R27" i="124"/>
  <c r="P27" i="124"/>
  <c r="P19" i="110"/>
  <c r="R19" i="110"/>
  <c r="R22" i="129"/>
  <c r="P22" i="129"/>
  <c r="P26" i="129"/>
  <c r="R26" i="129"/>
  <c r="P20" i="127"/>
  <c r="R20" i="127"/>
  <c r="P17" i="132"/>
  <c r="R17" i="132"/>
  <c r="R16" i="123"/>
  <c r="P16" i="123"/>
  <c r="P17" i="133"/>
  <c r="R17" i="133"/>
  <c r="P28" i="116"/>
  <c r="R28" i="116"/>
  <c r="R25" i="116"/>
  <c r="P25" i="116"/>
  <c r="P19" i="131"/>
  <c r="R19" i="131"/>
  <c r="R23" i="124"/>
  <c r="P23" i="124"/>
  <c r="R23" i="127"/>
  <c r="P23" i="127"/>
  <c r="P14" i="122"/>
  <c r="R14" i="122"/>
  <c r="R17" i="131"/>
  <c r="P17" i="131"/>
  <c r="R27" i="114"/>
  <c r="P27" i="114"/>
  <c r="P15" i="113"/>
  <c r="R15" i="113"/>
  <c r="P22" i="125"/>
  <c r="R22" i="125"/>
  <c r="P20" i="124"/>
  <c r="R20" i="124"/>
  <c r="P27" i="109"/>
  <c r="R27" i="109"/>
  <c r="P20" i="126"/>
  <c r="R20" i="126"/>
  <c r="R23" i="126"/>
  <c r="P23" i="126"/>
  <c r="P22" i="126"/>
  <c r="R22" i="126"/>
  <c r="R37" i="131"/>
  <c r="R37" i="116"/>
  <c r="P19" i="118"/>
  <c r="R19" i="118"/>
  <c r="P20" i="131"/>
  <c r="R20" i="131"/>
  <c r="R24" i="133"/>
  <c r="P24" i="133"/>
  <c r="P17" i="115"/>
  <c r="R17" i="115"/>
  <c r="P25" i="123"/>
  <c r="R25" i="123"/>
  <c r="P18" i="129"/>
  <c r="R18" i="129"/>
  <c r="P27" i="118"/>
  <c r="R27" i="118"/>
  <c r="P19" i="127"/>
  <c r="R19" i="127"/>
  <c r="R22" i="130"/>
  <c r="P22" i="130"/>
  <c r="P45" i="110"/>
  <c r="R37" i="132"/>
  <c r="P37" i="125"/>
  <c r="P45" i="118"/>
  <c r="R45" i="127"/>
  <c r="R45" i="115"/>
  <c r="R37" i="130"/>
  <c r="P45" i="109"/>
  <c r="P37" i="121"/>
  <c r="R45" i="122"/>
  <c r="R37" i="114"/>
  <c r="P20" i="117"/>
  <c r="R20" i="117"/>
  <c r="P19" i="116"/>
  <c r="R19" i="116"/>
  <c r="R26" i="131"/>
  <c r="P26" i="131"/>
  <c r="R20" i="128"/>
  <c r="P20" i="128"/>
  <c r="P15" i="117"/>
  <c r="R15" i="117"/>
  <c r="P25" i="130"/>
  <c r="R25" i="130"/>
  <c r="R19" i="133"/>
  <c r="P19" i="133"/>
  <c r="P20" i="133"/>
  <c r="R20" i="133"/>
  <c r="R23" i="110"/>
  <c r="P23" i="110"/>
  <c r="R23" i="122"/>
  <c r="P23" i="122"/>
  <c r="P26" i="121"/>
  <c r="R26" i="121"/>
  <c r="R15" i="132"/>
  <c r="P15" i="132"/>
  <c r="R25" i="127"/>
  <c r="P25" i="127"/>
  <c r="P15" i="128"/>
  <c r="R15" i="128"/>
  <c r="P19" i="130"/>
  <c r="R19" i="130"/>
  <c r="P18" i="125"/>
  <c r="R18" i="125"/>
  <c r="R14" i="132"/>
  <c r="P14" i="132"/>
  <c r="R24" i="128"/>
  <c r="P24" i="128"/>
  <c r="R19" i="124"/>
  <c r="P19" i="124"/>
  <c r="P25" i="121"/>
  <c r="R25" i="121"/>
  <c r="R26" i="111"/>
  <c r="P26" i="111"/>
  <c r="R26" i="132"/>
  <c r="P26" i="132"/>
  <c r="R24" i="117"/>
  <c r="P24" i="117"/>
  <c r="P16" i="132"/>
  <c r="R16" i="132"/>
  <c r="P15" i="133"/>
  <c r="R15" i="133"/>
  <c r="P15" i="123"/>
  <c r="R15" i="123"/>
  <c r="R25" i="118"/>
  <c r="P25" i="118"/>
  <c r="P26" i="124"/>
  <c r="R26" i="124"/>
  <c r="P26" i="113"/>
  <c r="R26" i="113"/>
  <c r="R18" i="110"/>
  <c r="P18" i="110"/>
  <c r="P15" i="118"/>
  <c r="R15" i="118"/>
  <c r="P23" i="115"/>
  <c r="R23" i="115"/>
  <c r="P19" i="115"/>
  <c r="R19" i="115"/>
  <c r="P26" i="127"/>
  <c r="R26" i="127"/>
  <c r="R14" i="125"/>
  <c r="P14" i="125"/>
  <c r="R20" i="121"/>
  <c r="P20" i="121"/>
  <c r="R26" i="120"/>
  <c r="P26" i="120"/>
  <c r="P22" i="124"/>
  <c r="R22" i="124"/>
  <c r="R14" i="121"/>
  <c r="P14" i="121"/>
  <c r="R18" i="122"/>
  <c r="P18" i="122"/>
  <c r="P24" i="125"/>
  <c r="R24" i="125"/>
  <c r="R25" i="119"/>
  <c r="P25" i="119"/>
  <c r="R26" i="122"/>
  <c r="P26" i="122"/>
  <c r="P22" i="127"/>
  <c r="R22" i="127"/>
  <c r="R26" i="128"/>
  <c r="P26" i="128"/>
  <c r="R24" i="120"/>
  <c r="P24" i="120"/>
  <c r="R16" i="111"/>
  <c r="P16" i="111"/>
  <c r="R20" i="118"/>
  <c r="P20" i="118"/>
  <c r="R14" i="111"/>
  <c r="P14" i="111"/>
  <c r="P20" i="119"/>
  <c r="R20" i="119"/>
  <c r="R22" i="113"/>
  <c r="P22" i="113"/>
  <c r="R19" i="122"/>
  <c r="P19" i="122"/>
  <c r="P24" i="114"/>
  <c r="R24" i="114"/>
  <c r="P17" i="126"/>
  <c r="R17" i="126"/>
  <c r="R20" i="109"/>
  <c r="P20" i="109"/>
  <c r="R22" i="109"/>
  <c r="P22" i="109"/>
  <c r="P37" i="131"/>
  <c r="P37" i="116"/>
  <c r="R37" i="115"/>
  <c r="P25" i="129"/>
  <c r="R25" i="129"/>
  <c r="P18" i="115"/>
  <c r="R18" i="115"/>
  <c r="R14" i="127"/>
  <c r="P14" i="127"/>
  <c r="R16" i="116"/>
  <c r="P16" i="116"/>
  <c r="P27" i="119"/>
  <c r="R27" i="119"/>
  <c r="R16" i="130"/>
  <c r="P16" i="130"/>
  <c r="R24" i="110"/>
  <c r="P24" i="110"/>
  <c r="P25" i="113"/>
  <c r="R25" i="113"/>
  <c r="R14" i="129"/>
  <c r="P14" i="129"/>
  <c r="R26" i="117"/>
  <c r="P26" i="117"/>
  <c r="P19" i="120"/>
  <c r="R19" i="120"/>
  <c r="P16" i="117"/>
  <c r="R16" i="117"/>
  <c r="R25" i="109"/>
  <c r="P25" i="109"/>
  <c r="P37" i="119"/>
  <c r="P37" i="132"/>
  <c r="R37" i="125"/>
  <c r="R45" i="118"/>
  <c r="P45" i="127"/>
  <c r="P45" i="115"/>
  <c r="P37" i="130"/>
  <c r="R45" i="109"/>
  <c r="R37" i="121"/>
  <c r="P45" i="122"/>
  <c r="P37" i="114"/>
  <c r="P27" i="121"/>
  <c r="R27" i="121"/>
  <c r="P28" i="115"/>
  <c r="R28" i="115"/>
  <c r="P22" i="123"/>
  <c r="R22" i="123"/>
  <c r="R20" i="115"/>
  <c r="P20" i="115"/>
  <c r="R25" i="110"/>
  <c r="P25" i="110"/>
  <c r="R27" i="110"/>
  <c r="P27" i="110"/>
  <c r="R15" i="129"/>
  <c r="P15" i="129"/>
  <c r="R25" i="114"/>
  <c r="P25" i="114"/>
  <c r="P16" i="115"/>
  <c r="R16" i="115"/>
  <c r="P18" i="117"/>
  <c r="R18" i="117"/>
  <c r="R14" i="124"/>
  <c r="P14" i="124"/>
  <c r="P24" i="118"/>
  <c r="R24" i="118"/>
  <c r="R22" i="119"/>
  <c r="P22" i="119"/>
  <c r="R22" i="121"/>
  <c r="P22" i="121"/>
  <c r="R24" i="132"/>
  <c r="P24" i="132"/>
  <c r="P19" i="121"/>
  <c r="R19" i="121"/>
  <c r="P28" i="127"/>
  <c r="R28" i="127"/>
  <c r="R14" i="110"/>
  <c r="R14" i="131"/>
  <c r="P14" i="131"/>
  <c r="P16" i="129"/>
  <c r="R16" i="129"/>
  <c r="R19" i="128"/>
  <c r="P19" i="128"/>
  <c r="R17" i="117"/>
  <c r="P17" i="117"/>
  <c r="R17" i="123"/>
  <c r="P17" i="123"/>
  <c r="R20" i="129"/>
  <c r="P20" i="129"/>
  <c r="R25" i="124"/>
  <c r="P25" i="124"/>
  <c r="R27" i="117"/>
  <c r="P27" i="117"/>
  <c r="P26" i="110"/>
  <c r="R26" i="110"/>
  <c r="R16" i="119"/>
  <c r="P16" i="119"/>
  <c r="P24" i="115"/>
  <c r="R24" i="115"/>
  <c r="P20" i="110"/>
  <c r="R20" i="110"/>
  <c r="P23" i="109"/>
  <c r="R23" i="109"/>
  <c r="R28" i="113"/>
  <c r="P28" i="113"/>
  <c r="P14" i="116"/>
  <c r="R14" i="116"/>
  <c r="R19" i="114"/>
  <c r="P19" i="114"/>
  <c r="R23" i="129"/>
  <c r="P23" i="129"/>
  <c r="R14" i="119"/>
  <c r="P14" i="119"/>
  <c r="P22" i="128"/>
  <c r="R22" i="128"/>
  <c r="P14" i="120"/>
  <c r="R14" i="120"/>
  <c r="P18" i="121"/>
  <c r="R18" i="121"/>
  <c r="P27" i="129"/>
  <c r="R27" i="129"/>
  <c r="R23" i="128"/>
  <c r="P23" i="128"/>
  <c r="R22" i="118"/>
  <c r="P22" i="118"/>
  <c r="R28" i="119"/>
  <c r="P28" i="119"/>
  <c r="P19" i="129"/>
  <c r="R19" i="129"/>
  <c r="P19" i="125"/>
  <c r="R19" i="125"/>
  <c r="P19" i="117"/>
  <c r="R19" i="117"/>
  <c r="P23" i="131"/>
  <c r="R23" i="131"/>
  <c r="P16" i="128"/>
  <c r="R16" i="128"/>
  <c r="P25" i="131"/>
  <c r="R25" i="131"/>
  <c r="R26" i="115"/>
  <c r="P26" i="115"/>
  <c r="R16" i="133"/>
  <c r="P16" i="133"/>
  <c r="R24" i="130"/>
  <c r="P24" i="130"/>
  <c r="P28" i="117"/>
  <c r="R28" i="117"/>
  <c r="R14" i="109"/>
  <c r="P14" i="109"/>
  <c r="R26" i="109"/>
  <c r="P19" i="109"/>
  <c r="R19" i="109"/>
  <c r="R45" i="110"/>
  <c r="P24" i="113"/>
  <c r="R24" i="113"/>
  <c r="P23" i="114"/>
  <c r="R23" i="114"/>
  <c r="R14" i="128"/>
  <c r="P14" i="128"/>
  <c r="P17" i="120"/>
  <c r="R17" i="120"/>
  <c r="P25" i="117"/>
  <c r="R25" i="117"/>
  <c r="R23" i="133"/>
  <c r="P23" i="133"/>
  <c r="P18" i="128"/>
  <c r="R18" i="128"/>
  <c r="R17" i="129"/>
  <c r="P17" i="129"/>
  <c r="R27" i="122"/>
  <c r="P27" i="122"/>
  <c r="P16" i="126"/>
  <c r="R16" i="126"/>
  <c r="R37" i="124"/>
  <c r="R37" i="128"/>
  <c r="P37" i="113"/>
  <c r="R37" i="109"/>
  <c r="P45" i="119"/>
  <c r="P45" i="130"/>
  <c r="P45" i="114"/>
  <c r="P45" i="120"/>
  <c r="R23" i="123"/>
  <c r="P23" i="123"/>
  <c r="R28" i="124"/>
  <c r="P28" i="124"/>
  <c r="R18" i="113"/>
  <c r="P18" i="113"/>
  <c r="P17" i="114"/>
  <c r="R17" i="114"/>
  <c r="R16" i="110"/>
  <c r="P16" i="110"/>
  <c r="P17" i="119"/>
  <c r="R17" i="119"/>
  <c r="P27" i="116"/>
  <c r="R27" i="116"/>
  <c r="R23" i="116"/>
  <c r="P23" i="116"/>
  <c r="P18" i="130"/>
  <c r="R18" i="130"/>
  <c r="P16" i="120"/>
  <c r="R16" i="120"/>
  <c r="R27" i="125"/>
  <c r="P27" i="125"/>
  <c r="R19" i="119"/>
  <c r="P19" i="119"/>
  <c r="R27" i="131"/>
  <c r="P27" i="131"/>
  <c r="P18" i="133"/>
  <c r="R18" i="133"/>
  <c r="R28" i="120"/>
  <c r="P28" i="120"/>
  <c r="R24" i="129"/>
  <c r="P24" i="129"/>
  <c r="P24" i="119"/>
  <c r="R24" i="119"/>
  <c r="R25" i="122"/>
  <c r="P25" i="122"/>
  <c r="P15" i="127"/>
  <c r="R15" i="127"/>
  <c r="R24" i="121"/>
  <c r="P24" i="121"/>
  <c r="P25" i="132"/>
  <c r="R25" i="132"/>
  <c r="P28" i="128"/>
  <c r="R28" i="128"/>
  <c r="R27" i="123"/>
  <c r="P27" i="123"/>
  <c r="P15" i="124"/>
  <c r="R15" i="124"/>
  <c r="R17" i="110"/>
  <c r="P17" i="110"/>
  <c r="P28" i="125"/>
  <c r="R28" i="125"/>
  <c r="P23" i="119"/>
  <c r="R23" i="119"/>
  <c r="R24" i="126"/>
  <c r="P24" i="126"/>
  <c r="P19" i="113"/>
  <c r="R19" i="113"/>
  <c r="R28" i="133"/>
  <c r="P28" i="133"/>
  <c r="R15" i="131"/>
  <c r="P15" i="131"/>
  <c r="P23" i="120"/>
  <c r="R23" i="120"/>
  <c r="R20" i="116"/>
  <c r="P20" i="116"/>
  <c r="R26" i="119"/>
  <c r="P26" i="119"/>
  <c r="R20" i="120"/>
  <c r="P20" i="120"/>
  <c r="R15" i="121"/>
  <c r="P15" i="121"/>
  <c r="P23" i="132"/>
  <c r="R23" i="132"/>
  <c r="R15" i="119"/>
  <c r="P15" i="119"/>
  <c r="R20" i="113"/>
  <c r="P20" i="113"/>
  <c r="R27" i="133"/>
  <c r="P27" i="133"/>
  <c r="R17" i="111"/>
  <c r="P17" i="111"/>
  <c r="R17" i="122"/>
  <c r="P17" i="122"/>
  <c r="P19" i="123"/>
  <c r="R19" i="123"/>
  <c r="P23" i="113"/>
  <c r="R23" i="113"/>
  <c r="P25" i="128"/>
  <c r="R25" i="128"/>
  <c r="P22" i="115"/>
  <c r="R22" i="115"/>
  <c r="R15" i="130"/>
  <c r="P15" i="130"/>
  <c r="R28" i="123"/>
  <c r="P28" i="123"/>
  <c r="R27" i="132"/>
  <c r="P27" i="132"/>
  <c r="R20" i="114"/>
  <c r="P20" i="114"/>
  <c r="R24" i="109"/>
  <c r="P24" i="109"/>
  <c r="P22" i="132"/>
  <c r="R22" i="132"/>
  <c r="R20" i="132"/>
  <c r="P20" i="132"/>
  <c r="R14" i="126"/>
  <c r="P14" i="126"/>
  <c r="R26" i="126"/>
  <c r="P26" i="126"/>
  <c r="P37" i="126"/>
  <c r="R45" i="111"/>
  <c r="R18" i="120"/>
  <c r="P18" i="120"/>
  <c r="R15" i="126"/>
  <c r="P15" i="126"/>
  <c r="R22" i="116"/>
  <c r="P22" i="116"/>
  <c r="R14" i="133"/>
  <c r="P14" i="133"/>
  <c r="P19" i="111"/>
  <c r="R19" i="111"/>
  <c r="R27" i="111"/>
  <c r="P27" i="111"/>
  <c r="R19" i="126"/>
  <c r="P19" i="126"/>
  <c r="P28" i="114"/>
  <c r="R28" i="114"/>
  <c r="P20" i="122"/>
  <c r="R20" i="122"/>
  <c r="P16" i="114"/>
  <c r="R16" i="114"/>
  <c r="P18" i="127"/>
  <c r="R18" i="127"/>
  <c r="P26" i="118"/>
  <c r="R26" i="118"/>
  <c r="P37" i="115"/>
  <c r="R37" i="119"/>
  <c r="R37" i="111"/>
  <c r="R37" i="127"/>
  <c r="R37" i="120"/>
  <c r="P37" i="110"/>
  <c r="R45" i="125"/>
  <c r="P45" i="129"/>
  <c r="P45" i="128"/>
  <c r="R45" i="116"/>
  <c r="P45" i="117"/>
  <c r="R45" i="132"/>
  <c r="R37" i="122"/>
  <c r="P37" i="118"/>
  <c r="R45" i="124"/>
  <c r="R45" i="113"/>
  <c r="P37" i="123"/>
  <c r="P45" i="121"/>
  <c r="P37" i="117"/>
  <c r="P45" i="126"/>
  <c r="R45" i="123"/>
  <c r="P45" i="132"/>
  <c r="R15" i="111"/>
  <c r="P15" i="111"/>
  <c r="P23" i="130"/>
  <c r="R23" i="130"/>
  <c r="P22" i="131"/>
  <c r="R22" i="131"/>
  <c r="P23" i="125"/>
  <c r="R23" i="125"/>
  <c r="R22" i="110"/>
  <c r="P22" i="110"/>
  <c r="P15" i="120"/>
  <c r="R15" i="120"/>
  <c r="R24" i="122"/>
  <c r="P24" i="122"/>
  <c r="R18" i="132"/>
  <c r="P18" i="132"/>
  <c r="P24" i="111"/>
  <c r="R24" i="111"/>
  <c r="R18" i="114"/>
  <c r="P18" i="114"/>
  <c r="R17" i="128"/>
  <c r="P17" i="128"/>
  <c r="R26" i="114"/>
  <c r="P26" i="114"/>
  <c r="R18" i="116"/>
  <c r="P18" i="116"/>
  <c r="R27" i="128"/>
  <c r="P27" i="128"/>
  <c r="R23" i="117"/>
  <c r="P23" i="117"/>
  <c r="P27" i="120"/>
  <c r="R27" i="120"/>
  <c r="R15" i="110"/>
  <c r="P20" i="123"/>
  <c r="R20" i="123"/>
  <c r="R28" i="121"/>
  <c r="P28" i="121"/>
  <c r="R15" i="114"/>
  <c r="P15" i="114"/>
  <c r="P14" i="113"/>
  <c r="R14" i="113"/>
  <c r="P17" i="118"/>
  <c r="R17" i="118"/>
  <c r="R14" i="115"/>
  <c r="P14" i="115"/>
  <c r="R17" i="125"/>
  <c r="P17" i="125"/>
  <c r="R15" i="122"/>
  <c r="P15" i="122"/>
  <c r="P16" i="122"/>
  <c r="R16" i="122"/>
  <c r="P22" i="111"/>
  <c r="R22" i="111"/>
  <c r="R23" i="118"/>
  <c r="P23" i="118"/>
  <c r="P16" i="127"/>
  <c r="R16" i="127"/>
  <c r="R18" i="123"/>
  <c r="P18" i="123"/>
  <c r="R17" i="130"/>
  <c r="P17" i="130"/>
  <c r="P24" i="124"/>
  <c r="R24" i="124"/>
  <c r="R28" i="111"/>
  <c r="P28" i="111"/>
  <c r="P16" i="118"/>
  <c r="R16" i="118"/>
  <c r="R14" i="118"/>
  <c r="P14" i="118"/>
  <c r="P24" i="123"/>
  <c r="R24" i="123"/>
  <c r="R15" i="125"/>
  <c r="P15" i="125"/>
  <c r="R17" i="127"/>
  <c r="P17" i="127"/>
  <c r="R22" i="114"/>
  <c r="P22" i="114"/>
  <c r="R22" i="117"/>
  <c r="P22" i="117"/>
  <c r="P16" i="125"/>
  <c r="R16" i="125"/>
  <c r="R18" i="126"/>
  <c r="P18" i="126"/>
  <c r="P18" i="119"/>
  <c r="R18" i="119"/>
  <c r="R32" i="133"/>
  <c r="R37" i="133" s="1"/>
  <c r="P32" i="133"/>
  <c r="P37" i="133" s="1"/>
  <c r="P18" i="124"/>
  <c r="R18" i="124"/>
  <c r="R27" i="127"/>
  <c r="P27" i="127"/>
  <c r="R15" i="115"/>
  <c r="P15" i="115"/>
  <c r="R23" i="111"/>
  <c r="P23" i="111"/>
  <c r="R17" i="116"/>
  <c r="P17" i="116"/>
  <c r="R28" i="132"/>
  <c r="P28" i="132"/>
  <c r="P17" i="121"/>
  <c r="R17" i="121"/>
  <c r="R27" i="113"/>
  <c r="P27" i="113"/>
  <c r="R27" i="126"/>
  <c r="P27" i="126"/>
  <c r="R28" i="126"/>
  <c r="P28" i="126"/>
  <c r="P25" i="126"/>
  <c r="R25" i="126"/>
  <c r="R37" i="126"/>
  <c r="P45" i="111"/>
  <c r="R45" i="130"/>
  <c r="R29" i="82"/>
  <c r="R37" i="82"/>
  <c r="P29" i="82"/>
  <c r="P37" i="82"/>
  <c r="P21" i="82"/>
  <c r="R45" i="82"/>
  <c r="R21" i="82"/>
  <c r="P45" i="82"/>
  <c r="A373" i="2"/>
  <c r="V22" i="57"/>
  <c r="R29" i="121" l="1"/>
  <c r="P29" i="132"/>
  <c r="R29" i="133"/>
  <c r="P21" i="132"/>
  <c r="P29" i="127"/>
  <c r="R21" i="124"/>
  <c r="P29" i="124"/>
  <c r="R29" i="130"/>
  <c r="R29" i="125"/>
  <c r="P21" i="120"/>
  <c r="P29" i="117"/>
  <c r="P21" i="114"/>
  <c r="R21" i="109"/>
  <c r="R21" i="128"/>
  <c r="R29" i="110"/>
  <c r="P21" i="118"/>
  <c r="P29" i="114"/>
  <c r="P29" i="128"/>
  <c r="R21" i="110"/>
  <c r="R21" i="133"/>
  <c r="R21" i="131"/>
  <c r="R21" i="127"/>
  <c r="R29" i="122"/>
  <c r="R29" i="129"/>
  <c r="P29" i="131"/>
  <c r="R21" i="125"/>
  <c r="R29" i="132"/>
  <c r="R21" i="118"/>
  <c r="P29" i="123"/>
  <c r="P21" i="113"/>
  <c r="P21" i="116"/>
  <c r="P29" i="133"/>
  <c r="P29" i="120"/>
  <c r="P21" i="119"/>
  <c r="R21" i="119"/>
  <c r="R21" i="129"/>
  <c r="R21" i="132"/>
  <c r="P21" i="133"/>
  <c r="P21" i="131"/>
  <c r="P21" i="127"/>
  <c r="P29" i="122"/>
  <c r="P29" i="129"/>
  <c r="R29" i="131"/>
  <c r="P21" i="125"/>
  <c r="P29" i="115"/>
  <c r="P21" i="117"/>
  <c r="P29" i="121"/>
  <c r="R29" i="123"/>
  <c r="R21" i="113"/>
  <c r="R21" i="116"/>
  <c r="R29" i="120"/>
  <c r="R29" i="117"/>
  <c r="P29" i="113"/>
  <c r="R29" i="127"/>
  <c r="P21" i="124"/>
  <c r="P46" i="124" s="1"/>
  <c r="R29" i="115"/>
  <c r="P21" i="129"/>
  <c r="P21" i="109"/>
  <c r="P21" i="111"/>
  <c r="P21" i="128"/>
  <c r="R21" i="117"/>
  <c r="P29" i="130"/>
  <c r="P29" i="118"/>
  <c r="P29" i="110"/>
  <c r="R21" i="122"/>
  <c r="R29" i="113"/>
  <c r="R21" i="111"/>
  <c r="P29" i="126"/>
  <c r="P29" i="111"/>
  <c r="P21" i="122"/>
  <c r="R21" i="114"/>
  <c r="R21" i="120"/>
  <c r="P29" i="125"/>
  <c r="R29" i="124"/>
  <c r="P29" i="119"/>
  <c r="P21" i="115"/>
  <c r="P21" i="121"/>
  <c r="R21" i="126"/>
  <c r="R29" i="116"/>
  <c r="R21" i="123"/>
  <c r="R29" i="109"/>
  <c r="P21" i="130"/>
  <c r="R29" i="118"/>
  <c r="R29" i="126"/>
  <c r="R29" i="111"/>
  <c r="R29" i="114"/>
  <c r="R29" i="128"/>
  <c r="R29" i="119"/>
  <c r="R21" i="115"/>
  <c r="R46" i="115" s="1"/>
  <c r="R21" i="121"/>
  <c r="R46" i="121" s="1"/>
  <c r="P21" i="126"/>
  <c r="P29" i="116"/>
  <c r="P21" i="123"/>
  <c r="P29" i="109"/>
  <c r="R21" i="130"/>
  <c r="R46" i="130" s="1"/>
  <c r="P46" i="82"/>
  <c r="R46" i="82"/>
  <c r="A374" i="2"/>
  <c r="V24" i="57" s="1"/>
  <c r="V23" i="57"/>
  <c r="P46" i="128" l="1"/>
  <c r="P46" i="119"/>
  <c r="P46" i="132"/>
  <c r="P46" i="130"/>
  <c r="R46" i="128"/>
  <c r="R46" i="120"/>
  <c r="R46" i="127"/>
  <c r="R46" i="129"/>
  <c r="P46" i="127"/>
  <c r="P46" i="117"/>
  <c r="R46" i="132"/>
  <c r="R46" i="133"/>
  <c r="R46" i="109"/>
  <c r="R46" i="124"/>
  <c r="P46" i="120"/>
  <c r="R46" i="113"/>
  <c r="R46" i="111"/>
  <c r="R46" i="118"/>
  <c r="P46" i="118"/>
  <c r="R46" i="126"/>
  <c r="P46" i="114"/>
  <c r="P46" i="113"/>
  <c r="P46" i="133"/>
  <c r="P46" i="131"/>
  <c r="R46" i="131"/>
  <c r="P46" i="126"/>
  <c r="R46" i="125"/>
  <c r="P46" i="125"/>
  <c r="R46" i="122"/>
  <c r="P46" i="123"/>
  <c r="R46" i="123"/>
  <c r="P46" i="129"/>
  <c r="P46" i="121"/>
  <c r="P46" i="122"/>
  <c r="R46" i="119"/>
  <c r="R46" i="117"/>
  <c r="P46" i="115"/>
  <c r="P46" i="116"/>
  <c r="R46" i="116"/>
  <c r="P46" i="111"/>
  <c r="R46" i="110"/>
  <c r="R46" i="114"/>
  <c r="AS19" i="110"/>
  <c r="AU19" i="110" s="1"/>
  <c r="BL32" i="109"/>
  <c r="BL30" i="109"/>
  <c r="BL31" i="109"/>
  <c r="K37" i="109"/>
  <c r="AO31" i="109"/>
  <c r="L37" i="109"/>
  <c r="O32" i="109"/>
  <c r="AM32" i="109"/>
  <c r="BD32" i="109"/>
  <c r="BF32" i="109" s="1"/>
  <c r="M37" i="109"/>
  <c r="H37" i="109"/>
  <c r="N37" i="109"/>
  <c r="O31" i="109"/>
  <c r="AM31" i="109"/>
  <c r="I37" i="109"/>
  <c r="AO32" i="109"/>
  <c r="AK32" i="109"/>
  <c r="AS32" i="109"/>
  <c r="AU32" i="109" s="1"/>
  <c r="AS33" i="109"/>
  <c r="AU33" i="109" s="1"/>
  <c r="AO33" i="109"/>
  <c r="AK33" i="109"/>
  <c r="BD30" i="109"/>
  <c r="BF30" i="109" s="1"/>
  <c r="AM30" i="109"/>
  <c r="O33" i="109"/>
  <c r="AM33" i="109"/>
  <c r="BD33" i="109"/>
  <c r="BF33" i="109" s="1"/>
  <c r="H21" i="110"/>
  <c r="M21" i="110"/>
  <c r="K21" i="110"/>
  <c r="AM15" i="110"/>
  <c r="AZ15" i="110"/>
  <c r="AZ31" i="109"/>
  <c r="L21" i="110"/>
  <c r="AM13" i="110"/>
  <c r="AO30" i="109"/>
  <c r="AJ32" i="109"/>
  <c r="AZ32" i="109"/>
  <c r="BB32" i="109" s="1"/>
  <c r="AH30" i="109"/>
  <c r="AI30" i="109" s="1"/>
  <c r="BH32" i="109"/>
  <c r="BL34" i="109"/>
  <c r="BP34" i="109" s="1"/>
  <c r="AZ14" i="110"/>
  <c r="BB14" i="110" s="1"/>
  <c r="AJ33" i="109"/>
  <c r="AZ33" i="109"/>
  <c r="BB33" i="109"/>
  <c r="BL35" i="109"/>
  <c r="BO36" i="109" s="1"/>
  <c r="BM31" i="109"/>
  <c r="F21" i="110"/>
  <c r="BL36" i="109"/>
  <c r="BP36" i="109" s="1"/>
  <c r="BM33" i="109"/>
  <c r="F37" i="109"/>
  <c r="BH33" i="109"/>
  <c r="BJ33" i="109" s="1"/>
  <c r="BM32" i="109"/>
  <c r="G37" i="109"/>
  <c r="BL33" i="109"/>
  <c r="BO34" i="109" s="1"/>
  <c r="BH31" i="109"/>
  <c r="AS30" i="109"/>
  <c r="AU30" i="109" s="1"/>
  <c r="O14" i="110"/>
  <c r="BM30" i="109"/>
  <c r="BN30" i="109" s="1"/>
  <c r="O30" i="109"/>
  <c r="BH30" i="109"/>
  <c r="AZ30" i="109"/>
  <c r="BB30" i="109" s="1"/>
  <c r="E37" i="109"/>
  <c r="O15" i="110"/>
  <c r="E21" i="110"/>
  <c r="AA33" i="109"/>
  <c r="P33" i="109" s="1"/>
  <c r="AA32" i="109"/>
  <c r="P32" i="109" s="1"/>
  <c r="AA31" i="109"/>
  <c r="P31" i="109" s="1"/>
  <c r="AA15" i="110"/>
  <c r="P15" i="110" s="1"/>
  <c r="AA14" i="110"/>
  <c r="P14" i="110" s="1"/>
  <c r="AA30" i="109"/>
  <c r="P30" i="109" s="1"/>
  <c r="O37" i="109" l="1"/>
  <c r="O46" i="109" s="1"/>
  <c r="AC37" i="109"/>
  <c r="BO32" i="109"/>
  <c r="AH31" i="109"/>
  <c r="AR31" i="109" s="1"/>
  <c r="BO33" i="109"/>
  <c r="AJ14" i="110"/>
  <c r="BP31" i="109"/>
  <c r="BJ32" i="109"/>
  <c r="BJ31" i="109"/>
  <c r="BK31" i="109" s="1"/>
  <c r="V31" i="109" s="1"/>
  <c r="BN31" i="109"/>
  <c r="BP30" i="109"/>
  <c r="AQ30" i="109"/>
  <c r="BO35" i="109"/>
  <c r="BO30" i="109"/>
  <c r="BJ30" i="109"/>
  <c r="BK30" i="109" s="1"/>
  <c r="V30" i="109" s="1"/>
  <c r="BC30" i="109"/>
  <c r="P21" i="110"/>
  <c r="P46" i="110" s="1"/>
  <c r="BN33" i="109"/>
  <c r="U33" i="109" s="1"/>
  <c r="BJ35" i="109"/>
  <c r="U35" i="109" s="1"/>
  <c r="BK36" i="109"/>
  <c r="V36" i="109" s="1"/>
  <c r="BK35" i="109"/>
  <c r="V35" i="109" s="1"/>
  <c r="BP35" i="109"/>
  <c r="BJ36" i="109"/>
  <c r="U36" i="109" s="1"/>
  <c r="BK33" i="109"/>
  <c r="V33" i="109" s="1"/>
  <c r="BO31" i="109"/>
  <c r="BK34" i="109"/>
  <c r="V34" i="109" s="1"/>
  <c r="BJ34" i="109"/>
  <c r="U34" i="109" s="1"/>
  <c r="AJ13" i="110"/>
  <c r="AY30" i="109"/>
  <c r="AV30" i="109"/>
  <c r="AW30" i="109" s="1"/>
  <c r="AK13" i="110"/>
  <c r="P37" i="109"/>
  <c r="P46" i="109" s="1"/>
  <c r="G21" i="110"/>
  <c r="BL17" i="110"/>
  <c r="BH37" i="109"/>
  <c r="BL18" i="110"/>
  <c r="BI30" i="109"/>
  <c r="AT31" i="109"/>
  <c r="BL19" i="110"/>
  <c r="BD14" i="110"/>
  <c r="BF14" i="110" s="1"/>
  <c r="BL14" i="110"/>
  <c r="BC31" i="109"/>
  <c r="AS14" i="110"/>
  <c r="AU14" i="110" s="1"/>
  <c r="AH14" i="110"/>
  <c r="AH15" i="110" s="1"/>
  <c r="BB15" i="110" s="1"/>
  <c r="BK32" i="109"/>
  <c r="V32" i="109" s="1"/>
  <c r="AP30" i="109"/>
  <c r="AK30" i="109" s="1"/>
  <c r="AM14" i="110"/>
  <c r="AO15" i="110"/>
  <c r="AJ30" i="109"/>
  <c r="BL15" i="110"/>
  <c r="O21" i="110"/>
  <c r="BP32" i="109"/>
  <c r="BH15" i="110"/>
  <c r="BL20" i="110"/>
  <c r="BA30" i="109"/>
  <c r="BB31" i="109"/>
  <c r="I21" i="110"/>
  <c r="AO14" i="110"/>
  <c r="BH14" i="110"/>
  <c r="BM14" i="110"/>
  <c r="BN32" i="109"/>
  <c r="BP33" i="109"/>
  <c r="BM15" i="110"/>
  <c r="BE31" i="109"/>
  <c r="N21" i="110"/>
  <c r="BL16" i="110"/>
  <c r="AR30" i="109"/>
  <c r="U30" i="109" l="1"/>
  <c r="BA31" i="109"/>
  <c r="AJ31" i="109" s="1"/>
  <c r="BE32" i="109"/>
  <c r="AI31" i="109"/>
  <c r="AH32" i="109"/>
  <c r="BI31" i="109"/>
  <c r="AP31" i="109"/>
  <c r="AK31" i="109" s="1"/>
  <c r="AQ31" i="109"/>
  <c r="AT32" i="109"/>
  <c r="BD31" i="109"/>
  <c r="BF31" i="109" s="1"/>
  <c r="AS31" i="109"/>
  <c r="AU31" i="109" s="1"/>
  <c r="AV31" i="109" s="1"/>
  <c r="AW31" i="109" s="1"/>
  <c r="AY31" i="109"/>
  <c r="U31" i="109"/>
  <c r="U32" i="109"/>
  <c r="V37" i="109"/>
  <c r="AC21" i="110"/>
  <c r="BJ15" i="110"/>
  <c r="BK15" i="110" s="1"/>
  <c r="V15" i="110" s="1"/>
  <c r="AP14" i="110"/>
  <c r="AK14" i="110" s="1"/>
  <c r="BA14" i="110"/>
  <c r="AR14" i="110"/>
  <c r="BC14" i="110"/>
  <c r="AI14" i="110"/>
  <c r="AY14" i="110" s="1"/>
  <c r="BI14" i="110"/>
  <c r="BE15" i="110"/>
  <c r="AT15" i="110"/>
  <c r="AQ14" i="110"/>
  <c r="BO15" i="110"/>
  <c r="BN15" i="110"/>
  <c r="BP15" i="110"/>
  <c r="BP20" i="110"/>
  <c r="BK20" i="110"/>
  <c r="V20" i="110" s="1"/>
  <c r="BJ19" i="110"/>
  <c r="U19" i="110" s="1"/>
  <c r="BO19" i="110"/>
  <c r="BK18" i="110"/>
  <c r="V18" i="110" s="1"/>
  <c r="BP18" i="110"/>
  <c r="BK19" i="110"/>
  <c r="V19" i="110" s="1"/>
  <c r="BJ20" i="110"/>
  <c r="U20" i="110" s="1"/>
  <c r="BO20" i="110"/>
  <c r="BP19" i="110"/>
  <c r="BJ14" i="110"/>
  <c r="BK14" i="110" s="1"/>
  <c r="V14" i="110" s="1"/>
  <c r="BJ16" i="110"/>
  <c r="U16" i="110" s="1"/>
  <c r="BO16" i="110"/>
  <c r="AT16" i="110"/>
  <c r="AQ15" i="110"/>
  <c r="AH16" i="110"/>
  <c r="BA15" i="110"/>
  <c r="AJ15" i="110" s="1"/>
  <c r="AI15" i="110"/>
  <c r="BC15" i="110"/>
  <c r="BI15" i="110"/>
  <c r="BE16" i="110"/>
  <c r="AP15" i="110"/>
  <c r="AK15" i="110" s="1"/>
  <c r="AR15" i="110"/>
  <c r="BP37" i="109"/>
  <c r="BO18" i="110"/>
  <c r="BJ18" i="110"/>
  <c r="U18" i="110" s="1"/>
  <c r="BK17" i="110"/>
  <c r="V17" i="110" s="1"/>
  <c r="BP17" i="110"/>
  <c r="BK16" i="110"/>
  <c r="V16" i="110" s="1"/>
  <c r="BO17" i="110"/>
  <c r="BJ17" i="110"/>
  <c r="U17" i="110" s="1"/>
  <c r="BP16" i="110"/>
  <c r="BO14" i="110"/>
  <c r="BN14" i="110"/>
  <c r="BP14" i="110"/>
  <c r="O46" i="110"/>
  <c r="BC32" i="109"/>
  <c r="AH33" i="109"/>
  <c r="BI32" i="109"/>
  <c r="AT33" i="109"/>
  <c r="AQ32" i="109"/>
  <c r="AP32" i="109"/>
  <c r="AI32" i="109"/>
  <c r="AR32" i="109"/>
  <c r="BA32" i="109"/>
  <c r="BE33" i="109"/>
  <c r="AV14" i="110" l="1"/>
  <c r="AW14" i="110" s="1"/>
  <c r="BD15" i="110"/>
  <c r="BF15" i="110" s="1"/>
  <c r="AY15" i="110"/>
  <c r="AS15" i="110"/>
  <c r="AU15" i="110" s="1"/>
  <c r="U37" i="109"/>
  <c r="BQ37" i="109" s="1"/>
  <c r="BP21" i="110"/>
  <c r="V46" i="109"/>
  <c r="S37" i="109"/>
  <c r="AL37" i="109" s="1"/>
  <c r="T37" i="109" s="1"/>
  <c r="T46" i="109" s="1"/>
  <c r="BA33" i="109"/>
  <c r="AR33" i="109"/>
  <c r="BC33" i="109"/>
  <c r="AQ33" i="109"/>
  <c r="AH34" i="109"/>
  <c r="BI33" i="109"/>
  <c r="AI33" i="109"/>
  <c r="BE34" i="109"/>
  <c r="AT34" i="109"/>
  <c r="AP33" i="109"/>
  <c r="U14" i="110"/>
  <c r="V21" i="110"/>
  <c r="U15" i="110"/>
  <c r="AY32" i="109"/>
  <c r="AV32" i="109"/>
  <c r="AW32" i="109" s="1"/>
  <c r="AR16" i="110"/>
  <c r="AP16" i="110"/>
  <c r="AI16" i="110"/>
  <c r="BE17" i="110"/>
  <c r="BC16" i="110"/>
  <c r="AT17" i="110"/>
  <c r="AH17" i="110"/>
  <c r="BA16" i="110"/>
  <c r="BI16" i="110"/>
  <c r="AQ16" i="110"/>
  <c r="AV15" i="110"/>
  <c r="AW15" i="110" s="1"/>
  <c r="U46" i="109" l="1"/>
  <c r="U21" i="110"/>
  <c r="U46" i="110" s="1"/>
  <c r="W37" i="109"/>
  <c r="W46" i="109" s="1"/>
  <c r="V46" i="110"/>
  <c r="S21" i="110"/>
  <c r="AL21" i="110" s="1"/>
  <c r="T21" i="110" s="1"/>
  <c r="T46" i="110" s="1"/>
  <c r="S46" i="109"/>
  <c r="AD37" i="109"/>
  <c r="AE37" i="109" s="1"/>
  <c r="BI17" i="110"/>
  <c r="BC17" i="110"/>
  <c r="BE18" i="110"/>
  <c r="AQ17" i="110"/>
  <c r="AI17" i="110"/>
  <c r="AT18" i="110"/>
  <c r="AP17" i="110"/>
  <c r="AH18" i="110"/>
  <c r="BA17" i="110"/>
  <c r="AR17" i="110"/>
  <c r="AR34" i="109"/>
  <c r="AP34" i="109"/>
  <c r="AI34" i="109"/>
  <c r="AH35" i="109"/>
  <c r="BA34" i="109"/>
  <c r="AQ34" i="109"/>
  <c r="BC34" i="109"/>
  <c r="BI34" i="109"/>
  <c r="BE35" i="109"/>
  <c r="AT35" i="109"/>
  <c r="AY16" i="110"/>
  <c r="AV16" i="110"/>
  <c r="AW16" i="110" s="1"/>
  <c r="AY33" i="109"/>
  <c r="AV33" i="109"/>
  <c r="AW33" i="109" s="1"/>
  <c r="BQ21" i="110" l="1"/>
  <c r="S46" i="110"/>
  <c r="AD21" i="110"/>
  <c r="AE21" i="110" s="1"/>
  <c r="W21" i="110"/>
  <c r="W46" i="110" s="1"/>
  <c r="BI35" i="109"/>
  <c r="AR35" i="109"/>
  <c r="AT36" i="109"/>
  <c r="AP35" i="109"/>
  <c r="AI35" i="109"/>
  <c r="AS35" i="109" s="1"/>
  <c r="AU35" i="109" s="1"/>
  <c r="AH36" i="109"/>
  <c r="BC35" i="109"/>
  <c r="BA35" i="109"/>
  <c r="AQ35" i="109"/>
  <c r="BE36" i="109"/>
  <c r="AP18" i="110"/>
  <c r="BI18" i="110"/>
  <c r="BA18" i="110"/>
  <c r="BC18" i="110"/>
  <c r="AQ18" i="110"/>
  <c r="BE19" i="110"/>
  <c r="AT19" i="110"/>
  <c r="AR18" i="110"/>
  <c r="AI18" i="110"/>
  <c r="AH19" i="110"/>
  <c r="AY17" i="110"/>
  <c r="AV17" i="110"/>
  <c r="AW17" i="110" s="1"/>
  <c r="AY34" i="109"/>
  <c r="AV34" i="109"/>
  <c r="AW34" i="109" s="1"/>
  <c r="AK35" i="109" l="1"/>
  <c r="AR36" i="109"/>
  <c r="AP36" i="109"/>
  <c r="BI36" i="109"/>
  <c r="AQ36" i="109"/>
  <c r="BA36" i="109"/>
  <c r="AI36" i="109"/>
  <c r="BC36" i="109"/>
  <c r="AY18" i="110"/>
  <c r="AV18" i="110"/>
  <c r="AW18" i="110" s="1"/>
  <c r="AR19" i="110"/>
  <c r="BE20" i="110"/>
  <c r="AH20" i="110"/>
  <c r="BC19" i="110"/>
  <c r="AP19" i="110"/>
  <c r="AT20" i="110"/>
  <c r="AI19" i="110"/>
  <c r="AQ19" i="110"/>
  <c r="BA19" i="110"/>
  <c r="BI19" i="110"/>
  <c r="AY35" i="109"/>
  <c r="AV35" i="109"/>
  <c r="AW35" i="109" s="1"/>
  <c r="AY36" i="109" l="1"/>
  <c r="AV36" i="109"/>
  <c r="AW36" i="109" s="1"/>
  <c r="AY19" i="110"/>
  <c r="AV19" i="110"/>
  <c r="AW19" i="110" s="1"/>
  <c r="AP20" i="110"/>
  <c r="BA20" i="110"/>
  <c r="AI20" i="110"/>
  <c r="BI20" i="110"/>
  <c r="AR20" i="110"/>
  <c r="AQ20" i="110"/>
  <c r="BC20" i="110"/>
  <c r="AY20" i="110" l="1"/>
  <c r="AV20" i="110"/>
  <c r="AW20" i="110" s="1"/>
  <c r="AK13" i="113"/>
</calcChain>
</file>

<file path=xl/sharedStrings.xml><?xml version="1.0" encoding="utf-8"?>
<sst xmlns="http://schemas.openxmlformats.org/spreadsheetml/2006/main" count="2768" uniqueCount="108">
  <si>
    <t>Mississippi State University</t>
  </si>
  <si>
    <t>Non-Exempt Employee Semi-Monthly Time Report</t>
  </si>
  <si>
    <t>MSU ID #:</t>
  </si>
  <si>
    <t>Pay period start date:</t>
  </si>
  <si>
    <t>Name:</t>
  </si>
  <si>
    <t>Pay period end date:</t>
  </si>
  <si>
    <t>Department:</t>
  </si>
  <si>
    <t>Pay Period Number:</t>
  </si>
  <si>
    <t>Work Week Dates</t>
  </si>
  <si>
    <t>Day of The Week</t>
  </si>
  <si>
    <t>Actual Hours Worked</t>
  </si>
  <si>
    <t>Compensatory Time Used</t>
  </si>
  <si>
    <t>Holiday</t>
  </si>
  <si>
    <t>Medical Leave</t>
  </si>
  <si>
    <t>Personal Leave</t>
  </si>
  <si>
    <t>Military Leave</t>
  </si>
  <si>
    <t>Leave Without Pay</t>
  </si>
  <si>
    <t>Totals</t>
  </si>
  <si>
    <t>DOC</t>
  </si>
  <si>
    <t>RTO</t>
  </si>
  <si>
    <t>Overtime Hours</t>
  </si>
  <si>
    <t>Hours Transferred to Comp. Record</t>
  </si>
  <si>
    <t>SST</t>
  </si>
  <si>
    <t>Sunday</t>
  </si>
  <si>
    <t>Monday</t>
  </si>
  <si>
    <t>Tuesday</t>
  </si>
  <si>
    <t>Wednesday</t>
  </si>
  <si>
    <t>Thursday</t>
  </si>
  <si>
    <t>Friday</t>
  </si>
  <si>
    <t>Saturday</t>
  </si>
  <si>
    <t>Week 2 Totals</t>
  </si>
  <si>
    <t>Week 3 Totals</t>
  </si>
  <si>
    <t>Week 4 Totals</t>
  </si>
  <si>
    <t>Leave/Leave Without Pay Policy</t>
  </si>
  <si>
    <t>Employee signature</t>
  </si>
  <si>
    <t>Date</t>
  </si>
  <si>
    <t>Overtime/Compensatory Time</t>
  </si>
  <si>
    <t>I certify this record is accurate and accounts for my time during the indicated period.</t>
  </si>
  <si>
    <t>Time Sheet Definitions/Policies</t>
  </si>
  <si>
    <t>Manager signature</t>
  </si>
  <si>
    <t>I certify the hours recorded and coded on this form are correct and in compliance with University policy.</t>
  </si>
  <si>
    <t>Payroll Dates</t>
  </si>
  <si>
    <t>Conversion Factor</t>
  </si>
  <si>
    <t>Hours-Previous WK (Due to Split WK)</t>
  </si>
  <si>
    <t>Administrative Closing/Leave</t>
  </si>
  <si>
    <t>Total-Net Previous Week</t>
  </si>
  <si>
    <r>
      <t xml:space="preserve">Instructions:  </t>
    </r>
    <r>
      <rPr>
        <sz val="9"/>
        <rFont val="Arial Narrow"/>
        <family val="2"/>
      </rPr>
      <t>The Fair Labor Standards Act requires that a record of hours worked on a weekly basis be maintained for all employees except executive, administrative, managerial, faculty, and professional (non-faculty).  Department/unit heads are responsible for compiling and maintaining this record in department files on each covered employee for a period of at least (3) years.</t>
    </r>
  </si>
  <si>
    <t>No</t>
  </si>
  <si>
    <t>Yes</t>
  </si>
  <si>
    <t>Please Select</t>
  </si>
  <si>
    <t>RTO-Payroll Conversion</t>
  </si>
  <si>
    <t>DOC-Payroll Conversion</t>
  </si>
  <si>
    <t>SST-Payroll</t>
  </si>
  <si>
    <t>HOT-Holiday Pay</t>
  </si>
  <si>
    <t>HOW-Holiday Pay</t>
  </si>
  <si>
    <t>Cumm Actual HRS</t>
  </si>
  <si>
    <t>Over 40</t>
  </si>
  <si>
    <t>Jury Duty</t>
  </si>
  <si>
    <t>Administrative Leave</t>
  </si>
  <si>
    <t>M.L. King, Jr. Day</t>
  </si>
  <si>
    <t>New Year's Day</t>
  </si>
  <si>
    <t>Good Friday</t>
  </si>
  <si>
    <t>Memorial Day</t>
  </si>
  <si>
    <t>Independence Day</t>
  </si>
  <si>
    <t>Labor Day</t>
  </si>
  <si>
    <t>Thanksgiving Holiday</t>
  </si>
  <si>
    <t>Christmas/Winter Holiday</t>
  </si>
  <si>
    <t>Receive Compensatory Time</t>
  </si>
  <si>
    <t>Comp. Time</t>
  </si>
  <si>
    <t>FIELDS MUST BE ENTERED FOR CALULATIONS TO WORK PROPERLY</t>
  </si>
  <si>
    <t>From</t>
  </si>
  <si>
    <t>To</t>
  </si>
  <si>
    <t>Pay #</t>
  </si>
  <si>
    <t>Beginning Holiday Date</t>
  </si>
  <si>
    <t>Ending Holiday Date</t>
  </si>
  <si>
    <t>Employee Scheduled Hours Per Week</t>
  </si>
  <si>
    <t>MAKE SURE YOU CHECK LINKS FOR PREVIOUS WEEKS AND LOCK/UNLOCK NECESSARY CELL FOR EACH NEW FISCAL YEAR.</t>
  </si>
  <si>
    <t>When you link the previous week days, do a custom format to not show the data.  (Select Format Cell, Custom, ;;;).  This will hide the data.</t>
  </si>
  <si>
    <t>The straight time calculations and overtime calculations are different if the time carries over to the next time sheet to keep the straight time and overtime correct.  Make sure you check your calculations each fiscal year to make the approprate changes.</t>
  </si>
  <si>
    <t>Week 1 Totals</t>
  </si>
  <si>
    <t>RATE</t>
  </si>
  <si>
    <t xml:space="preserve">Need to add an additional column for Administrative Leave </t>
  </si>
  <si>
    <t>If the University closes for a half a day, you will need a column for Administrative Leave Schedule Worked HRS</t>
  </si>
  <si>
    <t>This column will be used to subtract from HOW hours because they were suppose to work half of that day and not be off the whole day.</t>
  </si>
  <si>
    <t>Administrative Closing/SCHD HRS</t>
  </si>
  <si>
    <t>Administrative Close/SCHD WRK HRS</t>
  </si>
  <si>
    <r>
      <t xml:space="preserve">“Administrative Close/SCHD WRK HRS” </t>
    </r>
    <r>
      <rPr>
        <b/>
        <sz val="10"/>
        <color theme="1"/>
        <rFont val="Arial Narrow"/>
        <family val="2"/>
      </rPr>
      <t xml:space="preserve">– </t>
    </r>
    <r>
      <rPr>
        <sz val="10"/>
        <color theme="1"/>
        <rFont val="Arial Narrow"/>
        <family val="2"/>
      </rPr>
      <t xml:space="preserve">Only key hours into this field if the University is closed for part of a day and not the whole day.  You would key your schedule hours you worked before the University closed into this field and the hours the University closed in the </t>
    </r>
    <r>
      <rPr>
        <b/>
        <sz val="10"/>
        <color rgb="FFFF0000"/>
        <rFont val="Arial Narrow"/>
        <family val="2"/>
      </rPr>
      <t>“Administrative Closing/Leave field.”</t>
    </r>
    <r>
      <rPr>
        <sz val="10"/>
        <color theme="1"/>
        <rFont val="Arial Narrow"/>
        <family val="2"/>
      </rPr>
      <t xml:space="preserve">  If an individual worked during the time the University was closed, they would enter those hours into the </t>
    </r>
    <r>
      <rPr>
        <b/>
        <sz val="10"/>
        <color rgb="FFFF0000"/>
        <rFont val="Arial Narrow"/>
        <family val="2"/>
      </rPr>
      <t xml:space="preserve">“Actual Hours Worked” </t>
    </r>
    <r>
      <rPr>
        <sz val="10"/>
        <color theme="1"/>
        <rFont val="Arial Narrow"/>
        <family val="2"/>
      </rPr>
      <t>field.</t>
    </r>
  </si>
  <si>
    <t>Administrative/Schedule</t>
  </si>
  <si>
    <t>HOW ANALYSIS</t>
  </si>
  <si>
    <t>Actual Wrk Hrs During  Admin Close Period</t>
  </si>
  <si>
    <t>Administrative Closing/Leave Period</t>
  </si>
  <si>
    <t>HOW-Holiday Pay or Admin/Leave Closing</t>
  </si>
  <si>
    <t>Holiday=0
1</t>
  </si>
  <si>
    <t>&lt;=40
5</t>
  </si>
  <si>
    <t>HOT Workup</t>
  </si>
  <si>
    <t>HOT-Holiday Pay (HOLIDAY PAY)</t>
  </si>
  <si>
    <t>HOT-Administrative HRS</t>
  </si>
  <si>
    <t>Administrative=0
1</t>
  </si>
  <si>
    <t>Holiday Flag</t>
  </si>
  <si>
    <t>Up to 40</t>
  </si>
  <si>
    <t>How</t>
  </si>
  <si>
    <t>Hot</t>
  </si>
  <si>
    <t>Admin Flag</t>
  </si>
  <si>
    <t>Admin</t>
  </si>
  <si>
    <t>Admin HOW</t>
  </si>
  <si>
    <t>Admin OVT</t>
  </si>
  <si>
    <r>
      <t xml:space="preserve">“Actual Work Hours During Administrative Close Period” </t>
    </r>
    <r>
      <rPr>
        <b/>
        <sz val="10"/>
        <color theme="1"/>
        <rFont val="Arial Narrow"/>
        <family val="2"/>
      </rPr>
      <t>– Only key the hours actually worked during the admministrative closing period into this field.</t>
    </r>
    <r>
      <rPr>
        <sz val="10"/>
        <color theme="1"/>
        <rFont val="Arial Narrow"/>
        <family val="2"/>
      </rPr>
      <t xml:space="preserve"> </t>
    </r>
  </si>
  <si>
    <r>
      <t xml:space="preserve">“Administrative Closing/Leave Period field.”  </t>
    </r>
    <r>
      <rPr>
        <b/>
        <sz val="10"/>
        <rFont val="Arial Narrow"/>
        <family val="2"/>
      </rPr>
      <t xml:space="preserve">Entter the number of hours of the declared period of administrative closing. (The total hours worked during the entire day will be entered into the </t>
    </r>
    <r>
      <rPr>
        <b/>
        <sz val="10"/>
        <color rgb="FFFF0000"/>
        <rFont val="Arial Narrow"/>
        <family val="2"/>
      </rPr>
      <t>“Actual Hours Worked”</t>
    </r>
    <r>
      <rPr>
        <b/>
        <sz val="10"/>
        <rFont val="Arial Narrow"/>
        <family val="2"/>
      </rPr>
      <t xml:space="preserve"> field.)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</si>
</sst>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
    <numFmt numFmtId="165" formatCode="[$-F800]dddd\,\ mmmm\ dd\,\ yyyy"/>
    <numFmt numFmtId="166" formatCode="[$-409]mmmm\ d\,\ yyyy;@"/>
    <numFmt numFmtId="167" formatCode="0.000"/>
    <numFmt numFmtId="168" formatCode=";;;"/>
  </numFmts>
  <fonts count="45">
    <font>
      <sz val="10"/>
      <color theme="1"/>
      <name val="Arial Narrow"/>
      <family val="2"/>
    </font>
    <font>
      <b/>
      <sz val="10"/>
      <color theme="0"/>
      <name val="Arial Narrow"/>
      <family val="2"/>
    </font>
    <font>
      <sz val="10"/>
      <color theme="0"/>
      <name val="Arial Narrow"/>
      <family val="2"/>
    </font>
    <font>
      <sz val="10"/>
      <name val="Arial"/>
      <family val="2"/>
    </font>
    <font>
      <b/>
      <sz val="12"/>
      <color theme="1" tint="0.249977111117893"/>
      <name val="Calibri"/>
      <family val="2"/>
      <scheme val="minor"/>
    </font>
    <font>
      <sz val="10"/>
      <name val="Calibri"/>
      <family val="2"/>
      <scheme val="minor"/>
    </font>
    <font>
      <sz val="9"/>
      <name val="Calibri"/>
      <family val="2"/>
      <scheme val="minor"/>
    </font>
    <font>
      <b/>
      <sz val="9"/>
      <name val="Calibri"/>
      <family val="2"/>
      <scheme val="minor"/>
    </font>
    <font>
      <b/>
      <sz val="10"/>
      <name val="Calibri"/>
      <family val="2"/>
      <scheme val="minor"/>
    </font>
    <font>
      <u/>
      <sz val="10"/>
      <color theme="10"/>
      <name val="Arial"/>
      <family val="2"/>
    </font>
    <font>
      <b/>
      <sz val="10"/>
      <color rgb="FFFF0000"/>
      <name val="Calibri"/>
      <family val="2"/>
      <scheme val="minor"/>
    </font>
    <font>
      <b/>
      <sz val="9"/>
      <color theme="0"/>
      <name val="Calibri"/>
      <family val="2"/>
      <scheme val="minor"/>
    </font>
    <font>
      <b/>
      <sz val="9"/>
      <name val="Arial Narrow"/>
      <family val="2"/>
    </font>
    <font>
      <sz val="9"/>
      <name val="Arial Narrow"/>
      <family val="2"/>
    </font>
    <font>
      <sz val="10"/>
      <name val="Arial Black"/>
      <family val="2"/>
    </font>
    <font>
      <b/>
      <sz val="10"/>
      <name val="Arial Black"/>
      <family val="2"/>
    </font>
    <font>
      <b/>
      <u/>
      <sz val="9"/>
      <name val="Arial Narrow"/>
      <family val="2"/>
    </font>
    <font>
      <b/>
      <sz val="9"/>
      <color rgb="FFFF0000"/>
      <name val="Arial Narrow"/>
      <family val="2"/>
    </font>
    <font>
      <sz val="9"/>
      <color rgb="FFFF0000"/>
      <name val="Arial Narrow"/>
      <family val="2"/>
    </font>
    <font>
      <u/>
      <sz val="9"/>
      <color theme="10"/>
      <name val="Arial Narrow"/>
      <family val="2"/>
    </font>
    <font>
      <b/>
      <sz val="12"/>
      <color theme="1" tint="0.249977111117893"/>
      <name val="Arial Black"/>
      <family val="2"/>
    </font>
    <font>
      <b/>
      <i/>
      <sz val="9"/>
      <name val="Arial Narrow"/>
      <family val="2"/>
    </font>
    <font>
      <sz val="10"/>
      <color rgb="FFFF0000"/>
      <name val="Arial Black"/>
      <family val="2"/>
    </font>
    <font>
      <sz val="10"/>
      <color rgb="FFFF0000"/>
      <name val="Calibri"/>
      <family val="2"/>
      <scheme val="minor"/>
    </font>
    <font>
      <sz val="9"/>
      <color rgb="FFFF0000"/>
      <name val="Calibri"/>
      <family val="2"/>
      <scheme val="minor"/>
    </font>
    <font>
      <b/>
      <sz val="9"/>
      <color rgb="FF5C0033"/>
      <name val="Arial Narrow"/>
      <family val="2"/>
    </font>
    <font>
      <b/>
      <i/>
      <sz val="9"/>
      <color rgb="FF5C0033"/>
      <name val="Arial Narrow"/>
      <family val="2"/>
    </font>
    <font>
      <b/>
      <i/>
      <sz val="9"/>
      <color rgb="FFFF0000"/>
      <name val="Arial Narrow"/>
      <family val="2"/>
    </font>
    <font>
      <b/>
      <sz val="8"/>
      <color theme="1"/>
      <name val="Arial Narrow"/>
      <family val="2"/>
    </font>
    <font>
      <sz val="8"/>
      <color theme="1"/>
      <name val="Arial Narrow"/>
      <family val="2"/>
    </font>
    <font>
      <b/>
      <sz val="10"/>
      <name val="Times New Roman"/>
      <family val="1"/>
    </font>
    <font>
      <sz val="10"/>
      <name val="Times New Roman"/>
      <family val="1"/>
    </font>
    <font>
      <b/>
      <sz val="10"/>
      <color rgb="FF800000"/>
      <name val="Arial Narrow"/>
      <family val="2"/>
    </font>
    <font>
      <b/>
      <sz val="7"/>
      <color theme="0"/>
      <name val="Adobe Gothic Std B"/>
      <family val="2"/>
      <charset val="128"/>
    </font>
    <font>
      <b/>
      <sz val="10"/>
      <color rgb="FFFF0000"/>
      <name val="Times New Roman"/>
      <family val="1"/>
    </font>
    <font>
      <b/>
      <sz val="10"/>
      <color rgb="FFFF0000"/>
      <name val="Arial Narrow"/>
      <family val="2"/>
    </font>
    <font>
      <b/>
      <sz val="10"/>
      <color theme="1"/>
      <name val="Arial Narrow"/>
      <family val="2"/>
    </font>
    <font>
      <b/>
      <sz val="8"/>
      <color rgb="FFFF0000"/>
      <name val="Arial Narrow"/>
      <family val="2"/>
    </font>
    <font>
      <b/>
      <sz val="12"/>
      <name val="Calibri"/>
      <family val="2"/>
      <scheme val="minor"/>
    </font>
    <font>
      <b/>
      <sz val="14"/>
      <name val="Arial Narrow"/>
      <family val="2"/>
    </font>
    <font>
      <b/>
      <sz val="11"/>
      <name val="Arial Narrow"/>
      <family val="2"/>
    </font>
    <font>
      <b/>
      <sz val="9"/>
      <color rgb="FF00B050"/>
      <name val="Arial Narrow"/>
      <family val="2"/>
    </font>
    <font>
      <b/>
      <sz val="10"/>
      <color rgb="FF7030A0"/>
      <name val="Calibri"/>
      <family val="2"/>
      <scheme val="minor"/>
    </font>
    <font>
      <u/>
      <sz val="9"/>
      <name val="Arial Narrow"/>
      <family val="2"/>
    </font>
    <font>
      <b/>
      <sz val="10"/>
      <name val="Arial Narrow"/>
      <family val="2"/>
    </font>
  </fonts>
  <fills count="2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indexed="9"/>
        <bgColor indexed="64"/>
      </patternFill>
    </fill>
    <fill>
      <patternFill patternType="solid">
        <fgColor theme="1"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E9FECC"/>
        <bgColor indexed="64"/>
      </patternFill>
    </fill>
    <fill>
      <patternFill patternType="solid">
        <fgColor rgb="FFE1E5EB"/>
        <bgColor indexed="64"/>
      </patternFill>
    </fill>
    <fill>
      <gradientFill type="path">
        <stop position="0">
          <color theme="1" tint="0.49803155613879818"/>
        </stop>
        <stop position="1">
          <color rgb="FF5C0000"/>
        </stop>
      </gradientFill>
    </fill>
    <fill>
      <patternFill patternType="solid">
        <fgColor theme="2" tint="-0.249977111117893"/>
        <bgColor indexed="64"/>
      </patternFill>
    </fill>
    <fill>
      <patternFill patternType="solid">
        <fgColor theme="9" tint="0.79998168889431442"/>
        <bgColor indexed="64"/>
      </patternFill>
    </fill>
    <fill>
      <patternFill patternType="solid">
        <fgColor rgb="FFE4F0DC"/>
        <bgColor indexed="64"/>
      </patternFill>
    </fill>
    <fill>
      <patternFill patternType="solid">
        <fgColor rgb="FFFADCDA"/>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79998168889431442"/>
        <bgColor indexed="64"/>
      </patternFill>
    </fill>
  </fills>
  <borders count="42">
    <border>
      <left/>
      <right/>
      <top/>
      <bottom/>
      <diagonal/>
    </border>
    <border>
      <left/>
      <right/>
      <top/>
      <bottom style="medium">
        <color indexed="64"/>
      </bottom>
      <diagonal/>
    </border>
    <border>
      <left/>
      <right/>
      <top style="medium">
        <color indexed="64"/>
      </top>
      <bottom style="medium">
        <color indexed="64"/>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style="double">
        <color auto="1"/>
      </top>
      <bottom/>
      <diagonal/>
    </border>
    <border>
      <left style="thin">
        <color auto="1"/>
      </left>
      <right style="thin">
        <color auto="1"/>
      </right>
      <top style="double">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s>
  <cellStyleXfs count="3">
    <xf numFmtId="0" fontId="0" fillId="0" borderId="0"/>
    <xf numFmtId="0" fontId="3" fillId="0" borderId="0"/>
    <xf numFmtId="0" fontId="9" fillId="0" borderId="0" applyNumberFormat="0" applyFill="0" applyBorder="0" applyAlignment="0" applyProtection="0"/>
  </cellStyleXfs>
  <cellXfs count="285">
    <xf numFmtId="0" fontId="0" fillId="0" borderId="0" xfId="0"/>
    <xf numFmtId="0" fontId="5" fillId="2" borderId="0" xfId="1" applyFont="1" applyFill="1"/>
    <xf numFmtId="0" fontId="5" fillId="2" borderId="0" xfId="1" applyFont="1" applyFill="1" applyProtection="1">
      <protection hidden="1"/>
    </xf>
    <xf numFmtId="0" fontId="4" fillId="2" borderId="0" xfId="1" applyFont="1" applyFill="1" applyAlignment="1">
      <alignment horizontal="center" vertical="center"/>
    </xf>
    <xf numFmtId="0" fontId="6" fillId="2" borderId="0" xfId="1" applyFont="1" applyFill="1"/>
    <xf numFmtId="0" fontId="6" fillId="2" borderId="0" xfId="1" applyFont="1" applyFill="1" applyProtection="1">
      <protection hidden="1"/>
    </xf>
    <xf numFmtId="0" fontId="8" fillId="2" borderId="0" xfId="1" applyFont="1" applyFill="1"/>
    <xf numFmtId="165" fontId="6" fillId="2" borderId="0" xfId="1" applyNumberFormat="1" applyFont="1" applyFill="1"/>
    <xf numFmtId="0" fontId="2" fillId="5" borderId="0" xfId="0" applyFont="1" applyFill="1" applyAlignment="1">
      <alignment horizontal="left"/>
    </xf>
    <xf numFmtId="167" fontId="6" fillId="2" borderId="19" xfId="1" applyNumberFormat="1" applyFont="1" applyFill="1" applyBorder="1" applyAlignment="1" applyProtection="1">
      <alignment horizontal="right" vertical="center"/>
      <protection hidden="1"/>
    </xf>
    <xf numFmtId="167" fontId="0" fillId="0" borderId="19" xfId="0" applyNumberFormat="1" applyBorder="1" applyAlignment="1">
      <alignment horizontal="right"/>
    </xf>
    <xf numFmtId="167" fontId="0" fillId="0" borderId="0" xfId="0" applyNumberFormat="1" applyAlignment="1">
      <alignment horizontal="right"/>
    </xf>
    <xf numFmtId="166" fontId="11" fillId="5" borderId="0" xfId="1" applyNumberFormat="1" applyFont="1" applyFill="1"/>
    <xf numFmtId="166" fontId="2" fillId="5" borderId="0" xfId="0" applyNumberFormat="1" applyFont="1" applyFill="1"/>
    <xf numFmtId="166" fontId="11" fillId="5" borderId="0" xfId="1" applyNumberFormat="1" applyFont="1" applyFill="1" applyAlignment="1">
      <alignment horizontal="left"/>
    </xf>
    <xf numFmtId="166" fontId="6" fillId="2" borderId="19" xfId="1" applyNumberFormat="1" applyFont="1" applyFill="1" applyBorder="1" applyAlignment="1">
      <alignment horizontal="left"/>
    </xf>
    <xf numFmtId="166" fontId="0" fillId="0" borderId="0" xfId="0" applyNumberFormat="1"/>
    <xf numFmtId="166" fontId="7" fillId="2" borderId="0" xfId="1" applyNumberFormat="1" applyFont="1" applyFill="1" applyAlignment="1" applyProtection="1">
      <alignment vertical="center"/>
      <protection hidden="1"/>
    </xf>
    <xf numFmtId="166" fontId="5" fillId="2" borderId="0" xfId="1" applyNumberFormat="1" applyFont="1" applyFill="1"/>
    <xf numFmtId="166" fontId="11" fillId="5" borderId="19" xfId="1" applyNumberFormat="1" applyFont="1" applyFill="1" applyBorder="1" applyAlignment="1">
      <alignment horizontal="left"/>
    </xf>
    <xf numFmtId="0" fontId="1" fillId="5" borderId="0" xfId="0" applyFont="1" applyFill="1" applyAlignment="1">
      <alignment horizontal="center" vertical="top" wrapText="1"/>
    </xf>
    <xf numFmtId="166" fontId="1" fillId="5" borderId="0" xfId="0" applyNumberFormat="1" applyFont="1" applyFill="1" applyAlignment="1">
      <alignment horizontal="center" vertical="top"/>
    </xf>
    <xf numFmtId="0" fontId="10" fillId="0" borderId="0" xfId="1" applyFont="1" applyAlignment="1" applyProtection="1">
      <alignment horizontal="left"/>
      <protection hidden="1"/>
    </xf>
    <xf numFmtId="0" fontId="12" fillId="3" borderId="21" xfId="1" applyFont="1" applyFill="1" applyBorder="1" applyAlignment="1">
      <alignment horizontal="center" vertical="center" textRotation="90" wrapText="1"/>
    </xf>
    <xf numFmtId="0" fontId="13" fillId="2" borderId="0" xfId="1" applyFont="1" applyFill="1"/>
    <xf numFmtId="0" fontId="13" fillId="2" borderId="0" xfId="1" applyFont="1" applyFill="1" applyProtection="1">
      <protection hidden="1"/>
    </xf>
    <xf numFmtId="0" fontId="14" fillId="2" borderId="0" xfId="1" applyFont="1" applyFill="1"/>
    <xf numFmtId="0" fontId="14" fillId="2" borderId="0" xfId="1" applyFont="1" applyFill="1" applyProtection="1">
      <protection hidden="1"/>
    </xf>
    <xf numFmtId="0" fontId="15" fillId="2" borderId="0" xfId="1" applyFont="1" applyFill="1"/>
    <xf numFmtId="0" fontId="16" fillId="0" borderId="0" xfId="1" applyFont="1" applyAlignment="1">
      <alignment horizontal="left" vertical="center" wrapText="1"/>
    </xf>
    <xf numFmtId="0" fontId="12" fillId="2" borderId="0" xfId="1" applyFont="1" applyFill="1"/>
    <xf numFmtId="0" fontId="13" fillId="2" borderId="0" xfId="1" applyFont="1" applyFill="1" applyAlignment="1">
      <alignment horizontal="center"/>
    </xf>
    <xf numFmtId="165" fontId="12" fillId="2" borderId="9" xfId="1" applyNumberFormat="1" applyFont="1" applyFill="1" applyBorder="1" applyAlignment="1">
      <alignment horizontal="left" vertical="center"/>
    </xf>
    <xf numFmtId="0" fontId="12" fillId="3" borderId="5" xfId="1" applyFont="1" applyFill="1" applyBorder="1" applyAlignment="1">
      <alignment horizontal="left" vertical="center"/>
    </xf>
    <xf numFmtId="2" fontId="12" fillId="3" borderId="6" xfId="1" applyNumberFormat="1" applyFont="1" applyFill="1" applyBorder="1" applyAlignment="1" applyProtection="1">
      <alignment horizontal="right" vertical="center"/>
      <protection hidden="1"/>
    </xf>
    <xf numFmtId="0" fontId="13" fillId="2" borderId="1" xfId="1" applyFont="1" applyFill="1" applyBorder="1" applyAlignment="1">
      <alignment horizontal="center"/>
    </xf>
    <xf numFmtId="0" fontId="13" fillId="4" borderId="0" xfId="1" applyFont="1" applyFill="1" applyAlignment="1">
      <alignment vertical="top"/>
    </xf>
    <xf numFmtId="0" fontId="13" fillId="2" borderId="1" xfId="1" applyFont="1" applyFill="1" applyBorder="1" applyAlignment="1">
      <alignment horizontal="left"/>
    </xf>
    <xf numFmtId="0" fontId="13" fillId="4" borderId="0" xfId="1" applyFont="1" applyFill="1"/>
    <xf numFmtId="0" fontId="12" fillId="2" borderId="18" xfId="1" applyFont="1" applyFill="1" applyBorder="1" applyAlignment="1">
      <alignment horizontal="left" vertical="center"/>
    </xf>
    <xf numFmtId="0" fontId="12" fillId="2" borderId="0" xfId="1" applyFont="1" applyFill="1" applyAlignment="1">
      <alignment vertical="center"/>
    </xf>
    <xf numFmtId="0" fontId="12" fillId="2" borderId="0" xfId="1" applyFont="1" applyFill="1" applyAlignment="1">
      <alignment horizontal="right" vertical="center"/>
    </xf>
    <xf numFmtId="0" fontId="12" fillId="2" borderId="0" xfId="1" applyFont="1" applyFill="1" applyAlignment="1">
      <alignment horizontal="center"/>
    </xf>
    <xf numFmtId="0" fontId="12" fillId="7" borderId="21" xfId="1" applyFont="1" applyFill="1" applyBorder="1" applyAlignment="1">
      <alignment horizontal="center" vertical="center" textRotation="90" wrapText="1"/>
    </xf>
    <xf numFmtId="2" fontId="12" fillId="7" borderId="6" xfId="1" applyNumberFormat="1" applyFont="1" applyFill="1" applyBorder="1" applyAlignment="1" applyProtection="1">
      <alignment horizontal="right" vertical="center"/>
      <protection hidden="1"/>
    </xf>
    <xf numFmtId="0" fontId="21" fillId="7" borderId="21" xfId="1" applyFont="1" applyFill="1" applyBorder="1" applyAlignment="1">
      <alignment horizontal="center" vertical="center" textRotation="90" wrapText="1"/>
    </xf>
    <xf numFmtId="2" fontId="21" fillId="7" borderId="6" xfId="1" applyNumberFormat="1" applyFont="1" applyFill="1" applyBorder="1" applyAlignment="1" applyProtection="1">
      <alignment horizontal="right" vertical="center"/>
      <protection hidden="1"/>
    </xf>
    <xf numFmtId="0" fontId="10" fillId="0" borderId="0" xfId="1" applyFont="1" applyAlignment="1">
      <alignment horizontal="left"/>
    </xf>
    <xf numFmtId="165" fontId="12" fillId="3" borderId="5" xfId="1" applyNumberFormat="1" applyFont="1" applyFill="1" applyBorder="1" applyAlignment="1">
      <alignment horizontal="left" vertical="center"/>
    </xf>
    <xf numFmtId="0" fontId="12" fillId="2" borderId="10" xfId="1" applyFont="1" applyFill="1" applyBorder="1" applyProtection="1">
      <protection hidden="1"/>
    </xf>
    <xf numFmtId="2" fontId="21" fillId="7" borderId="10" xfId="1" applyNumberFormat="1" applyFont="1" applyFill="1" applyBorder="1" applyAlignment="1" applyProtection="1">
      <alignment horizontal="right" vertical="center"/>
      <protection hidden="1"/>
    </xf>
    <xf numFmtId="2" fontId="13" fillId="2" borderId="10" xfId="1" applyNumberFormat="1" applyFont="1" applyFill="1" applyBorder="1" applyAlignment="1" applyProtection="1">
      <alignment horizontal="right" vertical="center"/>
      <protection locked="0" hidden="1"/>
    </xf>
    <xf numFmtId="2" fontId="13" fillId="2" borderId="10" xfId="1" applyNumberFormat="1" applyFont="1" applyFill="1" applyBorder="1" applyAlignment="1" applyProtection="1">
      <alignment horizontal="right" vertical="center"/>
      <protection hidden="1"/>
    </xf>
    <xf numFmtId="165" fontId="13" fillId="2" borderId="0" xfId="1" applyNumberFormat="1" applyFont="1" applyFill="1" applyAlignment="1">
      <alignment horizontal="left"/>
    </xf>
    <xf numFmtId="165" fontId="13" fillId="2" borderId="0" xfId="1" applyNumberFormat="1" applyFont="1" applyFill="1" applyAlignment="1">
      <alignment horizontal="left" vertical="center"/>
    </xf>
    <xf numFmtId="1" fontId="13" fillId="2" borderId="0" xfId="1" applyNumberFormat="1" applyFont="1" applyFill="1" applyAlignment="1">
      <alignment horizontal="left" vertical="center"/>
    </xf>
    <xf numFmtId="2" fontId="13" fillId="7" borderId="10" xfId="1" applyNumberFormat="1" applyFont="1" applyFill="1" applyBorder="1" applyAlignment="1" applyProtection="1">
      <alignment horizontal="right" vertical="center"/>
      <protection hidden="1"/>
    </xf>
    <xf numFmtId="2" fontId="6" fillId="9" borderId="0" xfId="1" applyNumberFormat="1" applyFont="1" applyFill="1" applyAlignment="1">
      <alignment horizontal="right" vertical="center"/>
    </xf>
    <xf numFmtId="0" fontId="5" fillId="8" borderId="0" xfId="1" applyFont="1" applyFill="1"/>
    <xf numFmtId="0" fontId="5" fillId="8" borderId="0" xfId="1" applyFont="1" applyFill="1" applyProtection="1">
      <protection hidden="1"/>
    </xf>
    <xf numFmtId="0" fontId="22" fillId="2" borderId="0" xfId="1" applyFont="1" applyFill="1"/>
    <xf numFmtId="0" fontId="23" fillId="2" borderId="0" xfId="1" applyFont="1" applyFill="1"/>
    <xf numFmtId="0" fontId="24" fillId="2" borderId="0" xfId="1" applyFont="1" applyFill="1"/>
    <xf numFmtId="0" fontId="18" fillId="2" borderId="0" xfId="1" applyFont="1" applyFill="1"/>
    <xf numFmtId="0" fontId="23" fillId="8" borderId="0" xfId="1" applyFont="1" applyFill="1"/>
    <xf numFmtId="0" fontId="14" fillId="2" borderId="0" xfId="1" applyFont="1" applyFill="1" applyAlignment="1">
      <alignment horizontal="center"/>
    </xf>
    <xf numFmtId="0" fontId="5" fillId="2" borderId="0" xfId="1" applyFont="1" applyFill="1" applyAlignment="1">
      <alignment horizontal="center"/>
    </xf>
    <xf numFmtId="0" fontId="6" fillId="2" borderId="0" xfId="1" applyFont="1" applyFill="1" applyAlignment="1">
      <alignment horizontal="center"/>
    </xf>
    <xf numFmtId="0" fontId="23" fillId="2" borderId="17" xfId="1" applyFont="1" applyFill="1" applyBorder="1" applyAlignment="1">
      <alignment horizontal="center"/>
    </xf>
    <xf numFmtId="0" fontId="23" fillId="10" borderId="17" xfId="1" applyFont="1" applyFill="1" applyBorder="1" applyAlignment="1">
      <alignment horizontal="center"/>
    </xf>
    <xf numFmtId="0" fontId="18" fillId="10" borderId="17" xfId="1" applyFont="1" applyFill="1" applyBorder="1" applyAlignment="1">
      <alignment horizontal="center"/>
    </xf>
    <xf numFmtId="2" fontId="5" fillId="2" borderId="17" xfId="1" applyNumberFormat="1" applyFont="1" applyFill="1" applyBorder="1"/>
    <xf numFmtId="0" fontId="21" fillId="10" borderId="17" xfId="1" applyFont="1" applyFill="1" applyBorder="1" applyAlignment="1">
      <alignment horizontal="center" vertical="center" textRotation="90" wrapText="1"/>
    </xf>
    <xf numFmtId="0" fontId="12" fillId="9" borderId="21" xfId="1" applyFont="1" applyFill="1" applyBorder="1" applyAlignment="1">
      <alignment horizontal="center" vertical="center" textRotation="90" wrapText="1"/>
    </xf>
    <xf numFmtId="2" fontId="12" fillId="9" borderId="6" xfId="1" applyNumberFormat="1" applyFont="1" applyFill="1" applyBorder="1" applyAlignment="1" applyProtection="1">
      <alignment horizontal="right" vertical="center"/>
      <protection hidden="1"/>
    </xf>
    <xf numFmtId="0" fontId="12" fillId="11" borderId="21" xfId="1" applyFont="1" applyFill="1" applyBorder="1" applyAlignment="1">
      <alignment horizontal="center" vertical="center" textRotation="90" wrapText="1"/>
    </xf>
    <xf numFmtId="2" fontId="12" fillId="11" borderId="6" xfId="1" applyNumberFormat="1" applyFont="1" applyFill="1" applyBorder="1" applyAlignment="1" applyProtection="1">
      <alignment horizontal="right" vertical="center"/>
      <protection hidden="1"/>
    </xf>
    <xf numFmtId="2" fontId="13" fillId="11" borderId="10" xfId="1" applyNumberFormat="1" applyFont="1" applyFill="1" applyBorder="1" applyAlignment="1" applyProtection="1">
      <alignment horizontal="right" vertical="center"/>
      <protection hidden="1"/>
    </xf>
    <xf numFmtId="2" fontId="12" fillId="10" borderId="6" xfId="1" applyNumberFormat="1" applyFont="1" applyFill="1" applyBorder="1" applyAlignment="1" applyProtection="1">
      <alignment horizontal="right" vertical="center"/>
      <protection hidden="1"/>
    </xf>
    <xf numFmtId="0" fontId="8" fillId="2" borderId="4" xfId="1" applyFont="1" applyFill="1" applyBorder="1"/>
    <xf numFmtId="2" fontId="8" fillId="2" borderId="4" xfId="1" applyNumberFormat="1" applyFont="1" applyFill="1" applyBorder="1"/>
    <xf numFmtId="2" fontId="8" fillId="6" borderId="4" xfId="1" applyNumberFormat="1" applyFont="1" applyFill="1" applyBorder="1" applyProtection="1">
      <protection hidden="1"/>
    </xf>
    <xf numFmtId="0" fontId="10" fillId="2" borderId="4" xfId="1" applyFont="1" applyFill="1" applyBorder="1"/>
    <xf numFmtId="2" fontId="5" fillId="2" borderId="4" xfId="1" applyNumberFormat="1" applyFont="1" applyFill="1" applyBorder="1"/>
    <xf numFmtId="0" fontId="5" fillId="2" borderId="4" xfId="1" applyFont="1" applyFill="1" applyBorder="1" applyAlignment="1">
      <alignment horizontal="center"/>
    </xf>
    <xf numFmtId="0" fontId="5" fillId="2" borderId="4" xfId="1" applyFont="1" applyFill="1" applyBorder="1"/>
    <xf numFmtId="2" fontId="25" fillId="12" borderId="24" xfId="1" applyNumberFormat="1" applyFont="1" applyFill="1" applyBorder="1" applyAlignment="1" applyProtection="1">
      <alignment horizontal="right" vertical="center"/>
      <protection hidden="1"/>
    </xf>
    <xf numFmtId="166" fontId="5" fillId="2" borderId="0" xfId="1" applyNumberFormat="1" applyFont="1" applyFill="1" applyAlignment="1">
      <alignment horizontal="left"/>
    </xf>
    <xf numFmtId="166" fontId="0" fillId="0" borderId="0" xfId="0" applyNumberFormat="1" applyAlignment="1">
      <alignment horizontal="left"/>
    </xf>
    <xf numFmtId="2" fontId="27" fillId="7" borderId="6" xfId="1" applyNumberFormat="1" applyFont="1" applyFill="1" applyBorder="1" applyAlignment="1" applyProtection="1">
      <alignment horizontal="right" vertical="center"/>
      <protection hidden="1"/>
    </xf>
    <xf numFmtId="2" fontId="17" fillId="10" borderId="6" xfId="1" applyNumberFormat="1" applyFont="1" applyFill="1" applyBorder="1" applyAlignment="1" applyProtection="1">
      <alignment horizontal="right" vertical="center"/>
      <protection hidden="1"/>
    </xf>
    <xf numFmtId="0" fontId="28" fillId="0" borderId="0" xfId="0" applyFont="1" applyAlignment="1">
      <alignment horizontal="center" vertical="top" wrapText="1"/>
    </xf>
    <xf numFmtId="0" fontId="29" fillId="0" borderId="0" xfId="0" applyFont="1" applyAlignment="1">
      <alignment vertical="top" wrapText="1"/>
    </xf>
    <xf numFmtId="0" fontId="30" fillId="14" borderId="19" xfId="1" applyFont="1" applyFill="1" applyBorder="1" applyAlignment="1">
      <alignment horizontal="center" vertical="top"/>
    </xf>
    <xf numFmtId="0" fontId="31" fillId="0" borderId="0" xfId="1" applyFont="1" applyAlignment="1">
      <alignment vertical="top"/>
    </xf>
    <xf numFmtId="165" fontId="31" fillId="0" borderId="19" xfId="1" applyNumberFormat="1" applyFont="1" applyBorder="1" applyAlignment="1">
      <alignment horizontal="left" vertical="top"/>
    </xf>
    <xf numFmtId="0" fontId="31" fillId="0" borderId="19" xfId="1" applyFont="1" applyBorder="1" applyAlignment="1">
      <alignment horizontal="center" vertical="top"/>
    </xf>
    <xf numFmtId="0" fontId="31" fillId="0" borderId="0" xfId="1" applyFont="1" applyAlignment="1">
      <alignment horizontal="left"/>
    </xf>
    <xf numFmtId="0" fontId="31" fillId="0" borderId="0" xfId="1" applyFont="1" applyAlignment="1">
      <alignment horizontal="center"/>
    </xf>
    <xf numFmtId="0" fontId="31" fillId="0" borderId="0" xfId="1" applyFont="1"/>
    <xf numFmtId="0" fontId="28" fillId="0" borderId="0" xfId="0" applyFont="1" applyAlignment="1">
      <alignment vertical="top" wrapText="1"/>
    </xf>
    <xf numFmtId="0" fontId="29" fillId="0" borderId="0" xfId="0" applyFont="1" applyAlignment="1" applyProtection="1">
      <alignment vertical="top" wrapText="1"/>
      <protection locked="0"/>
    </xf>
    <xf numFmtId="168" fontId="25" fillId="12" borderId="24" xfId="1" applyNumberFormat="1" applyFont="1" applyFill="1" applyBorder="1" applyAlignment="1" applyProtection="1">
      <alignment horizontal="right" vertical="center"/>
      <protection hidden="1"/>
    </xf>
    <xf numFmtId="168" fontId="26" fillId="12" borderId="24" xfId="1" applyNumberFormat="1" applyFont="1" applyFill="1" applyBorder="1" applyAlignment="1" applyProtection="1">
      <alignment horizontal="right" vertical="center"/>
      <protection hidden="1"/>
    </xf>
    <xf numFmtId="0" fontId="28" fillId="9" borderId="0" xfId="0" applyFont="1" applyFill="1" applyAlignment="1">
      <alignment horizontal="center" vertical="top" wrapText="1"/>
    </xf>
    <xf numFmtId="0" fontId="28" fillId="15" borderId="0" xfId="0" applyFont="1" applyFill="1" applyAlignment="1">
      <alignment horizontal="center" vertical="top" wrapText="1"/>
    </xf>
    <xf numFmtId="0" fontId="29" fillId="15" borderId="0" xfId="0" applyFont="1" applyFill="1" applyAlignment="1" applyProtection="1">
      <alignment vertical="top" wrapText="1"/>
      <protection locked="0"/>
    </xf>
    <xf numFmtId="168" fontId="29" fillId="0" borderId="0" xfId="0" applyNumberFormat="1" applyFont="1" applyAlignment="1">
      <alignment vertical="top" wrapText="1"/>
    </xf>
    <xf numFmtId="2" fontId="13" fillId="9" borderId="10" xfId="1" applyNumberFormat="1" applyFont="1" applyFill="1" applyBorder="1" applyAlignment="1" applyProtection="1">
      <alignment horizontal="right" vertical="center"/>
      <protection hidden="1"/>
    </xf>
    <xf numFmtId="2" fontId="13" fillId="0" borderId="10" xfId="1" applyNumberFormat="1" applyFont="1" applyBorder="1" applyAlignment="1" applyProtection="1">
      <alignment horizontal="right" vertical="center"/>
      <protection hidden="1"/>
    </xf>
    <xf numFmtId="2" fontId="13" fillId="3" borderId="10" xfId="1" applyNumberFormat="1" applyFont="1" applyFill="1" applyBorder="1" applyAlignment="1" applyProtection="1">
      <alignment horizontal="right" vertical="center"/>
      <protection hidden="1"/>
    </xf>
    <xf numFmtId="0" fontId="34" fillId="0" borderId="0" xfId="1" applyFont="1" applyAlignment="1">
      <alignment horizontal="left"/>
    </xf>
    <xf numFmtId="2" fontId="13" fillId="11" borderId="10" xfId="1" applyNumberFormat="1" applyFont="1" applyFill="1" applyBorder="1" applyAlignment="1" applyProtection="1">
      <alignment horizontal="right" vertical="center"/>
      <protection locked="0" hidden="1"/>
    </xf>
    <xf numFmtId="2" fontId="13" fillId="9" borderId="10" xfId="1" applyNumberFormat="1" applyFont="1" applyFill="1" applyBorder="1" applyAlignment="1" applyProtection="1">
      <alignment horizontal="right" vertical="center"/>
      <protection locked="0" hidden="1"/>
    </xf>
    <xf numFmtId="2" fontId="13" fillId="0" borderId="10" xfId="1" applyNumberFormat="1" applyFont="1" applyBorder="1" applyAlignment="1" applyProtection="1">
      <alignment horizontal="right" vertical="center"/>
      <protection locked="0" hidden="1"/>
    </xf>
    <xf numFmtId="0" fontId="19" fillId="0" borderId="0" xfId="2" applyFont="1" applyAlignment="1" applyProtection="1">
      <alignment horizontal="left"/>
      <protection hidden="1"/>
    </xf>
    <xf numFmtId="0" fontId="12" fillId="2" borderId="0" xfId="1" applyFont="1" applyFill="1" applyProtection="1">
      <protection hidden="1"/>
    </xf>
    <xf numFmtId="0" fontId="35" fillId="0" borderId="0" xfId="0" applyFont="1"/>
    <xf numFmtId="166" fontId="11" fillId="5" borderId="0" xfId="1" applyNumberFormat="1" applyFont="1" applyFill="1" applyAlignment="1">
      <alignment vertical="top" wrapText="1"/>
    </xf>
    <xf numFmtId="166" fontId="11" fillId="5" borderId="19" xfId="1" applyNumberFormat="1" applyFont="1" applyFill="1" applyBorder="1" applyAlignment="1">
      <alignment horizontal="left" vertical="top" wrapText="1"/>
    </xf>
    <xf numFmtId="165" fontId="6" fillId="2" borderId="0" xfId="1" applyNumberFormat="1" applyFont="1" applyFill="1" applyAlignment="1">
      <alignment vertical="top" wrapText="1"/>
    </xf>
    <xf numFmtId="0" fontId="0" fillId="0" borderId="0" xfId="0" applyAlignment="1">
      <alignment vertical="top" wrapText="1"/>
    </xf>
    <xf numFmtId="166" fontId="2" fillId="5" borderId="0" xfId="0" applyNumberFormat="1" applyFont="1" applyFill="1" applyAlignment="1">
      <alignment vertical="top" wrapText="1"/>
    </xf>
    <xf numFmtId="166" fontId="11" fillId="5" borderId="0" xfId="1" applyNumberFormat="1" applyFont="1" applyFill="1" applyAlignment="1">
      <alignment horizontal="left" vertical="top" wrapText="1"/>
    </xf>
    <xf numFmtId="0" fontId="2" fillId="5" borderId="0" xfId="0" applyFont="1" applyFill="1" applyAlignment="1">
      <alignment horizontal="left" vertical="top" wrapText="1"/>
    </xf>
    <xf numFmtId="166" fontId="1" fillId="5" borderId="0" xfId="0" applyNumberFormat="1" applyFont="1" applyFill="1" applyAlignment="1">
      <alignment horizontal="center" vertical="top" wrapText="1"/>
    </xf>
    <xf numFmtId="166" fontId="35" fillId="0" borderId="0" xfId="0" applyNumberFormat="1" applyFont="1"/>
    <xf numFmtId="0" fontId="13" fillId="2" borderId="0" xfId="1" applyFont="1" applyFill="1" applyAlignment="1">
      <alignment horizontal="left"/>
    </xf>
    <xf numFmtId="0" fontId="37" fillId="9" borderId="21" xfId="1" applyFont="1" applyFill="1" applyBorder="1" applyAlignment="1">
      <alignment horizontal="center" vertical="center" textRotation="90" wrapText="1"/>
    </xf>
    <xf numFmtId="0" fontId="12" fillId="3" borderId="20" xfId="1" applyFont="1" applyFill="1" applyBorder="1" applyAlignment="1">
      <alignment horizontal="center" vertical="center" wrapText="1"/>
    </xf>
    <xf numFmtId="0" fontId="19" fillId="2" borderId="0" xfId="2" applyFont="1" applyFill="1" applyBorder="1" applyAlignment="1" applyProtection="1">
      <alignment horizontal="left"/>
      <protection locked="0"/>
    </xf>
    <xf numFmtId="2" fontId="5" fillId="2" borderId="0" xfId="1" applyNumberFormat="1" applyFont="1" applyFill="1"/>
    <xf numFmtId="0" fontId="38" fillId="2" borderId="0" xfId="1" applyFont="1" applyFill="1" applyAlignment="1">
      <alignment horizontal="center" vertical="center"/>
    </xf>
    <xf numFmtId="0" fontId="8" fillId="2" borderId="0" xfId="1" applyFont="1" applyFill="1" applyAlignment="1">
      <alignment horizontal="center"/>
    </xf>
    <xf numFmtId="0" fontId="12" fillId="16" borderId="21" xfId="1" applyFont="1" applyFill="1" applyBorder="1" applyAlignment="1">
      <alignment horizontal="center" vertical="center" textRotation="90" wrapText="1"/>
    </xf>
    <xf numFmtId="0" fontId="12" fillId="17" borderId="21" xfId="1" applyFont="1" applyFill="1" applyBorder="1" applyAlignment="1">
      <alignment horizontal="center" vertical="center" textRotation="90" wrapText="1"/>
    </xf>
    <xf numFmtId="0" fontId="39" fillId="10" borderId="33" xfId="1" applyFont="1" applyFill="1" applyBorder="1" applyAlignment="1">
      <alignment horizontal="center" vertical="top" wrapText="1"/>
    </xf>
    <xf numFmtId="0" fontId="12" fillId="10" borderId="33" xfId="1" applyFont="1" applyFill="1" applyBorder="1" applyAlignment="1">
      <alignment vertical="top"/>
    </xf>
    <xf numFmtId="0" fontId="40" fillId="9" borderId="21" xfId="1" applyFont="1" applyFill="1" applyBorder="1" applyAlignment="1">
      <alignment horizontal="center" vertical="center" textRotation="90" wrapText="1"/>
    </xf>
    <xf numFmtId="0" fontId="12" fillId="9" borderId="33" xfId="1" applyFont="1" applyFill="1" applyBorder="1" applyAlignment="1">
      <alignment vertical="top"/>
    </xf>
    <xf numFmtId="0" fontId="39" fillId="9" borderId="33" xfId="1" applyFont="1" applyFill="1" applyBorder="1" applyAlignment="1">
      <alignment horizontal="center" vertical="top" wrapText="1"/>
    </xf>
    <xf numFmtId="0" fontId="12" fillId="9" borderId="34" xfId="1" applyFont="1" applyFill="1" applyBorder="1" applyAlignment="1">
      <alignment vertical="top"/>
    </xf>
    <xf numFmtId="0" fontId="13" fillId="2" borderId="19" xfId="1" applyFont="1" applyFill="1" applyBorder="1"/>
    <xf numFmtId="0" fontId="13" fillId="2" borderId="19" xfId="1" applyFont="1" applyFill="1" applyBorder="1" applyAlignment="1">
      <alignment wrapText="1"/>
    </xf>
    <xf numFmtId="168" fontId="12" fillId="12" borderId="24" xfId="1" applyNumberFormat="1" applyFont="1" applyFill="1" applyBorder="1" applyAlignment="1" applyProtection="1">
      <alignment horizontal="right" vertical="center"/>
      <protection hidden="1"/>
    </xf>
    <xf numFmtId="2" fontId="41" fillId="18" borderId="10" xfId="1" applyNumberFormat="1" applyFont="1" applyFill="1" applyBorder="1" applyAlignment="1" applyProtection="1">
      <alignment horizontal="right" vertical="center"/>
      <protection hidden="1"/>
    </xf>
    <xf numFmtId="2" fontId="17" fillId="18" borderId="10" xfId="1" applyNumberFormat="1" applyFont="1" applyFill="1" applyBorder="1" applyAlignment="1" applyProtection="1">
      <alignment horizontal="right" vertical="center"/>
      <protection hidden="1"/>
    </xf>
    <xf numFmtId="2" fontId="5" fillId="19" borderId="0" xfId="1" applyNumberFormat="1" applyFont="1" applyFill="1"/>
    <xf numFmtId="0" fontId="10" fillId="0" borderId="19" xfId="1" applyFont="1" applyBorder="1" applyAlignment="1">
      <alignment horizontal="left"/>
    </xf>
    <xf numFmtId="2" fontId="13" fillId="16" borderId="10" xfId="1" applyNumberFormat="1" applyFont="1" applyFill="1" applyBorder="1" applyAlignment="1" applyProtection="1">
      <alignment horizontal="right" vertical="center"/>
      <protection hidden="1"/>
    </xf>
    <xf numFmtId="2" fontId="13" fillId="17" borderId="10" xfId="1" applyNumberFormat="1" applyFont="1" applyFill="1" applyBorder="1" applyAlignment="1" applyProtection="1">
      <alignment horizontal="right" vertical="center"/>
      <protection hidden="1"/>
    </xf>
    <xf numFmtId="2" fontId="17" fillId="0" borderId="10" xfId="1" applyNumberFormat="1" applyFont="1" applyBorder="1" applyAlignment="1" applyProtection="1">
      <alignment horizontal="right" vertical="center"/>
      <protection hidden="1"/>
    </xf>
    <xf numFmtId="0" fontId="5" fillId="20" borderId="10" xfId="1" applyFont="1" applyFill="1" applyBorder="1"/>
    <xf numFmtId="0" fontId="5" fillId="18" borderId="19" xfId="1" applyFont="1" applyFill="1" applyBorder="1"/>
    <xf numFmtId="0" fontId="5" fillId="21" borderId="19" xfId="1" applyFont="1" applyFill="1" applyBorder="1"/>
    <xf numFmtId="1" fontId="5" fillId="20" borderId="19" xfId="1" applyNumberFormat="1" applyFont="1" applyFill="1" applyBorder="1"/>
    <xf numFmtId="1" fontId="42" fillId="17" borderId="19" xfId="1" applyNumberFormat="1" applyFont="1" applyFill="1" applyBorder="1"/>
    <xf numFmtId="1" fontId="17" fillId="15" borderId="19" xfId="1" applyNumberFormat="1" applyFont="1" applyFill="1" applyBorder="1" applyAlignment="1" applyProtection="1">
      <alignment horizontal="right" vertical="center"/>
      <protection hidden="1"/>
    </xf>
    <xf numFmtId="0" fontId="23" fillId="18" borderId="10" xfId="1" applyFont="1" applyFill="1" applyBorder="1"/>
    <xf numFmtId="1" fontId="5" fillId="20" borderId="11" xfId="1" applyNumberFormat="1" applyFont="1" applyFill="1" applyBorder="1"/>
    <xf numFmtId="0" fontId="5" fillId="2" borderId="19" xfId="1" applyFont="1" applyFill="1" applyBorder="1"/>
    <xf numFmtId="2" fontId="5" fillId="2" borderId="19" xfId="1" applyNumberFormat="1" applyFont="1" applyFill="1" applyBorder="1"/>
    <xf numFmtId="0" fontId="5" fillId="20" borderId="19" xfId="1" applyFont="1" applyFill="1" applyBorder="1"/>
    <xf numFmtId="0" fontId="5" fillId="20" borderId="35" xfId="1" applyFont="1" applyFill="1" applyBorder="1"/>
    <xf numFmtId="2" fontId="12" fillId="16" borderId="6" xfId="1" applyNumberFormat="1" applyFont="1" applyFill="1" applyBorder="1" applyAlignment="1" applyProtection="1">
      <alignment horizontal="right" vertical="center"/>
      <protection hidden="1"/>
    </xf>
    <xf numFmtId="2" fontId="12" fillId="17" borderId="6" xfId="1" applyNumberFormat="1" applyFont="1" applyFill="1" applyBorder="1" applyAlignment="1" applyProtection="1">
      <alignment horizontal="right" vertical="center"/>
      <protection hidden="1"/>
    </xf>
    <xf numFmtId="2" fontId="8" fillId="6" borderId="4" xfId="1" applyNumberFormat="1" applyFont="1" applyFill="1" applyBorder="1"/>
    <xf numFmtId="0" fontId="8" fillId="2" borderId="19" xfId="1" applyFont="1" applyFill="1" applyBorder="1"/>
    <xf numFmtId="2" fontId="8" fillId="2" borderId="19" xfId="1" applyNumberFormat="1" applyFont="1" applyFill="1" applyBorder="1"/>
    <xf numFmtId="1" fontId="41" fillId="15" borderId="19" xfId="1" applyNumberFormat="1" applyFont="1" applyFill="1" applyBorder="1" applyAlignment="1" applyProtection="1">
      <alignment horizontal="right" vertical="center"/>
      <protection hidden="1"/>
    </xf>
    <xf numFmtId="0" fontId="23" fillId="18" borderId="19" xfId="1" applyFont="1" applyFill="1" applyBorder="1"/>
    <xf numFmtId="2" fontId="12" fillId="0" borderId="6" xfId="1" applyNumberFormat="1" applyFont="1" applyBorder="1" applyAlignment="1" applyProtection="1">
      <alignment horizontal="right" vertical="center"/>
      <protection hidden="1"/>
    </xf>
    <xf numFmtId="0" fontId="43" fillId="0" borderId="0" xfId="2" applyFont="1" applyAlignment="1" applyProtection="1">
      <alignment horizontal="left"/>
      <protection hidden="1"/>
    </xf>
    <xf numFmtId="0" fontId="6" fillId="2" borderId="19" xfId="1" applyFont="1" applyFill="1" applyBorder="1"/>
    <xf numFmtId="0" fontId="19" fillId="2" borderId="0" xfId="2" applyFont="1" applyFill="1" applyBorder="1" applyAlignment="1" applyProtection="1">
      <alignment horizontal="left"/>
      <protection hidden="1"/>
    </xf>
    <xf numFmtId="0" fontId="43" fillId="2" borderId="0" xfId="2" applyFont="1" applyFill="1" applyBorder="1" applyAlignment="1" applyProtection="1">
      <alignment horizontal="left"/>
      <protection hidden="1"/>
    </xf>
    <xf numFmtId="2" fontId="13" fillId="2" borderId="10" xfId="1" applyNumberFormat="1" applyFont="1" applyFill="1" applyBorder="1" applyAlignment="1" applyProtection="1">
      <alignment horizontal="right" vertical="center"/>
      <protection locked="0"/>
    </xf>
    <xf numFmtId="2" fontId="13" fillId="11" borderId="10" xfId="1" applyNumberFormat="1" applyFont="1" applyFill="1" applyBorder="1" applyAlignment="1" applyProtection="1">
      <alignment horizontal="right" vertical="center"/>
      <protection locked="0"/>
    </xf>
    <xf numFmtId="2" fontId="13" fillId="9" borderId="10" xfId="1" applyNumberFormat="1" applyFont="1" applyFill="1" applyBorder="1" applyAlignment="1" applyProtection="1">
      <alignment horizontal="right" vertical="center"/>
      <protection locked="0"/>
    </xf>
    <xf numFmtId="2" fontId="13" fillId="0" borderId="10" xfId="1" applyNumberFormat="1" applyFont="1" applyBorder="1" applyAlignment="1" applyProtection="1">
      <alignment horizontal="right" vertical="center"/>
      <protection locked="0"/>
    </xf>
    <xf numFmtId="0" fontId="35" fillId="0" borderId="38" xfId="0" applyFont="1" applyBorder="1" applyAlignment="1" applyProtection="1">
      <alignment vertical="center" wrapText="1"/>
      <protection hidden="1"/>
    </xf>
    <xf numFmtId="0" fontId="8" fillId="2" borderId="38" xfId="1" applyFont="1" applyFill="1" applyBorder="1"/>
    <xf numFmtId="168" fontId="13" fillId="2" borderId="10" xfId="1" applyNumberFormat="1" applyFont="1" applyFill="1" applyBorder="1" applyAlignment="1" applyProtection="1">
      <alignment horizontal="right" vertical="center"/>
      <protection hidden="1"/>
    </xf>
    <xf numFmtId="168" fontId="13" fillId="3" borderId="10" xfId="1" applyNumberFormat="1" applyFont="1" applyFill="1" applyBorder="1" applyAlignment="1" applyProtection="1">
      <alignment horizontal="right" vertical="center"/>
      <protection hidden="1"/>
    </xf>
    <xf numFmtId="168" fontId="13" fillId="11" borderId="10" xfId="1" applyNumberFormat="1" applyFont="1" applyFill="1" applyBorder="1" applyAlignment="1" applyProtection="1">
      <alignment horizontal="right" vertical="center"/>
      <protection hidden="1"/>
    </xf>
    <xf numFmtId="168" fontId="13" fillId="9" borderId="10" xfId="1" applyNumberFormat="1" applyFont="1" applyFill="1" applyBorder="1" applyAlignment="1" applyProtection="1">
      <alignment horizontal="right" vertical="center"/>
      <protection hidden="1"/>
    </xf>
    <xf numFmtId="168" fontId="13" fillId="0" borderId="10" xfId="1" applyNumberFormat="1" applyFont="1" applyBorder="1" applyAlignment="1" applyProtection="1">
      <alignment horizontal="right" vertical="center"/>
      <protection hidden="1"/>
    </xf>
    <xf numFmtId="168" fontId="21" fillId="7" borderId="10" xfId="1" applyNumberFormat="1" applyFont="1" applyFill="1" applyBorder="1" applyAlignment="1" applyProtection="1">
      <alignment horizontal="right" vertical="center"/>
      <protection hidden="1"/>
    </xf>
    <xf numFmtId="2" fontId="13" fillId="2" borderId="10" xfId="1" applyNumberFormat="1" applyFont="1" applyFill="1" applyBorder="1" applyAlignment="1">
      <alignment horizontal="right" vertical="center"/>
    </xf>
    <xf numFmtId="2" fontId="13" fillId="11" borderId="10" xfId="1" applyNumberFormat="1" applyFont="1" applyFill="1" applyBorder="1" applyAlignment="1">
      <alignment horizontal="right" vertical="center"/>
    </xf>
    <xf numFmtId="2" fontId="13" fillId="9" borderId="10" xfId="1" applyNumberFormat="1" applyFont="1" applyFill="1" applyBorder="1" applyAlignment="1">
      <alignment horizontal="right" vertical="center"/>
    </xf>
    <xf numFmtId="2" fontId="13" fillId="0" borderId="10" xfId="1" applyNumberFormat="1" applyFont="1" applyBorder="1" applyAlignment="1">
      <alignment horizontal="right" vertical="center"/>
    </xf>
    <xf numFmtId="2" fontId="13" fillId="3" borderId="10" xfId="1" applyNumberFormat="1" applyFont="1" applyFill="1" applyBorder="1" applyAlignment="1">
      <alignment horizontal="right" vertical="center"/>
    </xf>
    <xf numFmtId="2" fontId="21" fillId="7" borderId="10" xfId="1" applyNumberFormat="1" applyFont="1" applyFill="1" applyBorder="1" applyAlignment="1">
      <alignment horizontal="right" vertical="center"/>
    </xf>
    <xf numFmtId="2" fontId="13" fillId="16" borderId="10" xfId="1" applyNumberFormat="1" applyFont="1" applyFill="1" applyBorder="1" applyAlignment="1">
      <alignment horizontal="right" vertical="center"/>
    </xf>
    <xf numFmtId="2" fontId="13" fillId="17" borderId="10" xfId="1" applyNumberFormat="1" applyFont="1" applyFill="1" applyBorder="1" applyAlignment="1">
      <alignment horizontal="right" vertical="center"/>
    </xf>
    <xf numFmtId="0" fontId="12" fillId="2" borderId="10" xfId="1" applyFont="1" applyFill="1" applyBorder="1"/>
    <xf numFmtId="2" fontId="13" fillId="3" borderId="10" xfId="1" applyNumberFormat="1" applyFont="1" applyFill="1" applyBorder="1" applyAlignment="1" applyProtection="1">
      <alignment horizontal="right" vertical="center"/>
      <protection locked="0"/>
    </xf>
    <xf numFmtId="168" fontId="13" fillId="11" borderId="10" xfId="1" applyNumberFormat="1" applyFont="1" applyFill="1" applyBorder="1" applyAlignment="1" applyProtection="1">
      <alignment horizontal="right" vertical="center"/>
      <protection locked="0"/>
    </xf>
    <xf numFmtId="2" fontId="13" fillId="3" borderId="10" xfId="1" applyNumberFormat="1" applyFont="1" applyFill="1" applyBorder="1" applyAlignment="1" applyProtection="1">
      <alignment horizontal="right" vertical="center"/>
      <protection locked="0" hidden="1"/>
    </xf>
    <xf numFmtId="2" fontId="29" fillId="0" borderId="0" xfId="0" applyNumberFormat="1" applyFont="1" applyAlignment="1">
      <alignment vertical="top" wrapText="1"/>
    </xf>
    <xf numFmtId="168" fontId="29" fillId="9" borderId="0" xfId="0" applyNumberFormat="1" applyFont="1" applyFill="1" applyAlignment="1" applyProtection="1">
      <alignment vertical="top" wrapText="1"/>
      <protection locked="0"/>
    </xf>
    <xf numFmtId="2" fontId="29" fillId="0" borderId="0" xfId="0" applyNumberFormat="1" applyFont="1" applyAlignment="1" applyProtection="1">
      <alignment vertical="top" wrapText="1"/>
      <protection locked="0"/>
    </xf>
    <xf numFmtId="2" fontId="29" fillId="15" borderId="0" xfId="0" applyNumberFormat="1" applyFont="1" applyFill="1" applyAlignment="1" applyProtection="1">
      <alignment vertical="top" wrapText="1"/>
      <protection locked="0"/>
    </xf>
    <xf numFmtId="2" fontId="29" fillId="9" borderId="0" xfId="0" applyNumberFormat="1" applyFont="1" applyFill="1" applyAlignment="1" applyProtection="1">
      <alignment vertical="top" wrapText="1"/>
      <protection locked="0"/>
    </xf>
    <xf numFmtId="168" fontId="13" fillId="3" borderId="10" xfId="1" applyNumberFormat="1" applyFont="1" applyFill="1" applyBorder="1" applyAlignment="1" applyProtection="1">
      <alignment horizontal="right" vertical="center"/>
      <protection locked="0"/>
    </xf>
    <xf numFmtId="168" fontId="13" fillId="16" borderId="10" xfId="1" applyNumberFormat="1" applyFont="1" applyFill="1" applyBorder="1" applyAlignment="1" applyProtection="1">
      <alignment horizontal="right" vertical="center"/>
      <protection hidden="1"/>
    </xf>
    <xf numFmtId="2" fontId="25" fillId="12" borderId="24" xfId="1" applyNumberFormat="1" applyFont="1" applyFill="1" applyBorder="1" applyAlignment="1">
      <alignment horizontal="right" vertical="center"/>
    </xf>
    <xf numFmtId="0" fontId="12" fillId="3" borderId="5" xfId="1" applyFont="1" applyFill="1" applyBorder="1" applyAlignment="1" applyProtection="1">
      <alignment horizontal="left" vertical="center"/>
      <protection hidden="1"/>
    </xf>
    <xf numFmtId="0" fontId="31" fillId="0" borderId="0" xfId="1" applyFont="1" applyAlignment="1">
      <alignment horizontal="left" vertical="top" wrapText="1"/>
    </xf>
    <xf numFmtId="0" fontId="34" fillId="0" borderId="0" xfId="1" applyFont="1" applyAlignment="1">
      <alignment horizontal="left" vertical="top" wrapText="1"/>
    </xf>
    <xf numFmtId="0" fontId="19" fillId="2" borderId="0" xfId="2" applyFont="1" applyFill="1" applyAlignment="1" applyProtection="1">
      <alignment horizontal="left"/>
      <protection locked="0"/>
    </xf>
    <xf numFmtId="0" fontId="19" fillId="0" borderId="0" xfId="2" applyFont="1" applyAlignment="1" applyProtection="1">
      <alignment horizontal="left"/>
      <protection locked="0"/>
    </xf>
    <xf numFmtId="0" fontId="19" fillId="2" borderId="0" xfId="2" applyFont="1" applyFill="1" applyBorder="1" applyAlignment="1" applyProtection="1">
      <alignment horizontal="left"/>
      <protection locked="0"/>
    </xf>
    <xf numFmtId="0" fontId="35" fillId="0" borderId="36" xfId="0" applyFont="1" applyBorder="1" applyAlignment="1" applyProtection="1">
      <alignment horizontal="left" vertical="center" wrapText="1"/>
      <protection hidden="1"/>
    </xf>
    <xf numFmtId="0" fontId="35" fillId="0" borderId="18" xfId="0" applyFont="1" applyBorder="1" applyAlignment="1" applyProtection="1">
      <alignment horizontal="left" vertical="center" wrapText="1"/>
      <protection hidden="1"/>
    </xf>
    <xf numFmtId="0" fontId="35" fillId="0" borderId="37" xfId="0" applyFont="1" applyBorder="1" applyAlignment="1" applyProtection="1">
      <alignment horizontal="left" vertical="center" wrapText="1"/>
      <protection hidden="1"/>
    </xf>
    <xf numFmtId="0" fontId="35" fillId="0" borderId="38" xfId="0" applyFont="1" applyBorder="1" applyAlignment="1" applyProtection="1">
      <alignment horizontal="left" vertical="center" wrapText="1"/>
      <protection hidden="1"/>
    </xf>
    <xf numFmtId="0" fontId="35" fillId="0" borderId="0" xfId="0" applyFont="1" applyAlignment="1" applyProtection="1">
      <alignment horizontal="left" vertical="center" wrapText="1"/>
      <protection hidden="1"/>
    </xf>
    <xf numFmtId="0" fontId="35" fillId="0" borderId="39" xfId="0" applyFont="1" applyBorder="1" applyAlignment="1" applyProtection="1">
      <alignment horizontal="left" vertical="center" wrapText="1"/>
      <protection hidden="1"/>
    </xf>
    <xf numFmtId="0" fontId="35" fillId="0" borderId="40" xfId="0" applyFont="1" applyBorder="1" applyAlignment="1" applyProtection="1">
      <alignment horizontal="left" vertical="center" wrapText="1"/>
      <protection hidden="1"/>
    </xf>
    <xf numFmtId="0" fontId="35" fillId="0" borderId="1" xfId="0" applyFont="1" applyBorder="1" applyAlignment="1" applyProtection="1">
      <alignment horizontal="left" vertical="center" wrapText="1"/>
      <protection hidden="1"/>
    </xf>
    <xf numFmtId="0" fontId="35" fillId="0" borderId="41" xfId="0" applyFont="1" applyBorder="1" applyAlignment="1" applyProtection="1">
      <alignment horizontal="left" vertical="center" wrapText="1"/>
      <protection hidden="1"/>
    </xf>
    <xf numFmtId="0" fontId="12" fillId="2" borderId="23" xfId="1" applyFont="1" applyFill="1" applyBorder="1" applyAlignment="1" applyProtection="1">
      <alignment horizontal="center"/>
      <protection hidden="1"/>
    </xf>
    <xf numFmtId="0" fontId="12" fillId="2" borderId="20" xfId="1" applyFont="1" applyFill="1" applyBorder="1" applyAlignment="1" applyProtection="1">
      <alignment horizontal="center"/>
      <protection hidden="1"/>
    </xf>
    <xf numFmtId="166" fontId="12" fillId="2" borderId="11" xfId="1" applyNumberFormat="1" applyFont="1" applyFill="1" applyBorder="1" applyAlignment="1" applyProtection="1">
      <alignment horizontal="left" vertical="center"/>
      <protection hidden="1"/>
    </xf>
    <xf numFmtId="166" fontId="12" fillId="2" borderId="12" xfId="1" applyNumberFormat="1" applyFont="1" applyFill="1" applyBorder="1" applyAlignment="1" applyProtection="1">
      <alignment horizontal="left" vertical="center"/>
      <protection hidden="1"/>
    </xf>
    <xf numFmtId="166" fontId="12" fillId="2" borderId="13" xfId="1" applyNumberFormat="1" applyFont="1" applyFill="1" applyBorder="1" applyAlignment="1" applyProtection="1">
      <alignment horizontal="left" vertical="center"/>
      <protection hidden="1"/>
    </xf>
    <xf numFmtId="166" fontId="12" fillId="3" borderId="3" xfId="1" applyNumberFormat="1" applyFont="1" applyFill="1" applyBorder="1" applyAlignment="1" applyProtection="1">
      <alignment horizontal="left" vertical="center"/>
      <protection hidden="1"/>
    </xf>
    <xf numFmtId="166" fontId="12" fillId="3" borderId="4" xfId="1" applyNumberFormat="1" applyFont="1" applyFill="1" applyBorder="1" applyAlignment="1" applyProtection="1">
      <alignment horizontal="left" vertical="center"/>
      <protection hidden="1"/>
    </xf>
    <xf numFmtId="166" fontId="12" fillId="3" borderId="5" xfId="1" applyNumberFormat="1" applyFont="1" applyFill="1" applyBorder="1" applyAlignment="1" applyProtection="1">
      <alignment horizontal="left" vertical="center"/>
      <protection hidden="1"/>
    </xf>
    <xf numFmtId="166" fontId="12" fillId="2" borderId="14" xfId="1" applyNumberFormat="1" applyFont="1" applyFill="1" applyBorder="1" applyAlignment="1" applyProtection="1">
      <alignment horizontal="left" vertical="center"/>
      <protection hidden="1"/>
    </xf>
    <xf numFmtId="166" fontId="12" fillId="2" borderId="15" xfId="1" applyNumberFormat="1" applyFont="1" applyFill="1" applyBorder="1" applyAlignment="1" applyProtection="1">
      <alignment horizontal="left" vertical="center"/>
      <protection hidden="1"/>
    </xf>
    <xf numFmtId="166" fontId="12" fillId="2" borderId="16" xfId="1" applyNumberFormat="1" applyFont="1" applyFill="1" applyBorder="1" applyAlignment="1" applyProtection="1">
      <alignment horizontal="left" vertical="center"/>
      <protection hidden="1"/>
    </xf>
    <xf numFmtId="165" fontId="12" fillId="3" borderId="3" xfId="1" applyNumberFormat="1" applyFont="1" applyFill="1" applyBorder="1" applyAlignment="1">
      <alignment horizontal="left" vertical="center"/>
    </xf>
    <xf numFmtId="165" fontId="12" fillId="3" borderId="4" xfId="1" applyNumberFormat="1" applyFont="1" applyFill="1" applyBorder="1" applyAlignment="1">
      <alignment horizontal="left" vertical="center"/>
    </xf>
    <xf numFmtId="165" fontId="12" fillId="3" borderId="5" xfId="1" applyNumberFormat="1" applyFont="1" applyFill="1" applyBorder="1" applyAlignment="1">
      <alignment horizontal="left" vertical="center"/>
    </xf>
    <xf numFmtId="166" fontId="12" fillId="2" borderId="7" xfId="1" applyNumberFormat="1" applyFont="1" applyFill="1" applyBorder="1" applyAlignment="1" applyProtection="1">
      <alignment horizontal="left" vertical="center"/>
      <protection hidden="1"/>
    </xf>
    <xf numFmtId="166" fontId="12" fillId="2" borderId="8" xfId="1" applyNumberFormat="1" applyFont="1" applyFill="1" applyBorder="1" applyAlignment="1" applyProtection="1">
      <alignment horizontal="left" vertical="center"/>
      <protection hidden="1"/>
    </xf>
    <xf numFmtId="166" fontId="12" fillId="2" borderId="9" xfId="1" applyNumberFormat="1" applyFont="1" applyFill="1" applyBorder="1" applyAlignment="1" applyProtection="1">
      <alignment horizontal="left" vertical="center"/>
      <protection hidden="1"/>
    </xf>
    <xf numFmtId="0" fontId="12" fillId="3" borderId="22" xfId="1" applyFont="1" applyFill="1" applyBorder="1" applyAlignment="1">
      <alignment horizontal="center" vertical="center" wrapText="1"/>
    </xf>
    <xf numFmtId="0" fontId="12" fillId="3" borderId="23" xfId="1" applyFont="1" applyFill="1" applyBorder="1" applyAlignment="1">
      <alignment horizontal="center" vertical="center" wrapText="1"/>
    </xf>
    <xf numFmtId="0" fontId="12" fillId="3" borderId="20" xfId="1" applyFont="1" applyFill="1" applyBorder="1" applyAlignment="1">
      <alignment horizontal="center" vertical="center" wrapText="1"/>
    </xf>
    <xf numFmtId="0" fontId="13" fillId="6" borderId="0" xfId="1" applyFont="1" applyFill="1" applyAlignment="1" applyProtection="1">
      <alignment horizontal="center"/>
      <protection hidden="1"/>
    </xf>
    <xf numFmtId="0" fontId="25" fillId="12" borderId="24" xfId="1" applyFont="1" applyFill="1" applyBorder="1" applyAlignment="1" applyProtection="1">
      <alignment horizontal="left" vertical="center" wrapText="1"/>
      <protection hidden="1"/>
    </xf>
    <xf numFmtId="0" fontId="8" fillId="2" borderId="0" xfId="1" applyFont="1" applyFill="1" applyAlignment="1">
      <alignment horizontal="center"/>
    </xf>
    <xf numFmtId="0" fontId="13" fillId="2" borderId="1" xfId="1" applyFont="1" applyFill="1" applyBorder="1" applyAlignment="1" applyProtection="1">
      <alignment horizontal="left"/>
      <protection locked="0"/>
    </xf>
    <xf numFmtId="0" fontId="12" fillId="2" borderId="0" xfId="1" applyFont="1" applyFill="1" applyAlignment="1">
      <alignment horizontal="center"/>
    </xf>
    <xf numFmtId="165" fontId="13" fillId="2" borderId="2" xfId="1" applyNumberFormat="1" applyFont="1" applyFill="1" applyBorder="1" applyAlignment="1" applyProtection="1">
      <alignment horizontal="left" vertical="center"/>
      <protection hidden="1"/>
    </xf>
    <xf numFmtId="1" fontId="13" fillId="2" borderId="2" xfId="1" applyNumberFormat="1" applyFont="1" applyFill="1" applyBorder="1" applyAlignment="1" applyProtection="1">
      <alignment horizontal="left" vertical="center"/>
      <protection hidden="1"/>
    </xf>
    <xf numFmtId="0" fontId="25" fillId="0" borderId="3" xfId="1" applyFont="1" applyBorder="1" applyAlignment="1">
      <alignment horizontal="left" vertical="center"/>
    </xf>
    <xf numFmtId="0" fontId="25" fillId="0" borderId="4" xfId="1" applyFont="1" applyBorder="1" applyAlignment="1">
      <alignment horizontal="left" vertical="center"/>
    </xf>
    <xf numFmtId="0" fontId="12" fillId="0" borderId="3" xfId="1" applyFont="1" applyBorder="1" applyAlignment="1" applyProtection="1">
      <alignment horizontal="center" vertical="center"/>
      <protection locked="0"/>
    </xf>
    <xf numFmtId="0" fontId="12" fillId="0" borderId="5" xfId="1" applyFont="1" applyBorder="1" applyAlignment="1" applyProtection="1">
      <alignment horizontal="center" vertical="center"/>
      <protection locked="0"/>
    </xf>
    <xf numFmtId="0" fontId="33" fillId="13" borderId="3" xfId="1" applyFont="1" applyFill="1" applyBorder="1" applyAlignment="1">
      <alignment horizontal="center" vertical="center"/>
    </xf>
    <xf numFmtId="0" fontId="33" fillId="13" borderId="4" xfId="1" applyFont="1" applyFill="1" applyBorder="1" applyAlignment="1">
      <alignment horizontal="center" vertical="center"/>
    </xf>
    <xf numFmtId="0" fontId="33" fillId="13" borderId="5" xfId="1" applyFont="1" applyFill="1" applyBorder="1" applyAlignment="1">
      <alignment horizontal="center" vertical="center"/>
    </xf>
    <xf numFmtId="0" fontId="25" fillId="2" borderId="3" xfId="1" applyFont="1" applyFill="1" applyBorder="1" applyAlignment="1">
      <alignment horizontal="center" vertical="center"/>
    </xf>
    <xf numFmtId="0" fontId="25" fillId="2" borderId="4" xfId="1" applyFont="1" applyFill="1" applyBorder="1" applyAlignment="1">
      <alignment horizontal="center" vertical="center"/>
    </xf>
    <xf numFmtId="0" fontId="25" fillId="2" borderId="5" xfId="1" applyFont="1" applyFill="1" applyBorder="1" applyAlignment="1">
      <alignment horizontal="center" vertical="center"/>
    </xf>
    <xf numFmtId="0" fontId="12" fillId="2" borderId="3" xfId="1" applyFont="1" applyFill="1" applyBorder="1" applyAlignment="1" applyProtection="1">
      <alignment horizontal="center" vertical="center"/>
      <protection locked="0"/>
    </xf>
    <xf numFmtId="0" fontId="12" fillId="2" borderId="5" xfId="1" applyFont="1" applyFill="1" applyBorder="1" applyAlignment="1" applyProtection="1">
      <alignment horizontal="center" vertical="center"/>
      <protection locked="0"/>
    </xf>
    <xf numFmtId="0" fontId="20" fillId="2" borderId="0" xfId="1" applyFont="1" applyFill="1" applyAlignment="1">
      <alignment horizontal="center" vertical="center"/>
    </xf>
    <xf numFmtId="0" fontId="16" fillId="0" borderId="2" xfId="1" applyFont="1" applyBorder="1" applyAlignment="1">
      <alignment vertical="center" wrapText="1"/>
    </xf>
    <xf numFmtId="164" fontId="13" fillId="2" borderId="1" xfId="1" applyNumberFormat="1" applyFont="1" applyFill="1" applyBorder="1" applyAlignment="1" applyProtection="1">
      <alignment horizontal="left"/>
      <protection locked="0"/>
    </xf>
    <xf numFmtId="165" fontId="13" fillId="2" borderId="1" xfId="1" applyNumberFormat="1" applyFont="1" applyFill="1" applyBorder="1" applyAlignment="1" applyProtection="1">
      <alignment horizontal="left"/>
      <protection hidden="1"/>
    </xf>
    <xf numFmtId="166" fontId="12" fillId="2" borderId="11" xfId="1" applyNumberFormat="1" applyFont="1" applyFill="1" applyBorder="1" applyAlignment="1">
      <alignment horizontal="left" vertical="center"/>
    </xf>
    <xf numFmtId="166" fontId="12" fillId="2" borderId="12" xfId="1" applyNumberFormat="1" applyFont="1" applyFill="1" applyBorder="1" applyAlignment="1">
      <alignment horizontal="left" vertical="center"/>
    </xf>
    <xf numFmtId="166" fontId="12" fillId="2" borderId="13" xfId="1" applyNumberFormat="1" applyFont="1" applyFill="1" applyBorder="1" applyAlignment="1">
      <alignment horizontal="left" vertical="center"/>
    </xf>
    <xf numFmtId="166" fontId="12" fillId="2" borderId="14" xfId="1" applyNumberFormat="1" applyFont="1" applyFill="1" applyBorder="1" applyAlignment="1">
      <alignment horizontal="left" vertical="center"/>
    </xf>
    <xf numFmtId="166" fontId="12" fillId="2" borderId="15" xfId="1" applyNumberFormat="1" applyFont="1" applyFill="1" applyBorder="1" applyAlignment="1">
      <alignment horizontal="left" vertical="center"/>
    </xf>
    <xf numFmtId="166" fontId="12" fillId="2" borderId="16" xfId="1" applyNumberFormat="1" applyFont="1" applyFill="1" applyBorder="1" applyAlignment="1">
      <alignment horizontal="left" vertical="center"/>
    </xf>
    <xf numFmtId="0" fontId="13" fillId="2" borderId="1" xfId="1" applyFont="1" applyFill="1" applyBorder="1" applyAlignment="1" applyProtection="1">
      <alignment horizontal="left"/>
      <protection hidden="1"/>
    </xf>
    <xf numFmtId="164" fontId="13" fillId="2" borderId="1" xfId="1" applyNumberFormat="1" applyFont="1" applyFill="1" applyBorder="1" applyAlignment="1" applyProtection="1">
      <alignment horizontal="left"/>
      <protection hidden="1"/>
    </xf>
    <xf numFmtId="0" fontId="35" fillId="0" borderId="25" xfId="0" applyFont="1" applyBorder="1" applyAlignment="1">
      <alignment horizontal="left" vertical="center" wrapText="1"/>
    </xf>
    <xf numFmtId="0" fontId="35" fillId="0" borderId="26" xfId="0" applyFont="1" applyBorder="1" applyAlignment="1">
      <alignment horizontal="left" vertical="center" wrapText="1"/>
    </xf>
    <xf numFmtId="0" fontId="35" fillId="0" borderId="27" xfId="0" applyFont="1" applyBorder="1" applyAlignment="1">
      <alignment horizontal="left" vertical="center" wrapText="1"/>
    </xf>
    <xf numFmtId="0" fontId="35" fillId="0" borderId="28" xfId="0" applyFont="1" applyBorder="1" applyAlignment="1">
      <alignment horizontal="left" vertical="center" wrapText="1"/>
    </xf>
    <xf numFmtId="0" fontId="35" fillId="0" borderId="0" xfId="0" applyFont="1" applyAlignment="1">
      <alignment horizontal="left" vertical="center" wrapText="1"/>
    </xf>
    <xf numFmtId="0" fontId="35" fillId="0" borderId="29" xfId="0" applyFont="1" applyBorder="1" applyAlignment="1">
      <alignment horizontal="left" vertical="center" wrapText="1"/>
    </xf>
    <xf numFmtId="0" fontId="35" fillId="0" borderId="30" xfId="0" applyFont="1" applyBorder="1" applyAlignment="1">
      <alignment horizontal="left" vertical="center" wrapText="1"/>
    </xf>
    <xf numFmtId="0" fontId="35" fillId="0" borderId="31" xfId="0" applyFont="1" applyBorder="1" applyAlignment="1">
      <alignment horizontal="left" vertical="center" wrapText="1"/>
    </xf>
    <xf numFmtId="0" fontId="35" fillId="0" borderId="32" xfId="0" applyFont="1" applyBorder="1" applyAlignment="1">
      <alignment horizontal="left" vertical="center" wrapText="1"/>
    </xf>
    <xf numFmtId="0" fontId="13" fillId="2" borderId="1" xfId="1" applyFont="1" applyFill="1" applyBorder="1" applyAlignment="1">
      <alignment horizontal="left"/>
    </xf>
    <xf numFmtId="164" fontId="13" fillId="2" borderId="1" xfId="1" applyNumberFormat="1" applyFont="1" applyFill="1" applyBorder="1" applyAlignment="1">
      <alignment horizontal="left"/>
    </xf>
  </cellXfs>
  <cellStyles count="3">
    <cellStyle name="Hyperlink" xfId="2" builtinId="8"/>
    <cellStyle name="Normal" xfId="0" builtinId="0"/>
    <cellStyle name="Normal 2" xfId="1" xr:uid="{00000000-0005-0000-0000-000002000000}"/>
  </cellStyles>
  <dxfs count="445">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E4F0DC"/>
      </font>
      <fill>
        <patternFill>
          <bgColor theme="9" tint="0.79998168889431442"/>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strike val="0"/>
        <outline val="0"/>
        <shadow val="0"/>
        <u val="none"/>
        <vertAlign val="baseline"/>
        <sz val="8"/>
        <color theme="1"/>
        <name val="Arial Narrow"/>
        <scheme val="none"/>
      </font>
      <numFmt numFmtId="2" formatCode="0.00"/>
      <alignment horizontal="general" vertical="top" textRotation="0" wrapText="1" indent="0" justifyLastLine="0" shrinkToFit="0" readingOrder="0"/>
      <protection locked="1" hidden="0"/>
    </dxf>
    <dxf>
      <font>
        <strike val="0"/>
        <outline val="0"/>
        <shadow val="0"/>
        <u val="none"/>
        <vertAlign val="baseline"/>
        <sz val="8"/>
        <color theme="1"/>
        <name val="Arial Narrow"/>
        <scheme val="none"/>
      </font>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fill>
        <patternFill patternType="solid">
          <fgColor indexed="64"/>
          <bgColor rgb="FFFFFFCC"/>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8"/>
        <color theme="1"/>
        <name val="Arial Narrow"/>
        <scheme val="none"/>
      </font>
      <fill>
        <patternFill patternType="solid">
          <fgColor indexed="64"/>
          <bgColor rgb="FFFFFFCC"/>
        </patternFill>
      </fill>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fill>
        <patternFill patternType="solid">
          <fgColor indexed="64"/>
          <bgColor theme="9" tint="0.79998168889431442"/>
        </patternFill>
      </fill>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numFmt numFmtId="169" formatCode="0.0"/>
      <alignment horizontal="general" vertical="top" textRotation="0" wrapText="1" indent="0" justifyLastLine="0" shrinkToFit="0" readingOrder="0"/>
      <protection locked="0" hidden="0"/>
    </dxf>
    <dxf>
      <font>
        <strike val="0"/>
        <outline val="0"/>
        <shadow val="0"/>
        <u val="none"/>
        <vertAlign val="baseline"/>
        <sz val="8"/>
        <color theme="1"/>
        <name val="Arial Narrow"/>
        <scheme val="none"/>
      </font>
      <numFmt numFmtId="2" formatCode="0.00"/>
      <alignment horizontal="general" vertical="top" textRotation="0" wrapText="1" indent="0" justifyLastLine="0" shrinkToFit="0" readingOrder="0"/>
      <protection locked="0" hidden="0"/>
    </dxf>
    <dxf>
      <font>
        <b/>
        <i val="0"/>
        <strike val="0"/>
        <condense val="0"/>
        <extend val="0"/>
        <outline val="0"/>
        <shadow val="0"/>
        <u val="none"/>
        <vertAlign val="baseline"/>
        <sz val="8"/>
        <color theme="1"/>
        <name val="Arial Narrow"/>
        <scheme val="none"/>
      </font>
      <alignment horizontal="general" vertical="top" textRotation="0" wrapText="1" indent="0" justifyLastLine="0" shrinkToFit="0" readingOrder="0"/>
      <protection locked="1" hidden="0"/>
    </dxf>
    <dxf>
      <font>
        <strike val="0"/>
        <outline val="0"/>
        <shadow val="0"/>
        <u val="none"/>
        <vertAlign val="baseline"/>
        <sz val="8"/>
        <color theme="1"/>
        <name val="Arial Narrow"/>
        <scheme val="none"/>
      </font>
      <alignment horizontal="general" vertical="top" textRotation="0" wrapText="1" indent="0" justifyLastLine="0" shrinkToFit="0" readingOrder="0"/>
    </dxf>
    <dxf>
      <font>
        <b/>
        <i val="0"/>
        <strike val="0"/>
        <condense val="0"/>
        <extend val="0"/>
        <outline val="0"/>
        <shadow val="0"/>
        <u val="none"/>
        <vertAlign val="baseline"/>
        <sz val="8"/>
        <color theme="1"/>
        <name val="Arial Narrow"/>
        <scheme val="none"/>
      </font>
      <alignment horizontal="center" vertical="top" textRotation="0" wrapText="1" indent="0" justifyLastLine="0" shrinkToFit="0" readingOrder="0"/>
      <protection locked="1" hidden="0"/>
    </dxf>
    <dxf>
      <font>
        <color theme="0"/>
      </font>
    </dxf>
    <dxf>
      <font>
        <color theme="0"/>
      </font>
    </dxf>
  </dxfs>
  <tableStyles count="0" defaultTableStyle="TableStyleMedium2" defaultPivotStyle="PivotStyleLight16"/>
  <colors>
    <mruColors>
      <color rgb="FFFFFFCC"/>
      <color rgb="FFFFFF99"/>
      <color rgb="FFE9FECC"/>
      <color rgb="FF5C0000"/>
      <color rgb="FF5C0033"/>
      <color rgb="FFE1E5EB"/>
      <color rgb="FF660033"/>
      <color rgb="FF103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742950</xdr:colOff>
          <xdr:row>10</xdr:row>
          <xdr:rowOff>19050</xdr:rowOff>
        </xdr:from>
        <xdr:to>
          <xdr:col>3</xdr:col>
          <xdr:colOff>466725</xdr:colOff>
          <xdr:row>12</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800000"/>
                  </a:solidFill>
                  <a:latin typeface="Arial Narrow"/>
                </a:rPr>
                <a:t>RESET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6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7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7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8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8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8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8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9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9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A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B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B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C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C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C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C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D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D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D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D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E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E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E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E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0F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0F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0F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0F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0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0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0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0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1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1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4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4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4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4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5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5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5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8.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6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7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8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8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8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1.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9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2.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A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A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A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A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B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4.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C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C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D00-000002000000}"/>
            </a:ext>
          </a:extLst>
        </xdr:cNvPr>
        <xdr:cNvCxnSpPr/>
      </xdr:nvCxnSpPr>
      <xdr:spPr>
        <a:xfrm flipV="1">
          <a:off x="6381751"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D00-000003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D00-000004000000}"/>
            </a:ext>
          </a:extLst>
        </xdr:cNvPr>
        <xdr:cNvCxnSpPr/>
      </xdr:nvCxnSpPr>
      <xdr:spPr>
        <a:xfrm flipV="1">
          <a:off x="2781300"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D00-000005000000}"/>
            </a:ext>
          </a:extLst>
        </xdr:cNvPr>
        <xdr:cNvCxnSpPr/>
      </xdr:nvCxnSpPr>
      <xdr:spPr>
        <a:xfrm flipH="1" flipV="1">
          <a:off x="2962274"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6.xml><?xml version="1.0" encoding="utf-8"?>
<xdr:wsDr xmlns:xdr="http://schemas.openxmlformats.org/drawingml/2006/spreadsheetDrawing" xmlns:a="http://schemas.openxmlformats.org/drawingml/2006/main">
  <xdr:twoCellAnchor>
    <xdr:from>
      <xdr:col>16</xdr:col>
      <xdr:colOff>247651</xdr:colOff>
      <xdr:row>10</xdr:row>
      <xdr:rowOff>114300</xdr:rowOff>
    </xdr:from>
    <xdr:to>
      <xdr:col>17</xdr:col>
      <xdr:colOff>133350</xdr:colOff>
      <xdr:row>10</xdr:row>
      <xdr:rowOff>114301</xdr:rowOff>
    </xdr:to>
    <xdr:cxnSp macro="">
      <xdr:nvCxnSpPr>
        <xdr:cNvPr id="2" name="Straight Arrow Connector 1">
          <a:extLst>
            <a:ext uri="{FF2B5EF4-FFF2-40B4-BE49-F238E27FC236}">
              <a16:creationId xmlns:a16="http://schemas.microsoft.com/office/drawing/2014/main" id="{00000000-0008-0000-1E00-000002000000}"/>
            </a:ext>
          </a:extLst>
        </xdr:cNvPr>
        <xdr:cNvCxnSpPr/>
      </xdr:nvCxnSpPr>
      <xdr:spPr>
        <a:xfrm flipV="1">
          <a:off x="6410326" y="1838325"/>
          <a:ext cx="219074" cy="1"/>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3" name="Straight Arrow Connector 2">
          <a:extLst>
            <a:ext uri="{FF2B5EF4-FFF2-40B4-BE49-F238E27FC236}">
              <a16:creationId xmlns:a16="http://schemas.microsoft.com/office/drawing/2014/main" id="{00000000-0008-0000-1E00-000003000000}"/>
            </a:ext>
          </a:extLst>
        </xdr:cNvPr>
        <xdr:cNvCxnSpPr/>
      </xdr:nvCxnSpPr>
      <xdr:spPr>
        <a:xfrm flipV="1">
          <a:off x="2809875"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9</xdr:row>
      <xdr:rowOff>0</xdr:rowOff>
    </xdr:from>
    <xdr:to>
      <xdr:col>6</xdr:col>
      <xdr:colOff>219074</xdr:colOff>
      <xdr:row>9</xdr:row>
      <xdr:rowOff>1</xdr:rowOff>
    </xdr:to>
    <xdr:cxnSp macro="">
      <xdr:nvCxnSpPr>
        <xdr:cNvPr id="4" name="Straight Arrow Connector 3">
          <a:extLst>
            <a:ext uri="{FF2B5EF4-FFF2-40B4-BE49-F238E27FC236}">
              <a16:creationId xmlns:a16="http://schemas.microsoft.com/office/drawing/2014/main" id="{00000000-0008-0000-1E00-000004000000}"/>
            </a:ext>
          </a:extLst>
        </xdr:cNvPr>
        <xdr:cNvCxnSpPr/>
      </xdr:nvCxnSpPr>
      <xdr:spPr>
        <a:xfrm flipV="1">
          <a:off x="2809875" y="1724025"/>
          <a:ext cx="219074" cy="0"/>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180974</xdr:colOff>
      <xdr:row>10</xdr:row>
      <xdr:rowOff>104776</xdr:rowOff>
    </xdr:from>
    <xdr:to>
      <xdr:col>7</xdr:col>
      <xdr:colOff>76200</xdr:colOff>
      <xdr:row>10</xdr:row>
      <xdr:rowOff>114300</xdr:rowOff>
    </xdr:to>
    <xdr:cxnSp macro="">
      <xdr:nvCxnSpPr>
        <xdr:cNvPr id="5" name="Straight Arrow Connector 4">
          <a:extLst>
            <a:ext uri="{FF2B5EF4-FFF2-40B4-BE49-F238E27FC236}">
              <a16:creationId xmlns:a16="http://schemas.microsoft.com/office/drawing/2014/main" id="{00000000-0008-0000-1E00-000005000000}"/>
            </a:ext>
          </a:extLst>
        </xdr:cNvPr>
        <xdr:cNvCxnSpPr/>
      </xdr:nvCxnSpPr>
      <xdr:spPr>
        <a:xfrm flipH="1" flipV="1">
          <a:off x="2990849" y="1828801"/>
          <a:ext cx="228601" cy="9524"/>
        </a:xfrm>
        <a:prstGeom prst="straightConnector1">
          <a:avLst/>
        </a:prstGeom>
        <a:ln w="28575">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8" totalsRowShown="0" headerRowDxfId="442" dataDxfId="441">
  <autoFilter ref="A1:L8" xr:uid="{00000000-0009-0000-0100-000001000000}"/>
  <tableColumns count="12">
    <tableColumn id="1" xr3:uid="{00000000-0010-0000-0000-000001000000}" name="Day of The Week" dataDxfId="440"/>
    <tableColumn id="2" xr3:uid="{00000000-0010-0000-0000-000002000000}" name="Actual Hours Worked" dataDxfId="439"/>
    <tableColumn id="3" xr3:uid="{00000000-0010-0000-0000-000003000000}" name="Compensatory Time Used" dataDxfId="438"/>
    <tableColumn id="4" xr3:uid="{00000000-0010-0000-0000-000004000000}" name="Holiday" dataDxfId="437"/>
    <tableColumn id="5" xr3:uid="{00000000-0010-0000-0000-000005000000}" name="Medical Leave" dataDxfId="436"/>
    <tableColumn id="6" xr3:uid="{00000000-0010-0000-0000-000006000000}" name="Personal Leave" dataDxfId="435"/>
    <tableColumn id="12" xr3:uid="{00000000-0010-0000-0000-00000C000000}" name="Administrative Closing/SCHD HRS" dataDxfId="434"/>
    <tableColumn id="7" xr3:uid="{00000000-0010-0000-0000-000007000000}" name="Administrative Closing/Leave" dataDxfId="433"/>
    <tableColumn id="8" xr3:uid="{00000000-0010-0000-0000-000008000000}" name="Jury Duty" dataDxfId="432"/>
    <tableColumn id="9" xr3:uid="{00000000-0010-0000-0000-000009000000}" name="Military Leave" dataDxfId="431"/>
    <tableColumn id="10" xr3:uid="{00000000-0010-0000-0000-00000A000000}" name="Leave Without Pay" dataDxfId="430"/>
    <tableColumn id="11" xr3:uid="{00000000-0010-0000-0000-00000B000000}" name="Totals" dataDxfId="429">
      <calculatedColumnFormula>SUM(Table1[[#This Row],[Actual Hours Worked]:[Leave Without Pay]])</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xml"/><Relationship Id="rId5" Type="http://schemas.openxmlformats.org/officeDocument/2006/relationships/printerSettings" Target="../printerSettings/printerSettings5.bin"/><Relationship Id="rId4" Type="http://schemas.openxmlformats.org/officeDocument/2006/relationships/hyperlink" Target="http://www.policies.msstate.edu/policypdfs/60311.pdf"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3.xml"/><Relationship Id="rId5" Type="http://schemas.openxmlformats.org/officeDocument/2006/relationships/printerSettings" Target="../printerSettings/printerSettings6.bin"/><Relationship Id="rId4" Type="http://schemas.openxmlformats.org/officeDocument/2006/relationships/hyperlink" Target="http://www.policies.msstate.edu/policypdfs/60311.pdf"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4.xml"/><Relationship Id="rId5" Type="http://schemas.openxmlformats.org/officeDocument/2006/relationships/printerSettings" Target="../printerSettings/printerSettings7.bin"/><Relationship Id="rId4" Type="http://schemas.openxmlformats.org/officeDocument/2006/relationships/hyperlink" Target="http://www.policies.msstate.edu/policypdfs/60311.pdf"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5.xml"/><Relationship Id="rId5" Type="http://schemas.openxmlformats.org/officeDocument/2006/relationships/printerSettings" Target="../printerSettings/printerSettings8.bin"/><Relationship Id="rId4" Type="http://schemas.openxmlformats.org/officeDocument/2006/relationships/hyperlink" Target="http://www.policies.msstate.edu/policypdfs/60311.pdf"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6.xml"/><Relationship Id="rId5" Type="http://schemas.openxmlformats.org/officeDocument/2006/relationships/printerSettings" Target="../printerSettings/printerSettings9.bin"/><Relationship Id="rId4" Type="http://schemas.openxmlformats.org/officeDocument/2006/relationships/hyperlink" Target="http://www.policies.msstate.edu/policypdfs/60311.pdf"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7.xml"/><Relationship Id="rId5" Type="http://schemas.openxmlformats.org/officeDocument/2006/relationships/printerSettings" Target="../printerSettings/printerSettings10.bin"/><Relationship Id="rId4" Type="http://schemas.openxmlformats.org/officeDocument/2006/relationships/hyperlink" Target="http://www.policies.msstate.edu/policypdfs/60311.pdf"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8.xml"/><Relationship Id="rId5" Type="http://schemas.openxmlformats.org/officeDocument/2006/relationships/printerSettings" Target="../printerSettings/printerSettings11.bin"/><Relationship Id="rId4" Type="http://schemas.openxmlformats.org/officeDocument/2006/relationships/hyperlink" Target="http://www.policies.msstate.edu/policypdfs/60311.pdf"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9.xml"/><Relationship Id="rId5" Type="http://schemas.openxmlformats.org/officeDocument/2006/relationships/printerSettings" Target="../printerSettings/printerSettings12.bin"/><Relationship Id="rId4" Type="http://schemas.openxmlformats.org/officeDocument/2006/relationships/hyperlink" Target="http://www.policies.msstate.edu/policypdfs/60311.pdf"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0.xml"/><Relationship Id="rId5" Type="http://schemas.openxmlformats.org/officeDocument/2006/relationships/printerSettings" Target="../printerSettings/printerSettings13.bin"/><Relationship Id="rId4" Type="http://schemas.openxmlformats.org/officeDocument/2006/relationships/hyperlink" Target="http://www.policies.msstate.edu/policypdfs/60311.pdf"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1.xml"/><Relationship Id="rId5" Type="http://schemas.openxmlformats.org/officeDocument/2006/relationships/printerSettings" Target="../printerSettings/printerSettings14.bin"/><Relationship Id="rId4" Type="http://schemas.openxmlformats.org/officeDocument/2006/relationships/hyperlink" Target="http://www.policies.msstate.edu/policypdfs/60311.pdf"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2.xml"/><Relationship Id="rId5" Type="http://schemas.openxmlformats.org/officeDocument/2006/relationships/printerSettings" Target="../printerSettings/printerSettings15.bin"/><Relationship Id="rId4" Type="http://schemas.openxmlformats.org/officeDocument/2006/relationships/hyperlink" Target="http://www.policies.msstate.edu/policypdfs/60311.pdf"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3.xml"/><Relationship Id="rId5" Type="http://schemas.openxmlformats.org/officeDocument/2006/relationships/printerSettings" Target="../printerSettings/printerSettings16.bin"/><Relationship Id="rId4" Type="http://schemas.openxmlformats.org/officeDocument/2006/relationships/hyperlink" Target="http://www.policies.msstate.edu/policypdfs/60311.pdf"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4.xml"/><Relationship Id="rId5" Type="http://schemas.openxmlformats.org/officeDocument/2006/relationships/printerSettings" Target="../printerSettings/printerSettings17.bin"/><Relationship Id="rId4" Type="http://schemas.openxmlformats.org/officeDocument/2006/relationships/hyperlink" Target="http://www.policies.msstate.edu/policypdfs/60311.pdf"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5.xml"/><Relationship Id="rId5" Type="http://schemas.openxmlformats.org/officeDocument/2006/relationships/printerSettings" Target="../printerSettings/printerSettings18.bin"/><Relationship Id="rId4" Type="http://schemas.openxmlformats.org/officeDocument/2006/relationships/hyperlink" Target="http://www.policies.msstate.edu/policypdfs/60311.pdf"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6.xml"/><Relationship Id="rId5" Type="http://schemas.openxmlformats.org/officeDocument/2006/relationships/printerSettings" Target="../printerSettings/printerSettings19.bin"/><Relationship Id="rId4" Type="http://schemas.openxmlformats.org/officeDocument/2006/relationships/hyperlink" Target="http://www.policies.msstate.edu/policypdfs/60311.pdf"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7.xml"/><Relationship Id="rId5" Type="http://schemas.openxmlformats.org/officeDocument/2006/relationships/printerSettings" Target="../printerSettings/printerSettings20.bin"/><Relationship Id="rId4" Type="http://schemas.openxmlformats.org/officeDocument/2006/relationships/hyperlink" Target="http://www.policies.msstate.edu/policypdfs/60311.pdf"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8.xml"/><Relationship Id="rId5" Type="http://schemas.openxmlformats.org/officeDocument/2006/relationships/printerSettings" Target="../printerSettings/printerSettings21.bin"/><Relationship Id="rId4" Type="http://schemas.openxmlformats.org/officeDocument/2006/relationships/hyperlink" Target="http://www.policies.msstate.edu/policypdfs/60311.pdf"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19.xml"/><Relationship Id="rId5" Type="http://schemas.openxmlformats.org/officeDocument/2006/relationships/printerSettings" Target="../printerSettings/printerSettings22.bin"/><Relationship Id="rId4" Type="http://schemas.openxmlformats.org/officeDocument/2006/relationships/hyperlink" Target="http://www.policies.msstate.edu/policypdfs/60311.pdf"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0.xml"/><Relationship Id="rId5" Type="http://schemas.openxmlformats.org/officeDocument/2006/relationships/printerSettings" Target="../printerSettings/printerSettings23.bin"/><Relationship Id="rId4" Type="http://schemas.openxmlformats.org/officeDocument/2006/relationships/hyperlink" Target="http://www.policies.msstate.edu/policypdfs/60311.pdf"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1.xml"/><Relationship Id="rId5" Type="http://schemas.openxmlformats.org/officeDocument/2006/relationships/printerSettings" Target="../printerSettings/printerSettings24.bin"/><Relationship Id="rId4" Type="http://schemas.openxmlformats.org/officeDocument/2006/relationships/hyperlink" Target="http://www.policies.msstate.edu/policypdfs/60311.pdf"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2.xml"/><Relationship Id="rId5" Type="http://schemas.openxmlformats.org/officeDocument/2006/relationships/printerSettings" Target="../printerSettings/printerSettings25.bin"/><Relationship Id="rId4" Type="http://schemas.openxmlformats.org/officeDocument/2006/relationships/hyperlink" Target="http://www.policies.msstate.edu/policypdfs/60311.pdf"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3.xml"/><Relationship Id="rId5" Type="http://schemas.openxmlformats.org/officeDocument/2006/relationships/printerSettings" Target="../printerSettings/printerSettings26.bin"/><Relationship Id="rId4" Type="http://schemas.openxmlformats.org/officeDocument/2006/relationships/hyperlink" Target="http://www.policies.msstate.edu/policypdfs/60311.pdf"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4.xml"/><Relationship Id="rId5" Type="http://schemas.openxmlformats.org/officeDocument/2006/relationships/printerSettings" Target="../printerSettings/printerSettings27.bin"/><Relationship Id="rId4" Type="http://schemas.openxmlformats.org/officeDocument/2006/relationships/hyperlink" Target="http://www.policies.msstate.edu/policypdfs/60311.pdf"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5.xml"/><Relationship Id="rId5" Type="http://schemas.openxmlformats.org/officeDocument/2006/relationships/printerSettings" Target="../printerSettings/printerSettings28.bin"/><Relationship Id="rId4" Type="http://schemas.openxmlformats.org/officeDocument/2006/relationships/hyperlink" Target="http://www.policies.msstate.edu/policypdfs/60311.pdf"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www.hrm.msstate.edu/pdf/Time_Sheet_Definitions.pdf" TargetMode="External"/><Relationship Id="rId2" Type="http://schemas.openxmlformats.org/officeDocument/2006/relationships/hyperlink" Target="http://www.msstate.edu/dept/audit/60201.html" TargetMode="External"/><Relationship Id="rId1" Type="http://schemas.openxmlformats.org/officeDocument/2006/relationships/hyperlink" Target="http://www.msstate.edu/dept/audit/PDF/60311.pdf" TargetMode="External"/><Relationship Id="rId6" Type="http://schemas.openxmlformats.org/officeDocument/2006/relationships/drawing" Target="../drawings/drawing26.xml"/><Relationship Id="rId5" Type="http://schemas.openxmlformats.org/officeDocument/2006/relationships/printerSettings" Target="../printerSettings/printerSettings29.bin"/><Relationship Id="rId4" Type="http://schemas.openxmlformats.org/officeDocument/2006/relationships/hyperlink" Target="http://www.policies.msstate.edu/policypdfs/6031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rgb="FF7030A0"/>
  </sheetPr>
  <dimension ref="A1:W55"/>
  <sheetViews>
    <sheetView workbookViewId="0">
      <pane ySplit="5" topLeftCell="A6" activePane="bottomLeft" state="frozen"/>
      <selection pane="bottomLeft" activeCell="V24" sqref="V24"/>
    </sheetView>
  </sheetViews>
  <sheetFormatPr defaultColWidth="9.33203125" defaultRowHeight="12.75"/>
  <cols>
    <col min="1" max="1" width="19.5" style="16" customWidth="1"/>
    <col min="2" max="2" width="6.83203125" style="11" customWidth="1"/>
    <col min="3" max="3" width="1" customWidth="1"/>
    <col min="4" max="4" width="18.83203125" bestFit="1" customWidth="1"/>
    <col min="5" max="5" width="6.83203125" customWidth="1"/>
    <col min="6" max="6" width="1" customWidth="1"/>
    <col min="7" max="7" width="18.1640625" bestFit="1" customWidth="1"/>
    <col min="8" max="8" width="6.83203125" customWidth="1"/>
    <col min="9" max="9" width="1" customWidth="1"/>
    <col min="10" max="10" width="18.1640625" bestFit="1" customWidth="1"/>
    <col min="11" max="11" width="6.83203125" customWidth="1"/>
    <col min="12" max="12" width="1" customWidth="1"/>
    <col min="13" max="13" width="16.6640625" bestFit="1" customWidth="1"/>
    <col min="14" max="14" width="6.83203125" customWidth="1"/>
    <col min="15" max="15" width="1" customWidth="1"/>
    <col min="16" max="16" width="14.33203125" bestFit="1" customWidth="1"/>
    <col min="17" max="17" width="6.83203125" customWidth="1"/>
    <col min="18" max="18" width="1" customWidth="1"/>
    <col min="19" max="19" width="13" bestFit="1" customWidth="1"/>
    <col min="20" max="20" width="6.83203125" customWidth="1"/>
    <col min="21" max="21" width="1" customWidth="1"/>
    <col min="22" max="22" width="12.83203125" bestFit="1" customWidth="1"/>
    <col min="23" max="23" width="6.83203125" customWidth="1"/>
  </cols>
  <sheetData>
    <row r="1" spans="1:23" ht="24" hidden="1">
      <c r="A1" s="118" t="s">
        <v>3</v>
      </c>
      <c r="B1" s="119">
        <v>43282</v>
      </c>
      <c r="C1" s="120"/>
      <c r="D1" s="118" t="s">
        <v>3</v>
      </c>
      <c r="E1" s="119">
        <v>43282</v>
      </c>
      <c r="F1" s="121"/>
      <c r="G1" s="118" t="s">
        <v>3</v>
      </c>
      <c r="H1" s="119">
        <v>43282</v>
      </c>
      <c r="I1" s="121"/>
      <c r="J1" s="118" t="s">
        <v>3</v>
      </c>
      <c r="K1" s="119">
        <v>43282</v>
      </c>
      <c r="L1" s="121"/>
      <c r="M1" s="118" t="s">
        <v>3</v>
      </c>
      <c r="N1" s="119">
        <v>43282</v>
      </c>
      <c r="O1" s="121"/>
      <c r="P1" s="118" t="s">
        <v>3</v>
      </c>
      <c r="Q1" s="119">
        <v>43282</v>
      </c>
      <c r="R1" s="121"/>
      <c r="S1" s="118" t="s">
        <v>3</v>
      </c>
      <c r="T1" s="119">
        <v>43282</v>
      </c>
      <c r="U1" s="121"/>
      <c r="V1" s="118" t="s">
        <v>3</v>
      </c>
      <c r="W1" s="119">
        <v>43282</v>
      </c>
    </row>
    <row r="2" spans="1:23" hidden="1">
      <c r="A2" s="122"/>
      <c r="B2" s="119"/>
      <c r="C2" s="121"/>
      <c r="D2" s="122"/>
      <c r="E2" s="119"/>
      <c r="F2" s="121"/>
      <c r="G2" s="122"/>
      <c r="H2" s="119"/>
      <c r="I2" s="121"/>
      <c r="J2" s="122"/>
      <c r="K2" s="119"/>
      <c r="L2" s="121"/>
      <c r="M2" s="122"/>
      <c r="N2" s="119"/>
      <c r="O2" s="121"/>
      <c r="P2" s="122"/>
      <c r="Q2" s="119"/>
      <c r="R2" s="121"/>
      <c r="S2" s="122"/>
      <c r="T2" s="119"/>
      <c r="U2" s="121"/>
      <c r="V2" s="122"/>
      <c r="W2" s="119"/>
    </row>
    <row r="3" spans="1:23" ht="24" hidden="1">
      <c r="A3" s="123" t="s">
        <v>5</v>
      </c>
      <c r="B3" s="119">
        <v>43646</v>
      </c>
      <c r="C3" s="121"/>
      <c r="D3" s="123" t="s">
        <v>5</v>
      </c>
      <c r="E3" s="119">
        <v>43646</v>
      </c>
      <c r="F3" s="121"/>
      <c r="G3" s="123" t="s">
        <v>5</v>
      </c>
      <c r="H3" s="119">
        <v>43646</v>
      </c>
      <c r="I3" s="121"/>
      <c r="J3" s="123" t="s">
        <v>5</v>
      </c>
      <c r="K3" s="119">
        <v>43646</v>
      </c>
      <c r="L3" s="121"/>
      <c r="M3" s="123" t="s">
        <v>5</v>
      </c>
      <c r="N3" s="119">
        <v>43646</v>
      </c>
      <c r="O3" s="121"/>
      <c r="P3" s="123" t="s">
        <v>5</v>
      </c>
      <c r="Q3" s="119">
        <v>43646</v>
      </c>
      <c r="R3" s="121"/>
      <c r="S3" s="123" t="s">
        <v>5</v>
      </c>
      <c r="T3" s="119">
        <v>43646</v>
      </c>
      <c r="U3" s="121"/>
      <c r="V3" s="123" t="s">
        <v>5</v>
      </c>
      <c r="W3" s="119">
        <v>43646</v>
      </c>
    </row>
    <row r="4" spans="1:23" hidden="1">
      <c r="A4" s="122"/>
      <c r="B4" s="124"/>
      <c r="C4" s="121"/>
      <c r="D4" s="122"/>
      <c r="E4" s="124"/>
      <c r="F4" s="121"/>
      <c r="G4" s="122"/>
      <c r="H4" s="124"/>
      <c r="I4" s="121"/>
      <c r="J4" s="122"/>
      <c r="K4" s="124"/>
      <c r="L4" s="121"/>
      <c r="M4" s="122"/>
      <c r="N4" s="124"/>
      <c r="O4" s="121"/>
      <c r="P4" s="122"/>
      <c r="Q4" s="124"/>
      <c r="R4" s="121"/>
      <c r="S4" s="122"/>
      <c r="T4" s="124"/>
      <c r="U4" s="121"/>
      <c r="V4" s="122"/>
      <c r="W4" s="124"/>
    </row>
    <row r="5" spans="1:23">
      <c r="A5" s="125" t="s">
        <v>41</v>
      </c>
      <c r="B5" s="20" t="s">
        <v>80</v>
      </c>
      <c r="C5" s="121"/>
      <c r="D5" s="125" t="s">
        <v>41</v>
      </c>
      <c r="E5" s="20" t="s">
        <v>80</v>
      </c>
      <c r="F5" s="121"/>
      <c r="G5" s="125" t="s">
        <v>41</v>
      </c>
      <c r="H5" s="20" t="s">
        <v>80</v>
      </c>
      <c r="I5" s="121"/>
      <c r="J5" s="125" t="s">
        <v>41</v>
      </c>
      <c r="K5" s="20" t="s">
        <v>80</v>
      </c>
      <c r="L5" s="121"/>
      <c r="M5" s="125" t="s">
        <v>41</v>
      </c>
      <c r="N5" s="20" t="s">
        <v>80</v>
      </c>
      <c r="O5" s="121"/>
      <c r="P5" s="125" t="s">
        <v>41</v>
      </c>
      <c r="Q5" s="20" t="s">
        <v>80</v>
      </c>
      <c r="R5" s="121"/>
      <c r="S5" s="125" t="s">
        <v>41</v>
      </c>
      <c r="T5" s="20" t="s">
        <v>80</v>
      </c>
      <c r="U5" s="121"/>
      <c r="V5" s="125" t="s">
        <v>41</v>
      </c>
      <c r="W5" s="20" t="s">
        <v>80</v>
      </c>
    </row>
    <row r="6" spans="1:23">
      <c r="A6" s="15">
        <f>'Conversion Factors'!A6</f>
        <v>44378</v>
      </c>
      <c r="B6" s="9">
        <f>'Conversion Factors'!B6</f>
        <v>7.8789999999999996</v>
      </c>
      <c r="D6" s="15">
        <f>'Conversion Factors'!A56</f>
        <v>44428</v>
      </c>
      <c r="E6" s="10">
        <f>'Conversion Factors'!B56</f>
        <v>7.2229999999999999</v>
      </c>
      <c r="G6" s="15">
        <f>'Conversion Factors'!A106</f>
        <v>44478</v>
      </c>
      <c r="H6" s="10">
        <f>'Conversion Factors'!B106</f>
        <v>7.8789999999999996</v>
      </c>
      <c r="J6" s="15">
        <f>'Conversion Factors'!A156</f>
        <v>44528</v>
      </c>
      <c r="K6" s="10">
        <f>'Conversion Factors'!B156</f>
        <v>7.8789999999999996</v>
      </c>
      <c r="M6" s="15">
        <f>'Conversion Factors'!A206</f>
        <v>44578</v>
      </c>
      <c r="N6" s="10">
        <f>'Conversion Factors'!B206</f>
        <v>7.8789999999999996</v>
      </c>
      <c r="P6" s="15">
        <f>'Conversion Factors'!A256</f>
        <v>44628</v>
      </c>
      <c r="Q6" s="10">
        <f>'Conversion Factors'!B256</f>
        <v>7.8789999999999996</v>
      </c>
      <c r="S6" s="15">
        <f>'Conversion Factors'!A306</f>
        <v>44678</v>
      </c>
      <c r="T6" s="10">
        <f>'Conversion Factors'!B306</f>
        <v>8.6669999999999998</v>
      </c>
      <c r="V6" s="15">
        <f>'Conversion Factors'!A356</f>
        <v>44728</v>
      </c>
      <c r="W6" s="10">
        <f>'Conversion Factors'!B356</f>
        <v>7.8789999999999996</v>
      </c>
    </row>
    <row r="7" spans="1:23">
      <c r="A7" s="15">
        <f>'Conversion Factors'!A7</f>
        <v>44379</v>
      </c>
      <c r="B7" s="9">
        <f>'Conversion Factors'!B7</f>
        <v>7.8789999999999996</v>
      </c>
      <c r="D7" s="15">
        <f>'Conversion Factors'!A57</f>
        <v>44429</v>
      </c>
      <c r="E7" s="10">
        <f>'Conversion Factors'!B57</f>
        <v>7.2229999999999999</v>
      </c>
      <c r="G7" s="15">
        <f>'Conversion Factors'!A107</f>
        <v>44479</v>
      </c>
      <c r="H7" s="10">
        <f>'Conversion Factors'!B107</f>
        <v>7.8789999999999996</v>
      </c>
      <c r="J7" s="15">
        <f>'Conversion Factors'!A157</f>
        <v>44529</v>
      </c>
      <c r="K7" s="10">
        <f>'Conversion Factors'!B157</f>
        <v>7.8789999999999996</v>
      </c>
      <c r="M7" s="15">
        <f>'Conversion Factors'!A207</f>
        <v>44579</v>
      </c>
      <c r="N7" s="10">
        <f>'Conversion Factors'!B207</f>
        <v>7.8789999999999996</v>
      </c>
      <c r="P7" s="15">
        <f>'Conversion Factors'!A257</f>
        <v>44629</v>
      </c>
      <c r="Q7" s="10">
        <f>'Conversion Factors'!B257</f>
        <v>7.8789999999999996</v>
      </c>
      <c r="S7" s="15">
        <f>'Conversion Factors'!A307</f>
        <v>44679</v>
      </c>
      <c r="T7" s="10">
        <f>'Conversion Factors'!B307</f>
        <v>8.6669999999999998</v>
      </c>
      <c r="V7" s="15">
        <f>'Conversion Factors'!A357</f>
        <v>44729</v>
      </c>
      <c r="W7" s="10">
        <f>'Conversion Factors'!B357</f>
        <v>7.8789999999999996</v>
      </c>
    </row>
    <row r="8" spans="1:23">
      <c r="A8" s="15">
        <f>'Conversion Factors'!A8</f>
        <v>44380</v>
      </c>
      <c r="B8" s="9">
        <f>'Conversion Factors'!B8</f>
        <v>7.8789999999999996</v>
      </c>
      <c r="D8" s="15">
        <f>'Conversion Factors'!A58</f>
        <v>44430</v>
      </c>
      <c r="E8" s="10">
        <f>'Conversion Factors'!B58</f>
        <v>7.2229999999999999</v>
      </c>
      <c r="G8" s="15">
        <f>'Conversion Factors'!A108</f>
        <v>44480</v>
      </c>
      <c r="H8" s="10">
        <f>'Conversion Factors'!B108</f>
        <v>7.8789999999999996</v>
      </c>
      <c r="J8" s="15">
        <f>'Conversion Factors'!A158</f>
        <v>44530</v>
      </c>
      <c r="K8" s="10">
        <f>'Conversion Factors'!B158</f>
        <v>7.8789999999999996</v>
      </c>
      <c r="M8" s="15">
        <f>'Conversion Factors'!A208</f>
        <v>44580</v>
      </c>
      <c r="N8" s="10">
        <f>'Conversion Factors'!B208</f>
        <v>7.8789999999999996</v>
      </c>
      <c r="P8" s="15">
        <f>'Conversion Factors'!A258</f>
        <v>44630</v>
      </c>
      <c r="Q8" s="10">
        <f>'Conversion Factors'!B258</f>
        <v>7.8789999999999996</v>
      </c>
      <c r="S8" s="15">
        <f>'Conversion Factors'!A308</f>
        <v>44680</v>
      </c>
      <c r="T8" s="10">
        <f>'Conversion Factors'!B308</f>
        <v>8.6669999999999998</v>
      </c>
      <c r="V8" s="15">
        <f>'Conversion Factors'!A358</f>
        <v>44730</v>
      </c>
      <c r="W8" s="10">
        <f>'Conversion Factors'!B358</f>
        <v>7.8789999999999996</v>
      </c>
    </row>
    <row r="9" spans="1:23">
      <c r="A9" s="15">
        <f>'Conversion Factors'!A9</f>
        <v>44381</v>
      </c>
      <c r="B9" s="9">
        <f>'Conversion Factors'!B9</f>
        <v>7.8789999999999996</v>
      </c>
      <c r="D9" s="15">
        <f>'Conversion Factors'!A59</f>
        <v>44431</v>
      </c>
      <c r="E9" s="10">
        <f>'Conversion Factors'!B59</f>
        <v>7.2229999999999999</v>
      </c>
      <c r="G9" s="15">
        <f>'Conversion Factors'!A109</f>
        <v>44481</v>
      </c>
      <c r="H9" s="10">
        <f>'Conversion Factors'!B109</f>
        <v>7.8789999999999996</v>
      </c>
      <c r="J9" s="15">
        <f>'Conversion Factors'!A159</f>
        <v>44531</v>
      </c>
      <c r="K9" s="10">
        <f>'Conversion Factors'!B159</f>
        <v>7.8789999999999996</v>
      </c>
      <c r="M9" s="15">
        <f>'Conversion Factors'!A209</f>
        <v>44581</v>
      </c>
      <c r="N9" s="10">
        <f>'Conversion Factors'!B209</f>
        <v>7.8789999999999996</v>
      </c>
      <c r="P9" s="15">
        <f>'Conversion Factors'!A259</f>
        <v>44631</v>
      </c>
      <c r="Q9" s="10">
        <f>'Conversion Factors'!B259</f>
        <v>7.8789999999999996</v>
      </c>
      <c r="S9" s="15">
        <f>'Conversion Factors'!A309</f>
        <v>44681</v>
      </c>
      <c r="T9" s="10">
        <f>'Conversion Factors'!B309</f>
        <v>8.6669999999999998</v>
      </c>
      <c r="V9" s="15">
        <f>'Conversion Factors'!A359</f>
        <v>44731</v>
      </c>
      <c r="W9" s="10">
        <f>'Conversion Factors'!B359</f>
        <v>7.8789999999999996</v>
      </c>
    </row>
    <row r="10" spans="1:23">
      <c r="A10" s="15">
        <f>'Conversion Factors'!A10</f>
        <v>44382</v>
      </c>
      <c r="B10" s="9">
        <f>'Conversion Factors'!B10</f>
        <v>7.8789999999999996</v>
      </c>
      <c r="D10" s="15">
        <f>'Conversion Factors'!A60</f>
        <v>44432</v>
      </c>
      <c r="E10" s="10">
        <f>'Conversion Factors'!B60</f>
        <v>7.2229999999999999</v>
      </c>
      <c r="G10" s="15">
        <f>'Conversion Factors'!A110</f>
        <v>44482</v>
      </c>
      <c r="H10" s="10">
        <f>'Conversion Factors'!B110</f>
        <v>7.8789999999999996</v>
      </c>
      <c r="J10" s="15">
        <f>'Conversion Factors'!A160</f>
        <v>44532</v>
      </c>
      <c r="K10" s="10">
        <f>'Conversion Factors'!B160</f>
        <v>7.8789999999999996</v>
      </c>
      <c r="M10" s="15">
        <f>'Conversion Factors'!A210</f>
        <v>44582</v>
      </c>
      <c r="N10" s="10">
        <f>'Conversion Factors'!B210</f>
        <v>7.8789999999999996</v>
      </c>
      <c r="P10" s="15">
        <f>'Conversion Factors'!A260</f>
        <v>44632</v>
      </c>
      <c r="Q10" s="10">
        <f>'Conversion Factors'!B260</f>
        <v>7.8789999999999996</v>
      </c>
      <c r="S10" s="15">
        <f>'Conversion Factors'!A310</f>
        <v>44682</v>
      </c>
      <c r="T10" s="10">
        <f>'Conversion Factors'!B310</f>
        <v>8.6669999999999998</v>
      </c>
      <c r="V10" s="15">
        <f>'Conversion Factors'!A360</f>
        <v>44732</v>
      </c>
      <c r="W10" s="10">
        <f>'Conversion Factors'!B360</f>
        <v>7.8789999999999996</v>
      </c>
    </row>
    <row r="11" spans="1:23">
      <c r="A11" s="15">
        <f>'Conversion Factors'!A11</f>
        <v>44383</v>
      </c>
      <c r="B11" s="9">
        <f>'Conversion Factors'!B11</f>
        <v>7.8789999999999996</v>
      </c>
      <c r="D11" s="15">
        <f>'Conversion Factors'!A61</f>
        <v>44433</v>
      </c>
      <c r="E11" s="10">
        <f>'Conversion Factors'!B61</f>
        <v>7.2229999999999999</v>
      </c>
      <c r="G11" s="15">
        <f>'Conversion Factors'!A111</f>
        <v>44483</v>
      </c>
      <c r="H11" s="10">
        <f>'Conversion Factors'!B111</f>
        <v>7.8789999999999996</v>
      </c>
      <c r="J11" s="15">
        <f>'Conversion Factors'!A161</f>
        <v>44533</v>
      </c>
      <c r="K11" s="10">
        <f>'Conversion Factors'!B161</f>
        <v>7.8789999999999996</v>
      </c>
      <c r="M11" s="15">
        <f>'Conversion Factors'!A211</f>
        <v>44583</v>
      </c>
      <c r="N11" s="10">
        <f>'Conversion Factors'!B211</f>
        <v>7.8789999999999996</v>
      </c>
      <c r="P11" s="15">
        <f>'Conversion Factors'!A261</f>
        <v>44633</v>
      </c>
      <c r="Q11" s="10">
        <f>'Conversion Factors'!B261</f>
        <v>7.8789999999999996</v>
      </c>
      <c r="S11" s="15">
        <f>'Conversion Factors'!A311</f>
        <v>44683</v>
      </c>
      <c r="T11" s="10">
        <f>'Conversion Factors'!B311</f>
        <v>8.6669999999999998</v>
      </c>
      <c r="V11" s="15">
        <f>'Conversion Factors'!A361</f>
        <v>44733</v>
      </c>
      <c r="W11" s="10">
        <f>'Conversion Factors'!B361</f>
        <v>7.8789999999999996</v>
      </c>
    </row>
    <row r="12" spans="1:23">
      <c r="A12" s="15">
        <f>'Conversion Factors'!A12</f>
        <v>44384</v>
      </c>
      <c r="B12" s="9">
        <f>'Conversion Factors'!B12</f>
        <v>7.8789999999999996</v>
      </c>
      <c r="D12" s="15">
        <f>'Conversion Factors'!A62</f>
        <v>44434</v>
      </c>
      <c r="E12" s="10">
        <f>'Conversion Factors'!B62</f>
        <v>7.2229999999999999</v>
      </c>
      <c r="G12" s="15">
        <f>'Conversion Factors'!A112</f>
        <v>44484</v>
      </c>
      <c r="H12" s="10">
        <f>'Conversion Factors'!B112</f>
        <v>7.8789999999999996</v>
      </c>
      <c r="J12" s="15">
        <f>'Conversion Factors'!A162</f>
        <v>44534</v>
      </c>
      <c r="K12" s="10">
        <f>'Conversion Factors'!B162</f>
        <v>7.8789999999999996</v>
      </c>
      <c r="M12" s="15">
        <f>'Conversion Factors'!A212</f>
        <v>44584</v>
      </c>
      <c r="N12" s="10">
        <f>'Conversion Factors'!B212</f>
        <v>7.8789999999999996</v>
      </c>
      <c r="P12" s="15">
        <f>'Conversion Factors'!A262</f>
        <v>44634</v>
      </c>
      <c r="Q12" s="10">
        <f>'Conversion Factors'!B262</f>
        <v>7.8789999999999996</v>
      </c>
      <c r="S12" s="15">
        <f>'Conversion Factors'!A312</f>
        <v>44684</v>
      </c>
      <c r="T12" s="10">
        <f>'Conversion Factors'!B312</f>
        <v>8.6669999999999998</v>
      </c>
      <c r="V12" s="15">
        <f>'Conversion Factors'!A362</f>
        <v>44734</v>
      </c>
      <c r="W12" s="10">
        <f>'Conversion Factors'!B362</f>
        <v>7.8789999999999996</v>
      </c>
    </row>
    <row r="13" spans="1:23">
      <c r="A13" s="15">
        <f>'Conversion Factors'!A13</f>
        <v>44385</v>
      </c>
      <c r="B13" s="9">
        <f>'Conversion Factors'!B13</f>
        <v>7.8789999999999996</v>
      </c>
      <c r="D13" s="15">
        <f>'Conversion Factors'!A63</f>
        <v>44435</v>
      </c>
      <c r="E13" s="10">
        <f>'Conversion Factors'!B63</f>
        <v>7.2229999999999999</v>
      </c>
      <c r="G13" s="15">
        <f>'Conversion Factors'!A113</f>
        <v>44485</v>
      </c>
      <c r="H13" s="10">
        <f>'Conversion Factors'!B113</f>
        <v>8.6669999999999998</v>
      </c>
      <c r="J13" s="15">
        <f>'Conversion Factors'!A163</f>
        <v>44535</v>
      </c>
      <c r="K13" s="10">
        <f>'Conversion Factors'!B163</f>
        <v>7.8789999999999996</v>
      </c>
      <c r="M13" s="15">
        <f>'Conversion Factors'!A213</f>
        <v>44585</v>
      </c>
      <c r="N13" s="10">
        <f>'Conversion Factors'!B213</f>
        <v>7.8789999999999996</v>
      </c>
      <c r="P13" s="15">
        <f>'Conversion Factors'!A263</f>
        <v>44635</v>
      </c>
      <c r="Q13" s="10">
        <f>'Conversion Factors'!B263</f>
        <v>7.8789999999999996</v>
      </c>
      <c r="S13" s="15">
        <f>'Conversion Factors'!A313</f>
        <v>44685</v>
      </c>
      <c r="T13" s="10">
        <f>'Conversion Factors'!B313</f>
        <v>8.6669999999999998</v>
      </c>
      <c r="V13" s="15">
        <f>'Conversion Factors'!A363</f>
        <v>44735</v>
      </c>
      <c r="W13" s="10">
        <f>'Conversion Factors'!B363</f>
        <v>7.8789999999999996</v>
      </c>
    </row>
    <row r="14" spans="1:23">
      <c r="A14" s="15">
        <f>'Conversion Factors'!A14</f>
        <v>44386</v>
      </c>
      <c r="B14" s="9">
        <f>'Conversion Factors'!B14</f>
        <v>7.8789999999999996</v>
      </c>
      <c r="D14" s="15">
        <f>'Conversion Factors'!A64</f>
        <v>44436</v>
      </c>
      <c r="E14" s="10">
        <f>'Conversion Factors'!B64</f>
        <v>7.2229999999999999</v>
      </c>
      <c r="G14" s="15">
        <f>'Conversion Factors'!A114</f>
        <v>44486</v>
      </c>
      <c r="H14" s="10">
        <f>'Conversion Factors'!B114</f>
        <v>8.6669999999999998</v>
      </c>
      <c r="J14" s="15">
        <f>'Conversion Factors'!A164</f>
        <v>44536</v>
      </c>
      <c r="K14" s="10">
        <f>'Conversion Factors'!B164</f>
        <v>7.8789999999999996</v>
      </c>
      <c r="M14" s="15">
        <f>'Conversion Factors'!A214</f>
        <v>44586</v>
      </c>
      <c r="N14" s="10">
        <f>'Conversion Factors'!B214</f>
        <v>7.8789999999999996</v>
      </c>
      <c r="P14" s="15">
        <f>'Conversion Factors'!A264</f>
        <v>44636</v>
      </c>
      <c r="Q14" s="10">
        <f>'Conversion Factors'!B264</f>
        <v>7.2229999999999999</v>
      </c>
      <c r="S14" s="15">
        <f>'Conversion Factors'!A314</f>
        <v>44686</v>
      </c>
      <c r="T14" s="10">
        <f>'Conversion Factors'!B314</f>
        <v>8.6669999999999998</v>
      </c>
      <c r="V14" s="15">
        <f>'Conversion Factors'!A364</f>
        <v>44736</v>
      </c>
      <c r="W14" s="10">
        <f>'Conversion Factors'!B364</f>
        <v>7.8789999999999996</v>
      </c>
    </row>
    <row r="15" spans="1:23">
      <c r="A15" s="15">
        <f>'Conversion Factors'!A15</f>
        <v>44387</v>
      </c>
      <c r="B15" s="9">
        <f>'Conversion Factors'!B15</f>
        <v>7.8789999999999996</v>
      </c>
      <c r="D15" s="15">
        <f>'Conversion Factors'!A65</f>
        <v>44437</v>
      </c>
      <c r="E15" s="10">
        <f>'Conversion Factors'!B65</f>
        <v>7.2229999999999999</v>
      </c>
      <c r="G15" s="15">
        <f>'Conversion Factors'!A115</f>
        <v>44487</v>
      </c>
      <c r="H15" s="10">
        <f>'Conversion Factors'!B115</f>
        <v>8.6669999999999998</v>
      </c>
      <c r="J15" s="15">
        <f>'Conversion Factors'!A165</f>
        <v>44537</v>
      </c>
      <c r="K15" s="10">
        <f>'Conversion Factors'!B165</f>
        <v>7.8789999999999996</v>
      </c>
      <c r="M15" s="15">
        <f>'Conversion Factors'!A215</f>
        <v>44587</v>
      </c>
      <c r="N15" s="10">
        <f>'Conversion Factors'!B215</f>
        <v>7.8789999999999996</v>
      </c>
      <c r="P15" s="15">
        <f>'Conversion Factors'!A265</f>
        <v>44637</v>
      </c>
      <c r="Q15" s="10">
        <f>'Conversion Factors'!B265</f>
        <v>7.2229999999999999</v>
      </c>
      <c r="S15" s="15">
        <f>'Conversion Factors'!A315</f>
        <v>44687</v>
      </c>
      <c r="T15" s="10">
        <f>'Conversion Factors'!B315</f>
        <v>8.6669999999999998</v>
      </c>
      <c r="V15" s="15">
        <f>'Conversion Factors'!A365</f>
        <v>44737</v>
      </c>
      <c r="W15" s="10">
        <f>'Conversion Factors'!B365</f>
        <v>7.8789999999999996</v>
      </c>
    </row>
    <row r="16" spans="1:23">
      <c r="A16" s="15">
        <f>'Conversion Factors'!A16</f>
        <v>44388</v>
      </c>
      <c r="B16" s="9">
        <f>'Conversion Factors'!B16</f>
        <v>7.8789999999999996</v>
      </c>
      <c r="D16" s="15">
        <f>'Conversion Factors'!A66</f>
        <v>44438</v>
      </c>
      <c r="E16" s="10">
        <f>'Conversion Factors'!B66</f>
        <v>7.2229999999999999</v>
      </c>
      <c r="G16" s="15">
        <f>'Conversion Factors'!A116</f>
        <v>44488</v>
      </c>
      <c r="H16" s="10">
        <f>'Conversion Factors'!B116</f>
        <v>8.6669999999999998</v>
      </c>
      <c r="J16" s="15">
        <f>'Conversion Factors'!A166</f>
        <v>44538</v>
      </c>
      <c r="K16" s="10">
        <f>'Conversion Factors'!B166</f>
        <v>7.8789999999999996</v>
      </c>
      <c r="M16" s="15">
        <f>'Conversion Factors'!A216</f>
        <v>44588</v>
      </c>
      <c r="N16" s="10">
        <f>'Conversion Factors'!B216</f>
        <v>7.8789999999999996</v>
      </c>
      <c r="P16" s="15">
        <f>'Conversion Factors'!A266</f>
        <v>44638</v>
      </c>
      <c r="Q16" s="10">
        <f>'Conversion Factors'!B266</f>
        <v>7.2229999999999999</v>
      </c>
      <c r="S16" s="15">
        <f>'Conversion Factors'!A316</f>
        <v>44688</v>
      </c>
      <c r="T16" s="10">
        <f>'Conversion Factors'!B316</f>
        <v>8.6669999999999998</v>
      </c>
      <c r="V16" s="15">
        <f>'Conversion Factors'!A366</f>
        <v>44738</v>
      </c>
      <c r="W16" s="10">
        <f>'Conversion Factors'!B366</f>
        <v>7.8789999999999996</v>
      </c>
    </row>
    <row r="17" spans="1:23">
      <c r="A17" s="15">
        <f>'Conversion Factors'!A17</f>
        <v>44389</v>
      </c>
      <c r="B17" s="9">
        <f>'Conversion Factors'!B17</f>
        <v>7.8789999999999996</v>
      </c>
      <c r="D17" s="15">
        <f>'Conversion Factors'!A67</f>
        <v>44439</v>
      </c>
      <c r="E17" s="10">
        <f>'Conversion Factors'!B67</f>
        <v>7.2229999999999999</v>
      </c>
      <c r="G17" s="15">
        <f>'Conversion Factors'!A117</f>
        <v>44489</v>
      </c>
      <c r="H17" s="10">
        <f>'Conversion Factors'!B117</f>
        <v>8.6669999999999998</v>
      </c>
      <c r="J17" s="15">
        <f>'Conversion Factors'!A167</f>
        <v>44539</v>
      </c>
      <c r="K17" s="10">
        <f>'Conversion Factors'!B167</f>
        <v>7.8789999999999996</v>
      </c>
      <c r="M17" s="15">
        <f>'Conversion Factors'!A217</f>
        <v>44589</v>
      </c>
      <c r="N17" s="10">
        <f>'Conversion Factors'!B217</f>
        <v>7.8789999999999996</v>
      </c>
      <c r="P17" s="15">
        <f>'Conversion Factors'!A267</f>
        <v>44639</v>
      </c>
      <c r="Q17" s="10">
        <f>'Conversion Factors'!B267</f>
        <v>7.2229999999999999</v>
      </c>
      <c r="S17" s="15">
        <f>'Conversion Factors'!A317</f>
        <v>44689</v>
      </c>
      <c r="T17" s="10">
        <f>'Conversion Factors'!B317</f>
        <v>8.6669999999999998</v>
      </c>
      <c r="V17" s="15">
        <f>'Conversion Factors'!A367</f>
        <v>44739</v>
      </c>
      <c r="W17" s="10">
        <f>'Conversion Factors'!B367</f>
        <v>7.8789999999999996</v>
      </c>
    </row>
    <row r="18" spans="1:23">
      <c r="A18" s="15">
        <f>'Conversion Factors'!A18</f>
        <v>44390</v>
      </c>
      <c r="B18" s="9">
        <f>'Conversion Factors'!B18</f>
        <v>7.8789999999999996</v>
      </c>
      <c r="D18" s="15">
        <f>'Conversion Factors'!A68</f>
        <v>44440</v>
      </c>
      <c r="E18" s="10">
        <f>'Conversion Factors'!B68</f>
        <v>7.8789999999999996</v>
      </c>
      <c r="G18" s="15">
        <f>'Conversion Factors'!A118</f>
        <v>44490</v>
      </c>
      <c r="H18" s="10">
        <f>'Conversion Factors'!B118</f>
        <v>8.6669999999999998</v>
      </c>
      <c r="J18" s="15">
        <f>'Conversion Factors'!A168</f>
        <v>44540</v>
      </c>
      <c r="K18" s="10">
        <f>'Conversion Factors'!B168</f>
        <v>7.8789999999999996</v>
      </c>
      <c r="M18" s="15">
        <f>'Conversion Factors'!A218</f>
        <v>44590</v>
      </c>
      <c r="N18" s="10">
        <f>'Conversion Factors'!B218</f>
        <v>7.8789999999999996</v>
      </c>
      <c r="P18" s="15">
        <f>'Conversion Factors'!A268</f>
        <v>44640</v>
      </c>
      <c r="Q18" s="10">
        <f>'Conversion Factors'!B268</f>
        <v>7.2229999999999999</v>
      </c>
      <c r="S18" s="15">
        <f>'Conversion Factors'!A318</f>
        <v>44690</v>
      </c>
      <c r="T18" s="10">
        <f>'Conversion Factors'!B318</f>
        <v>8.6669999999999998</v>
      </c>
      <c r="V18" s="15">
        <f>'Conversion Factors'!A368</f>
        <v>44740</v>
      </c>
      <c r="W18" s="10">
        <f>'Conversion Factors'!B368</f>
        <v>7.8789999999999996</v>
      </c>
    </row>
    <row r="19" spans="1:23">
      <c r="A19" s="15">
        <f>'Conversion Factors'!A19</f>
        <v>44391</v>
      </c>
      <c r="B19" s="9">
        <f>'Conversion Factors'!B19</f>
        <v>7.8789999999999996</v>
      </c>
      <c r="D19" s="15">
        <f>'Conversion Factors'!A69</f>
        <v>44441</v>
      </c>
      <c r="E19" s="10">
        <f>'Conversion Factors'!B69</f>
        <v>7.8789999999999996</v>
      </c>
      <c r="G19" s="15">
        <f>'Conversion Factors'!A119</f>
        <v>44491</v>
      </c>
      <c r="H19" s="10">
        <f>'Conversion Factors'!B119</f>
        <v>8.6669999999999998</v>
      </c>
      <c r="J19" s="15">
        <f>'Conversion Factors'!A169</f>
        <v>44541</v>
      </c>
      <c r="K19" s="10">
        <f>'Conversion Factors'!B169</f>
        <v>7.8789999999999996</v>
      </c>
      <c r="M19" s="15">
        <f>'Conversion Factors'!A219</f>
        <v>44591</v>
      </c>
      <c r="N19" s="10">
        <f>'Conversion Factors'!B219</f>
        <v>7.8789999999999996</v>
      </c>
      <c r="P19" s="15">
        <f>'Conversion Factors'!A269</f>
        <v>44641</v>
      </c>
      <c r="Q19" s="10">
        <f>'Conversion Factors'!B269</f>
        <v>7.2229999999999999</v>
      </c>
      <c r="S19" s="15">
        <f>'Conversion Factors'!A319</f>
        <v>44691</v>
      </c>
      <c r="T19" s="10">
        <f>'Conversion Factors'!B319</f>
        <v>8.6669999999999998</v>
      </c>
      <c r="V19" s="15">
        <f>'Conversion Factors'!A369</f>
        <v>44741</v>
      </c>
      <c r="W19" s="10">
        <f>'Conversion Factors'!B369</f>
        <v>7.8789999999999996</v>
      </c>
    </row>
    <row r="20" spans="1:23">
      <c r="A20" s="15">
        <f>'Conversion Factors'!A20</f>
        <v>44392</v>
      </c>
      <c r="B20" s="9">
        <f>'Conversion Factors'!B20</f>
        <v>7.8789999999999996</v>
      </c>
      <c r="D20" s="15">
        <f>'Conversion Factors'!A70</f>
        <v>44442</v>
      </c>
      <c r="E20" s="10">
        <f>'Conversion Factors'!B70</f>
        <v>7.8789999999999996</v>
      </c>
      <c r="G20" s="15">
        <f>'Conversion Factors'!A120</f>
        <v>44492</v>
      </c>
      <c r="H20" s="10">
        <f>'Conversion Factors'!B120</f>
        <v>8.6669999999999998</v>
      </c>
      <c r="J20" s="15">
        <f>'Conversion Factors'!A170</f>
        <v>44542</v>
      </c>
      <c r="K20" s="10">
        <f>'Conversion Factors'!B170</f>
        <v>7.8789999999999996</v>
      </c>
      <c r="M20" s="15">
        <f>'Conversion Factors'!A220</f>
        <v>44592</v>
      </c>
      <c r="N20" s="10">
        <f>'Conversion Factors'!B220</f>
        <v>7.8789999999999996</v>
      </c>
      <c r="P20" s="15">
        <f>'Conversion Factors'!A270</f>
        <v>44642</v>
      </c>
      <c r="Q20" s="10">
        <f>'Conversion Factors'!B270</f>
        <v>7.2229999999999999</v>
      </c>
      <c r="S20" s="15">
        <f>'Conversion Factors'!A320</f>
        <v>44692</v>
      </c>
      <c r="T20" s="10">
        <f>'Conversion Factors'!B320</f>
        <v>8.6669999999999998</v>
      </c>
      <c r="V20" s="15">
        <f>'Conversion Factors'!A370</f>
        <v>44742</v>
      </c>
      <c r="W20" s="10">
        <f>'Conversion Factors'!B370</f>
        <v>7.8789999999999996</v>
      </c>
    </row>
    <row r="21" spans="1:23">
      <c r="A21" s="15">
        <f>'Conversion Factors'!A21</f>
        <v>44393</v>
      </c>
      <c r="B21" s="10">
        <f>'Conversion Factors'!B21</f>
        <v>7.8789999999999996</v>
      </c>
      <c r="D21" s="15">
        <f>'Conversion Factors'!A71</f>
        <v>44443</v>
      </c>
      <c r="E21" s="10">
        <f>'Conversion Factors'!B71</f>
        <v>7.8789999999999996</v>
      </c>
      <c r="G21" s="15">
        <f>'Conversion Factors'!A121</f>
        <v>44493</v>
      </c>
      <c r="H21" s="10">
        <f>'Conversion Factors'!B121</f>
        <v>8.6669999999999998</v>
      </c>
      <c r="J21" s="15">
        <f>'Conversion Factors'!A171</f>
        <v>44543</v>
      </c>
      <c r="K21" s="10">
        <f>'Conversion Factors'!B171</f>
        <v>7.8789999999999996</v>
      </c>
      <c r="M21" s="15">
        <f>'Conversion Factors'!A221</f>
        <v>44593</v>
      </c>
      <c r="N21" s="10">
        <f>'Conversion Factors'!B221</f>
        <v>7.8789999999999996</v>
      </c>
      <c r="P21" s="15">
        <f>'Conversion Factors'!A271</f>
        <v>44643</v>
      </c>
      <c r="Q21" s="10">
        <f>'Conversion Factors'!B271</f>
        <v>7.2229999999999999</v>
      </c>
      <c r="S21" s="15">
        <f>'Conversion Factors'!A321</f>
        <v>44693</v>
      </c>
      <c r="T21" s="10">
        <f>'Conversion Factors'!B321</f>
        <v>8.6669999999999998</v>
      </c>
      <c r="V21" s="15" t="str">
        <f>'Conversion Factors'!A371</f>
        <v/>
      </c>
      <c r="W21" s="10">
        <f>'Conversion Factors'!B371</f>
        <v>7.8789999999999996</v>
      </c>
    </row>
    <row r="22" spans="1:23">
      <c r="A22" s="15">
        <f>'Conversion Factors'!A22</f>
        <v>44394</v>
      </c>
      <c r="B22" s="10">
        <f>'Conversion Factors'!B22</f>
        <v>7.8789999999999996</v>
      </c>
      <c r="D22" s="15">
        <f>'Conversion Factors'!A72</f>
        <v>44444</v>
      </c>
      <c r="E22" s="10">
        <f>'Conversion Factors'!B72</f>
        <v>7.8789999999999996</v>
      </c>
      <c r="G22" s="15">
        <f>'Conversion Factors'!A122</f>
        <v>44494</v>
      </c>
      <c r="H22" s="10">
        <f>'Conversion Factors'!B122</f>
        <v>8.6669999999999998</v>
      </c>
      <c r="J22" s="15">
        <f>'Conversion Factors'!A172</f>
        <v>44544</v>
      </c>
      <c r="K22" s="10">
        <f>'Conversion Factors'!B172</f>
        <v>7.8789999999999996</v>
      </c>
      <c r="M22" s="15">
        <f>'Conversion Factors'!A222</f>
        <v>44594</v>
      </c>
      <c r="N22" s="10">
        <f>'Conversion Factors'!B222</f>
        <v>7.8789999999999996</v>
      </c>
      <c r="P22" s="15">
        <f>'Conversion Factors'!A272</f>
        <v>44644</v>
      </c>
      <c r="Q22" s="10">
        <f>'Conversion Factors'!B272</f>
        <v>7.2229999999999999</v>
      </c>
      <c r="S22" s="15">
        <f>'Conversion Factors'!A322</f>
        <v>44694</v>
      </c>
      <c r="T22" s="10">
        <f>'Conversion Factors'!B322</f>
        <v>8.6669999999999998</v>
      </c>
      <c r="V22" s="15" t="b">
        <f>'Conversion Factors'!A372</f>
        <v>0</v>
      </c>
      <c r="W22" s="10">
        <f>'Conversion Factors'!B372</f>
        <v>0</v>
      </c>
    </row>
    <row r="23" spans="1:23">
      <c r="A23" s="15">
        <f>'Conversion Factors'!A23</f>
        <v>44395</v>
      </c>
      <c r="B23" s="10">
        <f>'Conversion Factors'!B23</f>
        <v>7.8789999999999996</v>
      </c>
      <c r="D23" s="15">
        <f>'Conversion Factors'!A73</f>
        <v>44445</v>
      </c>
      <c r="E23" s="10">
        <f>'Conversion Factors'!B73</f>
        <v>7.8789999999999996</v>
      </c>
      <c r="G23" s="15">
        <f>'Conversion Factors'!A123</f>
        <v>44495</v>
      </c>
      <c r="H23" s="10">
        <f>'Conversion Factors'!B123</f>
        <v>8.6669999999999998</v>
      </c>
      <c r="J23" s="15">
        <f>'Conversion Factors'!A173</f>
        <v>44545</v>
      </c>
      <c r="K23" s="10">
        <f>'Conversion Factors'!B173</f>
        <v>7.8789999999999996</v>
      </c>
      <c r="M23" s="15">
        <f>'Conversion Factors'!A223</f>
        <v>44595</v>
      </c>
      <c r="N23" s="10">
        <f>'Conversion Factors'!B223</f>
        <v>7.8789999999999996</v>
      </c>
      <c r="P23" s="15">
        <f>'Conversion Factors'!A273</f>
        <v>44645</v>
      </c>
      <c r="Q23" s="10">
        <f>'Conversion Factors'!B273</f>
        <v>7.2229999999999999</v>
      </c>
      <c r="S23" s="15">
        <f>'Conversion Factors'!A323</f>
        <v>44695</v>
      </c>
      <c r="T23" s="10">
        <f>'Conversion Factors'!B323</f>
        <v>8.6669999999999998</v>
      </c>
      <c r="V23" s="15" t="b">
        <f>'Conversion Factors'!A373</f>
        <v>0</v>
      </c>
      <c r="W23" s="10">
        <f>'Conversion Factors'!B373</f>
        <v>0</v>
      </c>
    </row>
    <row r="24" spans="1:23">
      <c r="A24" s="15">
        <f>'Conversion Factors'!A24</f>
        <v>44396</v>
      </c>
      <c r="B24" s="10">
        <f>'Conversion Factors'!B24</f>
        <v>7.8789999999999996</v>
      </c>
      <c r="D24" s="15">
        <f>'Conversion Factors'!A74</f>
        <v>44446</v>
      </c>
      <c r="E24" s="10">
        <f>'Conversion Factors'!B74</f>
        <v>7.8789999999999996</v>
      </c>
      <c r="G24" s="15">
        <f>'Conversion Factors'!A124</f>
        <v>44496</v>
      </c>
      <c r="H24" s="10">
        <f>'Conversion Factors'!B124</f>
        <v>8.6669999999999998</v>
      </c>
      <c r="J24" s="15">
        <f>'Conversion Factors'!A174</f>
        <v>44546</v>
      </c>
      <c r="K24" s="10">
        <f>'Conversion Factors'!B174</f>
        <v>7.2229999999999999</v>
      </c>
      <c r="M24" s="15">
        <f>'Conversion Factors'!A224</f>
        <v>44596</v>
      </c>
      <c r="N24" s="10">
        <f>'Conversion Factors'!B224</f>
        <v>7.8789999999999996</v>
      </c>
      <c r="P24" s="15">
        <f>'Conversion Factors'!A274</f>
        <v>44646</v>
      </c>
      <c r="Q24" s="10">
        <f>'Conversion Factors'!B274</f>
        <v>7.2229999999999999</v>
      </c>
      <c r="S24" s="15">
        <f>'Conversion Factors'!A324</f>
        <v>44696</v>
      </c>
      <c r="T24" s="10">
        <f>'Conversion Factors'!B324</f>
        <v>8.6669999999999998</v>
      </c>
      <c r="V24" s="15" t="b">
        <f>'Conversion Factors'!A374</f>
        <v>0</v>
      </c>
      <c r="W24" s="10">
        <f>'Conversion Factors'!B374</f>
        <v>0</v>
      </c>
    </row>
    <row r="25" spans="1:23">
      <c r="A25" s="15">
        <f>'Conversion Factors'!A25</f>
        <v>44397</v>
      </c>
      <c r="B25" s="10">
        <f>'Conversion Factors'!B25</f>
        <v>7.8789999999999996</v>
      </c>
      <c r="D25" s="15">
        <f>'Conversion Factors'!A75</f>
        <v>44447</v>
      </c>
      <c r="E25" s="10">
        <f>'Conversion Factors'!B75</f>
        <v>7.8789999999999996</v>
      </c>
      <c r="G25" s="15">
        <f>'Conversion Factors'!A125</f>
        <v>44497</v>
      </c>
      <c r="H25" s="10">
        <f>'Conversion Factors'!B125</f>
        <v>8.6669999999999998</v>
      </c>
      <c r="J25" s="15">
        <f>'Conversion Factors'!A175</f>
        <v>44547</v>
      </c>
      <c r="K25" s="10">
        <f>'Conversion Factors'!B175</f>
        <v>7.2229999999999999</v>
      </c>
      <c r="M25" s="15">
        <f>'Conversion Factors'!A225</f>
        <v>44597</v>
      </c>
      <c r="N25" s="10">
        <f>'Conversion Factors'!B225</f>
        <v>7.8789999999999996</v>
      </c>
      <c r="P25" s="15">
        <f>'Conversion Factors'!A275</f>
        <v>44647</v>
      </c>
      <c r="Q25" s="10">
        <f>'Conversion Factors'!B275</f>
        <v>7.2229999999999999</v>
      </c>
      <c r="S25" s="15">
        <f>'Conversion Factors'!A325</f>
        <v>44697</v>
      </c>
      <c r="T25" s="10">
        <f>'Conversion Factors'!B325</f>
        <v>7.2229999999999999</v>
      </c>
    </row>
    <row r="26" spans="1:23">
      <c r="A26" s="15">
        <f>'Conversion Factors'!A26</f>
        <v>44398</v>
      </c>
      <c r="B26" s="10">
        <f>'Conversion Factors'!B26</f>
        <v>7.8789999999999996</v>
      </c>
      <c r="D26" s="15">
        <f>'Conversion Factors'!A76</f>
        <v>44448</v>
      </c>
      <c r="E26" s="10">
        <f>'Conversion Factors'!B76</f>
        <v>7.8789999999999996</v>
      </c>
      <c r="G26" s="15">
        <f>'Conversion Factors'!A126</f>
        <v>44498</v>
      </c>
      <c r="H26" s="10">
        <f>'Conversion Factors'!B126</f>
        <v>8.6669999999999998</v>
      </c>
      <c r="J26" s="15">
        <f>'Conversion Factors'!A176</f>
        <v>44548</v>
      </c>
      <c r="K26" s="10">
        <f>'Conversion Factors'!B176</f>
        <v>7.2229999999999999</v>
      </c>
      <c r="M26" s="15">
        <f>'Conversion Factors'!A226</f>
        <v>44598</v>
      </c>
      <c r="N26" s="10">
        <f>'Conversion Factors'!B226</f>
        <v>7.8789999999999996</v>
      </c>
      <c r="P26" s="15">
        <f>'Conversion Factors'!A276</f>
        <v>44648</v>
      </c>
      <c r="Q26" s="10">
        <f>'Conversion Factors'!B276</f>
        <v>7.2229999999999999</v>
      </c>
      <c r="S26" s="15">
        <f>'Conversion Factors'!A326</f>
        <v>44698</v>
      </c>
      <c r="T26" s="10">
        <f>'Conversion Factors'!B326</f>
        <v>7.2229999999999999</v>
      </c>
    </row>
    <row r="27" spans="1:23">
      <c r="A27" s="15">
        <f>'Conversion Factors'!A27</f>
        <v>44399</v>
      </c>
      <c r="B27" s="10">
        <f>'Conversion Factors'!B27</f>
        <v>7.8789999999999996</v>
      </c>
      <c r="D27" s="15">
        <f>'Conversion Factors'!A77</f>
        <v>44449</v>
      </c>
      <c r="E27" s="10">
        <f>'Conversion Factors'!B77</f>
        <v>7.8789999999999996</v>
      </c>
      <c r="G27" s="15">
        <f>'Conversion Factors'!A127</f>
        <v>44499</v>
      </c>
      <c r="H27" s="10">
        <f>'Conversion Factors'!B127</f>
        <v>8.6669999999999998</v>
      </c>
      <c r="J27" s="15">
        <f>'Conversion Factors'!A177</f>
        <v>44549</v>
      </c>
      <c r="K27" s="10">
        <f>'Conversion Factors'!B177</f>
        <v>7.2229999999999999</v>
      </c>
      <c r="M27" s="15">
        <f>'Conversion Factors'!A227</f>
        <v>44599</v>
      </c>
      <c r="N27" s="10">
        <f>'Conversion Factors'!B227</f>
        <v>7.8789999999999996</v>
      </c>
      <c r="P27" s="15">
        <f>'Conversion Factors'!A277</f>
        <v>44649</v>
      </c>
      <c r="Q27" s="10">
        <f>'Conversion Factors'!B277</f>
        <v>7.2229999999999999</v>
      </c>
      <c r="S27" s="15">
        <f>'Conversion Factors'!A327</f>
        <v>44699</v>
      </c>
      <c r="T27" s="10">
        <f>'Conversion Factors'!B327</f>
        <v>7.2229999999999999</v>
      </c>
    </row>
    <row r="28" spans="1:23">
      <c r="A28" s="15">
        <f>'Conversion Factors'!A28</f>
        <v>44400</v>
      </c>
      <c r="B28" s="10">
        <f>'Conversion Factors'!B28</f>
        <v>7.8789999999999996</v>
      </c>
      <c r="D28" s="15">
        <f>'Conversion Factors'!A78</f>
        <v>44450</v>
      </c>
      <c r="E28" s="10">
        <f>'Conversion Factors'!B78</f>
        <v>7.8789999999999996</v>
      </c>
      <c r="G28" s="15">
        <f>'Conversion Factors'!A128</f>
        <v>44500</v>
      </c>
      <c r="H28" s="10">
        <f>'Conversion Factors'!B128</f>
        <v>8.6669999999999998</v>
      </c>
      <c r="J28" s="15">
        <f>'Conversion Factors'!A178</f>
        <v>44550</v>
      </c>
      <c r="K28" s="10">
        <f>'Conversion Factors'!B178</f>
        <v>7.2229999999999999</v>
      </c>
      <c r="M28" s="15">
        <f>'Conversion Factors'!A228</f>
        <v>44600</v>
      </c>
      <c r="N28" s="10">
        <f>'Conversion Factors'!B228</f>
        <v>7.8789999999999996</v>
      </c>
      <c r="P28" s="15">
        <f>'Conversion Factors'!A278</f>
        <v>44650</v>
      </c>
      <c r="Q28" s="10">
        <f>'Conversion Factors'!B278</f>
        <v>7.2229999999999999</v>
      </c>
      <c r="S28" s="15">
        <f>'Conversion Factors'!A328</f>
        <v>44700</v>
      </c>
      <c r="T28" s="10">
        <f>'Conversion Factors'!B328</f>
        <v>7.2229999999999999</v>
      </c>
    </row>
    <row r="29" spans="1:23">
      <c r="A29" s="15">
        <f>'Conversion Factors'!A29</f>
        <v>44401</v>
      </c>
      <c r="B29" s="10">
        <f>'Conversion Factors'!B29</f>
        <v>7.8789999999999996</v>
      </c>
      <c r="D29" s="15">
        <f>'Conversion Factors'!A79</f>
        <v>44451</v>
      </c>
      <c r="E29" s="10">
        <f>'Conversion Factors'!B79</f>
        <v>7.8789999999999996</v>
      </c>
      <c r="G29" s="15">
        <f>'Conversion Factors'!A129</f>
        <v>44501</v>
      </c>
      <c r="H29" s="10">
        <f>'Conversion Factors'!B129</f>
        <v>7.8789999999999996</v>
      </c>
      <c r="J29" s="15">
        <f>'Conversion Factors'!A179</f>
        <v>44551</v>
      </c>
      <c r="K29" s="10">
        <f>'Conversion Factors'!B179</f>
        <v>7.2229999999999999</v>
      </c>
      <c r="M29" s="15">
        <f>'Conversion Factors'!A229</f>
        <v>44601</v>
      </c>
      <c r="N29" s="10">
        <f>'Conversion Factors'!B229</f>
        <v>7.8789999999999996</v>
      </c>
      <c r="P29" s="15">
        <f>'Conversion Factors'!A279</f>
        <v>44651</v>
      </c>
      <c r="Q29" s="10">
        <f>'Conversion Factors'!B279</f>
        <v>7.2229999999999999</v>
      </c>
      <c r="S29" s="15">
        <f>'Conversion Factors'!A329</f>
        <v>44701</v>
      </c>
      <c r="T29" s="10">
        <f>'Conversion Factors'!B329</f>
        <v>7.2229999999999999</v>
      </c>
    </row>
    <row r="30" spans="1:23">
      <c r="A30" s="15">
        <f>'Conversion Factors'!A30</f>
        <v>44402</v>
      </c>
      <c r="B30" s="10">
        <f>'Conversion Factors'!B30</f>
        <v>7.8789999999999996</v>
      </c>
      <c r="D30" s="15">
        <f>'Conversion Factors'!A80</f>
        <v>44452</v>
      </c>
      <c r="E30" s="10">
        <f>'Conversion Factors'!B80</f>
        <v>7.8789999999999996</v>
      </c>
      <c r="G30" s="15">
        <f>'Conversion Factors'!A130</f>
        <v>44502</v>
      </c>
      <c r="H30" s="10">
        <f>'Conversion Factors'!B130</f>
        <v>7.8789999999999996</v>
      </c>
      <c r="J30" s="15">
        <f>'Conversion Factors'!A180</f>
        <v>44552</v>
      </c>
      <c r="K30" s="10">
        <f>'Conversion Factors'!B180</f>
        <v>7.2229999999999999</v>
      </c>
      <c r="M30" s="15">
        <f>'Conversion Factors'!A230</f>
        <v>44602</v>
      </c>
      <c r="N30" s="10">
        <f>'Conversion Factors'!B230</f>
        <v>7.8789999999999996</v>
      </c>
      <c r="P30" s="15">
        <f>'Conversion Factors'!A280</f>
        <v>44652</v>
      </c>
      <c r="Q30" s="10">
        <f>'Conversion Factors'!B280</f>
        <v>7.8789999999999996</v>
      </c>
      <c r="S30" s="15">
        <f>'Conversion Factors'!A330</f>
        <v>44702</v>
      </c>
      <c r="T30" s="10">
        <f>'Conversion Factors'!B330</f>
        <v>7.2229999999999999</v>
      </c>
    </row>
    <row r="31" spans="1:23">
      <c r="A31" s="15">
        <f>'Conversion Factors'!A31</f>
        <v>44403</v>
      </c>
      <c r="B31" s="10">
        <f>'Conversion Factors'!B31</f>
        <v>7.8789999999999996</v>
      </c>
      <c r="D31" s="15">
        <f>'Conversion Factors'!A81</f>
        <v>44453</v>
      </c>
      <c r="E31" s="10">
        <f>'Conversion Factors'!B81</f>
        <v>7.8789999999999996</v>
      </c>
      <c r="G31" s="15">
        <f>'Conversion Factors'!A131</f>
        <v>44503</v>
      </c>
      <c r="H31" s="10">
        <f>'Conversion Factors'!B131</f>
        <v>7.8789999999999996</v>
      </c>
      <c r="J31" s="15">
        <f>'Conversion Factors'!A181</f>
        <v>44553</v>
      </c>
      <c r="K31" s="10">
        <f>'Conversion Factors'!B181</f>
        <v>7.2229999999999999</v>
      </c>
      <c r="M31" s="15">
        <f>'Conversion Factors'!A231</f>
        <v>44603</v>
      </c>
      <c r="N31" s="10">
        <f>'Conversion Factors'!B231</f>
        <v>7.8789999999999996</v>
      </c>
      <c r="P31" s="15">
        <f>'Conversion Factors'!A281</f>
        <v>44653</v>
      </c>
      <c r="Q31" s="10">
        <f>'Conversion Factors'!B281</f>
        <v>7.8789999999999996</v>
      </c>
      <c r="S31" s="15">
        <f>'Conversion Factors'!A331</f>
        <v>44703</v>
      </c>
      <c r="T31" s="10">
        <f>'Conversion Factors'!B331</f>
        <v>7.23</v>
      </c>
    </row>
    <row r="32" spans="1:23">
      <c r="A32" s="15">
        <f>'Conversion Factors'!A32</f>
        <v>44404</v>
      </c>
      <c r="B32" s="10">
        <f>'Conversion Factors'!B32</f>
        <v>7.8789999999999996</v>
      </c>
      <c r="D32" s="15">
        <f>'Conversion Factors'!A82</f>
        <v>44454</v>
      </c>
      <c r="E32" s="10">
        <f>'Conversion Factors'!B82</f>
        <v>7.8789999999999996</v>
      </c>
      <c r="G32" s="15">
        <f>'Conversion Factors'!A132</f>
        <v>44504</v>
      </c>
      <c r="H32" s="10">
        <f>'Conversion Factors'!B132</f>
        <v>7.8789999999999996</v>
      </c>
      <c r="J32" s="15">
        <f>'Conversion Factors'!A182</f>
        <v>44554</v>
      </c>
      <c r="K32" s="10">
        <f>'Conversion Factors'!B182</f>
        <v>7.2229999999999999</v>
      </c>
      <c r="M32" s="15">
        <f>'Conversion Factors'!A232</f>
        <v>44604</v>
      </c>
      <c r="N32" s="10">
        <f>'Conversion Factors'!B232</f>
        <v>7.8789999999999996</v>
      </c>
      <c r="P32" s="15">
        <f>'Conversion Factors'!A282</f>
        <v>44654</v>
      </c>
      <c r="Q32" s="10">
        <f>'Conversion Factors'!B282</f>
        <v>7.8789999999999996</v>
      </c>
      <c r="S32" s="15">
        <f>'Conversion Factors'!A332</f>
        <v>44704</v>
      </c>
      <c r="T32" s="10">
        <f>'Conversion Factors'!B332</f>
        <v>7.2229999999999999</v>
      </c>
    </row>
    <row r="33" spans="1:20">
      <c r="A33" s="15">
        <f>'Conversion Factors'!A33</f>
        <v>44405</v>
      </c>
      <c r="B33" s="10">
        <f>'Conversion Factors'!B33</f>
        <v>7.8789999999999996</v>
      </c>
      <c r="D33" s="15">
        <f>'Conversion Factors'!A83</f>
        <v>44455</v>
      </c>
      <c r="E33" s="10">
        <f>'Conversion Factors'!B83</f>
        <v>7.8789999999999996</v>
      </c>
      <c r="G33" s="15">
        <f>'Conversion Factors'!A133</f>
        <v>44505</v>
      </c>
      <c r="H33" s="10">
        <f>'Conversion Factors'!B133</f>
        <v>7.8789999999999996</v>
      </c>
      <c r="J33" s="15">
        <f>'Conversion Factors'!A183</f>
        <v>44555</v>
      </c>
      <c r="K33" s="10">
        <f>'Conversion Factors'!B183</f>
        <v>7.2229999999999999</v>
      </c>
      <c r="M33" s="15">
        <f>'Conversion Factors'!A233</f>
        <v>44605</v>
      </c>
      <c r="N33" s="10">
        <f>'Conversion Factors'!B233</f>
        <v>7.8789999999999996</v>
      </c>
      <c r="P33" s="15">
        <f>'Conversion Factors'!A283</f>
        <v>44655</v>
      </c>
      <c r="Q33" s="10">
        <f>'Conversion Factors'!B283</f>
        <v>7.8789999999999996</v>
      </c>
      <c r="S33" s="15">
        <f>'Conversion Factors'!A333</f>
        <v>44705</v>
      </c>
      <c r="T33" s="10">
        <f>'Conversion Factors'!B333</f>
        <v>7.2229999999999999</v>
      </c>
    </row>
    <row r="34" spans="1:20">
      <c r="A34" s="15">
        <f>'Conversion Factors'!A34</f>
        <v>44406</v>
      </c>
      <c r="B34" s="10">
        <f>'Conversion Factors'!B34</f>
        <v>7.8789999999999996</v>
      </c>
      <c r="D34" s="15">
        <f>'Conversion Factors'!A84</f>
        <v>44456</v>
      </c>
      <c r="E34" s="10">
        <f>'Conversion Factors'!B84</f>
        <v>7.8789999999999996</v>
      </c>
      <c r="G34" s="15">
        <f>'Conversion Factors'!A134</f>
        <v>44506</v>
      </c>
      <c r="H34" s="10">
        <f>'Conversion Factors'!B134</f>
        <v>7.8789999999999996</v>
      </c>
      <c r="J34" s="15">
        <f>'Conversion Factors'!A184</f>
        <v>44556</v>
      </c>
      <c r="K34" s="10">
        <f>'Conversion Factors'!B184</f>
        <v>7.2229999999999999</v>
      </c>
      <c r="M34" s="15">
        <f>'Conversion Factors'!A234</f>
        <v>44606</v>
      </c>
      <c r="N34" s="10">
        <f>'Conversion Factors'!B234</f>
        <v>7.8789999999999996</v>
      </c>
      <c r="P34" s="15">
        <f>'Conversion Factors'!A284</f>
        <v>44656</v>
      </c>
      <c r="Q34" s="10">
        <f>'Conversion Factors'!B284</f>
        <v>7.8789999999999996</v>
      </c>
      <c r="S34" s="15">
        <f>'Conversion Factors'!A334</f>
        <v>44706</v>
      </c>
      <c r="T34" s="10">
        <f>'Conversion Factors'!B334</f>
        <v>7.2229999999999999</v>
      </c>
    </row>
    <row r="35" spans="1:20">
      <c r="A35" s="15">
        <f>'Conversion Factors'!A35</f>
        <v>44407</v>
      </c>
      <c r="B35" s="10">
        <f>'Conversion Factors'!B35</f>
        <v>7.8789999999999996</v>
      </c>
      <c r="D35" s="15">
        <f>'Conversion Factors'!A85</f>
        <v>44457</v>
      </c>
      <c r="E35" s="10">
        <f>'Conversion Factors'!B85</f>
        <v>7.8789999999999996</v>
      </c>
      <c r="G35" s="15">
        <f>'Conversion Factors'!A135</f>
        <v>44507</v>
      </c>
      <c r="H35" s="10">
        <f>'Conversion Factors'!B135</f>
        <v>7.8789999999999996</v>
      </c>
      <c r="J35" s="15">
        <f>'Conversion Factors'!A185</f>
        <v>44557</v>
      </c>
      <c r="K35" s="10">
        <f>'Conversion Factors'!B185</f>
        <v>7.2229999999999999</v>
      </c>
      <c r="M35" s="15">
        <f>'Conversion Factors'!A235</f>
        <v>44607</v>
      </c>
      <c r="N35" s="10">
        <f>'Conversion Factors'!B235</f>
        <v>7.8789999999999996</v>
      </c>
      <c r="P35" s="15">
        <f>'Conversion Factors'!A285</f>
        <v>44657</v>
      </c>
      <c r="Q35" s="10">
        <f>'Conversion Factors'!B285</f>
        <v>7.8789999999999996</v>
      </c>
      <c r="S35" s="15">
        <f>'Conversion Factors'!A335</f>
        <v>44707</v>
      </c>
      <c r="T35" s="10">
        <f>'Conversion Factors'!B335</f>
        <v>7.2229999999999999</v>
      </c>
    </row>
    <row r="36" spans="1:20">
      <c r="A36" s="15">
        <f>'Conversion Factors'!A36</f>
        <v>44408</v>
      </c>
      <c r="B36" s="10">
        <f>'Conversion Factors'!B36</f>
        <v>7.8789999999999996</v>
      </c>
      <c r="D36" s="15">
        <f>'Conversion Factors'!A86</f>
        <v>44458</v>
      </c>
      <c r="E36" s="10">
        <f>'Conversion Factors'!B86</f>
        <v>7.8789999999999996</v>
      </c>
      <c r="G36" s="15">
        <f>'Conversion Factors'!A136</f>
        <v>44508</v>
      </c>
      <c r="H36" s="10">
        <f>'Conversion Factors'!B136</f>
        <v>7.8789999999999996</v>
      </c>
      <c r="J36" s="15">
        <f>'Conversion Factors'!A186</f>
        <v>44558</v>
      </c>
      <c r="K36" s="10">
        <f>'Conversion Factors'!B186</f>
        <v>7.2229999999999999</v>
      </c>
      <c r="M36" s="15">
        <f>'Conversion Factors'!A236</f>
        <v>44608</v>
      </c>
      <c r="N36" s="10">
        <f>'Conversion Factors'!B236</f>
        <v>9.6300000000000008</v>
      </c>
      <c r="P36" s="15">
        <f>'Conversion Factors'!A286</f>
        <v>44658</v>
      </c>
      <c r="Q36" s="10">
        <f>'Conversion Factors'!B286</f>
        <v>7.8789999999999996</v>
      </c>
      <c r="S36" s="15">
        <f>'Conversion Factors'!A336</f>
        <v>44708</v>
      </c>
      <c r="T36" s="10">
        <f>'Conversion Factors'!B336</f>
        <v>7.2229999999999999</v>
      </c>
    </row>
    <row r="37" spans="1:20">
      <c r="A37" s="15">
        <f>'Conversion Factors'!A37</f>
        <v>44409</v>
      </c>
      <c r="B37" s="10">
        <f>'Conversion Factors'!B37</f>
        <v>8.6669999999999998</v>
      </c>
      <c r="D37" s="15">
        <f>'Conversion Factors'!A87</f>
        <v>44459</v>
      </c>
      <c r="E37" s="10">
        <f>'Conversion Factors'!B87</f>
        <v>7.8789999999999996</v>
      </c>
      <c r="G37" s="15">
        <f>'Conversion Factors'!A137</f>
        <v>44509</v>
      </c>
      <c r="H37" s="10">
        <f>'Conversion Factors'!B137</f>
        <v>7.8789999999999996</v>
      </c>
      <c r="J37" s="15">
        <f>'Conversion Factors'!A187</f>
        <v>44559</v>
      </c>
      <c r="K37" s="10">
        <f>'Conversion Factors'!B187</f>
        <v>7.2229999999999999</v>
      </c>
      <c r="M37" s="15">
        <f>'Conversion Factors'!A237</f>
        <v>44609</v>
      </c>
      <c r="N37" s="10">
        <f>'Conversion Factors'!B237</f>
        <v>9.6300000000000008</v>
      </c>
      <c r="P37" s="15">
        <f>'Conversion Factors'!A287</f>
        <v>44659</v>
      </c>
      <c r="Q37" s="10">
        <f>'Conversion Factors'!B287</f>
        <v>7.8789999999999996</v>
      </c>
      <c r="S37" s="15">
        <f>'Conversion Factors'!A337</f>
        <v>44709</v>
      </c>
      <c r="T37" s="10">
        <f>'Conversion Factors'!B337</f>
        <v>7.2229999999999999</v>
      </c>
    </row>
    <row r="38" spans="1:20">
      <c r="A38" s="15">
        <f>'Conversion Factors'!A38</f>
        <v>44410</v>
      </c>
      <c r="B38" s="10">
        <f>'Conversion Factors'!B38</f>
        <v>8.6669999999999998</v>
      </c>
      <c r="D38" s="15">
        <f>'Conversion Factors'!A88</f>
        <v>44460</v>
      </c>
      <c r="E38" s="10">
        <f>'Conversion Factors'!B88</f>
        <v>7.8789999999999996</v>
      </c>
      <c r="G38" s="15">
        <f>'Conversion Factors'!A138</f>
        <v>44510</v>
      </c>
      <c r="H38" s="10">
        <f>'Conversion Factors'!B138</f>
        <v>7.8789999999999996</v>
      </c>
      <c r="J38" s="15">
        <f>'Conversion Factors'!A188</f>
        <v>44560</v>
      </c>
      <c r="K38" s="10">
        <f>'Conversion Factors'!B188</f>
        <v>7.2229999999999999</v>
      </c>
      <c r="M38" s="15">
        <f>'Conversion Factors'!A238</f>
        <v>44610</v>
      </c>
      <c r="N38" s="10">
        <f>'Conversion Factors'!B238</f>
        <v>9.6300000000000008</v>
      </c>
      <c r="P38" s="15">
        <f>'Conversion Factors'!A288</f>
        <v>44660</v>
      </c>
      <c r="Q38" s="10">
        <f>'Conversion Factors'!B288</f>
        <v>7.8789999999999996</v>
      </c>
      <c r="S38" s="15">
        <f>'Conversion Factors'!A338</f>
        <v>44710</v>
      </c>
      <c r="T38" s="10">
        <f>'Conversion Factors'!B338</f>
        <v>7.2229999999999999</v>
      </c>
    </row>
    <row r="39" spans="1:20">
      <c r="A39" s="15">
        <f>'Conversion Factors'!A39</f>
        <v>44411</v>
      </c>
      <c r="B39" s="10">
        <f>'Conversion Factors'!B39</f>
        <v>8.6669999999999998</v>
      </c>
      <c r="D39" s="15">
        <f>'Conversion Factors'!A89</f>
        <v>44461</v>
      </c>
      <c r="E39" s="10">
        <f>'Conversion Factors'!B89</f>
        <v>7.8789999999999996</v>
      </c>
      <c r="G39" s="15">
        <f>'Conversion Factors'!A139</f>
        <v>44511</v>
      </c>
      <c r="H39" s="10">
        <f>'Conversion Factors'!B139</f>
        <v>7.8789999999999996</v>
      </c>
      <c r="J39" s="15">
        <f>'Conversion Factors'!A189</f>
        <v>44561</v>
      </c>
      <c r="K39" s="10">
        <f>'Conversion Factors'!B189</f>
        <v>7.2229999999999999</v>
      </c>
      <c r="M39" s="15">
        <f>'Conversion Factors'!A239</f>
        <v>44611</v>
      </c>
      <c r="N39" s="10">
        <f>'Conversion Factors'!B239</f>
        <v>9.6300000000000008</v>
      </c>
      <c r="P39" s="15">
        <f>'Conversion Factors'!A289</f>
        <v>44661</v>
      </c>
      <c r="Q39" s="10">
        <f>'Conversion Factors'!B289</f>
        <v>7.8789999999999996</v>
      </c>
      <c r="S39" s="15">
        <f>'Conversion Factors'!A339</f>
        <v>44711</v>
      </c>
      <c r="T39" s="10">
        <f>'Conversion Factors'!B339</f>
        <v>7.2229999999999999</v>
      </c>
    </row>
    <row r="40" spans="1:20">
      <c r="A40" s="15">
        <f>'Conversion Factors'!A40</f>
        <v>44412</v>
      </c>
      <c r="B40" s="10">
        <f>'Conversion Factors'!B40</f>
        <v>8.6669999999999998</v>
      </c>
      <c r="D40" s="15">
        <f>'Conversion Factors'!A90</f>
        <v>44462</v>
      </c>
      <c r="E40" s="10">
        <f>'Conversion Factors'!B90</f>
        <v>7.8789999999999996</v>
      </c>
      <c r="G40" s="15">
        <f>'Conversion Factors'!A140</f>
        <v>44512</v>
      </c>
      <c r="H40" s="10">
        <f>'Conversion Factors'!B140</f>
        <v>7.8789999999999996</v>
      </c>
      <c r="J40" s="15">
        <f>'Conversion Factors'!A190</f>
        <v>44562</v>
      </c>
      <c r="K40" s="10">
        <f>'Conversion Factors'!B190</f>
        <v>8.6669999999999998</v>
      </c>
      <c r="M40" s="15">
        <f>'Conversion Factors'!A240</f>
        <v>44612</v>
      </c>
      <c r="N40" s="10">
        <f>'Conversion Factors'!B240</f>
        <v>9.6300000000000008</v>
      </c>
      <c r="P40" s="15">
        <f>'Conversion Factors'!A290</f>
        <v>44662</v>
      </c>
      <c r="Q40" s="10">
        <f>'Conversion Factors'!B290</f>
        <v>7.8789999999999996</v>
      </c>
      <c r="S40" s="15">
        <f>'Conversion Factors'!A340</f>
        <v>44712</v>
      </c>
      <c r="T40" s="10">
        <f>'Conversion Factors'!B340</f>
        <v>7.2229999999999999</v>
      </c>
    </row>
    <row r="41" spans="1:20">
      <c r="A41" s="15">
        <f>'Conversion Factors'!A41</f>
        <v>44413</v>
      </c>
      <c r="B41" s="10">
        <f>'Conversion Factors'!B41</f>
        <v>8.6669999999999998</v>
      </c>
      <c r="D41" s="15">
        <f>'Conversion Factors'!A91</f>
        <v>44463</v>
      </c>
      <c r="E41" s="10">
        <f>'Conversion Factors'!B91</f>
        <v>7.8789999999999996</v>
      </c>
      <c r="G41" s="15">
        <f>'Conversion Factors'!A141</f>
        <v>44513</v>
      </c>
      <c r="H41" s="10">
        <f>'Conversion Factors'!B141</f>
        <v>7.8789999999999996</v>
      </c>
      <c r="J41" s="15">
        <f>'Conversion Factors'!A191</f>
        <v>44563</v>
      </c>
      <c r="K41" s="10">
        <f>'Conversion Factors'!B191</f>
        <v>8.6669999999999998</v>
      </c>
      <c r="M41" s="15">
        <f>'Conversion Factors'!A241</f>
        <v>44613</v>
      </c>
      <c r="N41" s="10">
        <f>'Conversion Factors'!B241</f>
        <v>9.6300000000000008</v>
      </c>
      <c r="P41" s="15">
        <f>'Conversion Factors'!A291</f>
        <v>44663</v>
      </c>
      <c r="Q41" s="10">
        <f>'Conversion Factors'!B291</f>
        <v>7.8789999999999996</v>
      </c>
      <c r="S41" s="15">
        <f>'Conversion Factors'!A341</f>
        <v>44713</v>
      </c>
      <c r="T41" s="10">
        <f>'Conversion Factors'!B341</f>
        <v>7.8789999999999996</v>
      </c>
    </row>
    <row r="42" spans="1:20">
      <c r="A42" s="15">
        <f>'Conversion Factors'!A42</f>
        <v>44414</v>
      </c>
      <c r="B42" s="10">
        <f>'Conversion Factors'!B42</f>
        <v>8.6669999999999998</v>
      </c>
      <c r="D42" s="15">
        <f>'Conversion Factors'!A92</f>
        <v>44464</v>
      </c>
      <c r="E42" s="10">
        <f>'Conversion Factors'!B92</f>
        <v>7.8789999999999996</v>
      </c>
      <c r="G42" s="15">
        <f>'Conversion Factors'!A142</f>
        <v>44514</v>
      </c>
      <c r="H42" s="10">
        <f>'Conversion Factors'!B142</f>
        <v>7.8789999999999996</v>
      </c>
      <c r="J42" s="15">
        <f>'Conversion Factors'!A192</f>
        <v>44564</v>
      </c>
      <c r="K42" s="10">
        <f>'Conversion Factors'!B192</f>
        <v>8.6669999999999998</v>
      </c>
      <c r="M42" s="15">
        <f>'Conversion Factors'!A242</f>
        <v>44614</v>
      </c>
      <c r="N42" s="10">
        <f>'Conversion Factors'!B242</f>
        <v>9.6300000000000008</v>
      </c>
      <c r="P42" s="15">
        <f>'Conversion Factors'!A292</f>
        <v>44664</v>
      </c>
      <c r="Q42" s="10">
        <f>'Conversion Factors'!B292</f>
        <v>7.8789999999999996</v>
      </c>
      <c r="S42" s="15">
        <f>'Conversion Factors'!A342</f>
        <v>44714</v>
      </c>
      <c r="T42" s="10">
        <f>'Conversion Factors'!B342</f>
        <v>7.8789999999999996</v>
      </c>
    </row>
    <row r="43" spans="1:20">
      <c r="A43" s="15">
        <f>'Conversion Factors'!A43</f>
        <v>44415</v>
      </c>
      <c r="B43" s="10">
        <f>'Conversion Factors'!B43</f>
        <v>8.6669999999999998</v>
      </c>
      <c r="D43" s="15">
        <f>'Conversion Factors'!A93</f>
        <v>44465</v>
      </c>
      <c r="E43" s="10">
        <f>'Conversion Factors'!B93</f>
        <v>7.8789999999999996</v>
      </c>
      <c r="G43" s="15">
        <f>'Conversion Factors'!A143</f>
        <v>44515</v>
      </c>
      <c r="H43" s="10">
        <f>'Conversion Factors'!B143</f>
        <v>7.8789999999999996</v>
      </c>
      <c r="J43" s="15">
        <f>'Conversion Factors'!A193</f>
        <v>44565</v>
      </c>
      <c r="K43" s="10">
        <f>'Conversion Factors'!B193</f>
        <v>8.6669999999999998</v>
      </c>
      <c r="M43" s="15">
        <f>'Conversion Factors'!A243</f>
        <v>44615</v>
      </c>
      <c r="N43" s="10">
        <f>'Conversion Factors'!B243</f>
        <v>9.6300000000000008</v>
      </c>
      <c r="P43" s="15">
        <f>'Conversion Factors'!A293</f>
        <v>44665</v>
      </c>
      <c r="Q43" s="10">
        <f>'Conversion Factors'!B293</f>
        <v>7.8789999999999996</v>
      </c>
      <c r="S43" s="15">
        <f>'Conversion Factors'!A343</f>
        <v>44715</v>
      </c>
      <c r="T43" s="10">
        <f>'Conversion Factors'!B343</f>
        <v>7.8789999999999996</v>
      </c>
    </row>
    <row r="44" spans="1:20">
      <c r="A44" s="15">
        <f>'Conversion Factors'!A44</f>
        <v>44416</v>
      </c>
      <c r="B44" s="10">
        <f>'Conversion Factors'!B44</f>
        <v>8.6669999999999998</v>
      </c>
      <c r="D44" s="15">
        <f>'Conversion Factors'!A94</f>
        <v>44466</v>
      </c>
      <c r="E44" s="10">
        <f>'Conversion Factors'!B94</f>
        <v>7.8789999999999996</v>
      </c>
      <c r="G44" s="15">
        <f>'Conversion Factors'!A144</f>
        <v>44516</v>
      </c>
      <c r="H44" s="10">
        <f>'Conversion Factors'!B144</f>
        <v>7.8789999999999996</v>
      </c>
      <c r="J44" s="15">
        <f>'Conversion Factors'!A194</f>
        <v>44566</v>
      </c>
      <c r="K44" s="10">
        <f>'Conversion Factors'!B194</f>
        <v>8.6669999999999998</v>
      </c>
      <c r="M44" s="15">
        <f>'Conversion Factors'!A244</f>
        <v>44616</v>
      </c>
      <c r="N44" s="10">
        <f>'Conversion Factors'!B244</f>
        <v>9.6300000000000008</v>
      </c>
      <c r="P44" s="15">
        <f>'Conversion Factors'!A294</f>
        <v>44666</v>
      </c>
      <c r="Q44" s="10">
        <f>'Conversion Factors'!B294</f>
        <v>7.8789999999999996</v>
      </c>
      <c r="S44" s="15">
        <f>'Conversion Factors'!A344</f>
        <v>44716</v>
      </c>
      <c r="T44" s="10">
        <f>'Conversion Factors'!B344</f>
        <v>7.8789999999999996</v>
      </c>
    </row>
    <row r="45" spans="1:20">
      <c r="A45" s="15">
        <f>'Conversion Factors'!A45</f>
        <v>44417</v>
      </c>
      <c r="B45" s="10">
        <f>'Conversion Factors'!B45</f>
        <v>8.6669999999999998</v>
      </c>
      <c r="D45" s="15">
        <f>'Conversion Factors'!A95</f>
        <v>44467</v>
      </c>
      <c r="E45" s="10">
        <f>'Conversion Factors'!B95</f>
        <v>7.8789999999999996</v>
      </c>
      <c r="G45" s="15">
        <f>'Conversion Factors'!A145</f>
        <v>44517</v>
      </c>
      <c r="H45" s="10">
        <f>'Conversion Factors'!B145</f>
        <v>7.8789999999999996</v>
      </c>
      <c r="J45" s="15">
        <f>'Conversion Factors'!A195</f>
        <v>44567</v>
      </c>
      <c r="K45" s="10">
        <f>'Conversion Factors'!B195</f>
        <v>8.6669999999999998</v>
      </c>
      <c r="M45" s="15">
        <f>'Conversion Factors'!A245</f>
        <v>44617</v>
      </c>
      <c r="N45" s="10">
        <f>'Conversion Factors'!B245</f>
        <v>9.6300000000000008</v>
      </c>
      <c r="P45" s="15">
        <f>'Conversion Factors'!A295</f>
        <v>44667</v>
      </c>
      <c r="Q45" s="10">
        <f>'Conversion Factors'!B295</f>
        <v>8.6669999999999998</v>
      </c>
      <c r="S45" s="15">
        <f>'Conversion Factors'!A345</f>
        <v>44717</v>
      </c>
      <c r="T45" s="10">
        <f>'Conversion Factors'!B345</f>
        <v>7.8789999999999996</v>
      </c>
    </row>
    <row r="46" spans="1:20">
      <c r="A46" s="15">
        <f>'Conversion Factors'!A46</f>
        <v>44418</v>
      </c>
      <c r="B46" s="10">
        <f>'Conversion Factors'!B46</f>
        <v>8.6669999999999998</v>
      </c>
      <c r="D46" s="15">
        <f>'Conversion Factors'!A96</f>
        <v>44468</v>
      </c>
      <c r="E46" s="10">
        <f>'Conversion Factors'!B96</f>
        <v>7.8789999999999996</v>
      </c>
      <c r="G46" s="15">
        <f>'Conversion Factors'!A146</f>
        <v>44518</v>
      </c>
      <c r="H46" s="10">
        <f>'Conversion Factors'!B146</f>
        <v>7.8789999999999996</v>
      </c>
      <c r="J46" s="15">
        <f>'Conversion Factors'!A196</f>
        <v>44568</v>
      </c>
      <c r="K46" s="10">
        <f>'Conversion Factors'!B196</f>
        <v>8.6669999999999998</v>
      </c>
      <c r="M46" s="15">
        <f>'Conversion Factors'!A246</f>
        <v>44618</v>
      </c>
      <c r="N46" s="10">
        <f>'Conversion Factors'!B246</f>
        <v>9.6300000000000008</v>
      </c>
      <c r="P46" s="15">
        <f>'Conversion Factors'!A296</f>
        <v>44668</v>
      </c>
      <c r="Q46" s="10">
        <f>'Conversion Factors'!B296</f>
        <v>8.6669999999999998</v>
      </c>
      <c r="S46" s="15">
        <f>'Conversion Factors'!A346</f>
        <v>44718</v>
      </c>
      <c r="T46" s="10">
        <f>'Conversion Factors'!B346</f>
        <v>7.8789999999999996</v>
      </c>
    </row>
    <row r="47" spans="1:20">
      <c r="A47" s="15">
        <f>'Conversion Factors'!A47</f>
        <v>44419</v>
      </c>
      <c r="B47" s="10">
        <f>'Conversion Factors'!B47</f>
        <v>8.6669999999999998</v>
      </c>
      <c r="D47" s="15">
        <f>'Conversion Factors'!A97</f>
        <v>44469</v>
      </c>
      <c r="E47" s="10">
        <f>'Conversion Factors'!B97</f>
        <v>7.8789999999999996</v>
      </c>
      <c r="G47" s="15">
        <f>'Conversion Factors'!A147</f>
        <v>44519</v>
      </c>
      <c r="H47" s="10">
        <f>'Conversion Factors'!B147</f>
        <v>7.8789999999999996</v>
      </c>
      <c r="J47" s="15">
        <f>'Conversion Factors'!A197</f>
        <v>44569</v>
      </c>
      <c r="K47" s="10">
        <f>'Conversion Factors'!B197</f>
        <v>8.6669999999999998</v>
      </c>
      <c r="M47" s="15">
        <f>'Conversion Factors'!A247</f>
        <v>44619</v>
      </c>
      <c r="N47" s="10">
        <f>'Conversion Factors'!B247</f>
        <v>9.6300000000000008</v>
      </c>
      <c r="P47" s="15">
        <f>'Conversion Factors'!A297</f>
        <v>44669</v>
      </c>
      <c r="Q47" s="10">
        <f>'Conversion Factors'!B297</f>
        <v>8.6669999999999998</v>
      </c>
      <c r="S47" s="15">
        <f>'Conversion Factors'!A347</f>
        <v>44719</v>
      </c>
      <c r="T47" s="10">
        <f>'Conversion Factors'!B347</f>
        <v>7.8789999999999996</v>
      </c>
    </row>
    <row r="48" spans="1:20">
      <c r="A48" s="15">
        <f>'Conversion Factors'!A48</f>
        <v>44420</v>
      </c>
      <c r="B48" s="10">
        <f>'Conversion Factors'!B48</f>
        <v>8.6669999999999998</v>
      </c>
      <c r="D48" s="15">
        <f>'Conversion Factors'!A98</f>
        <v>44470</v>
      </c>
      <c r="E48" s="10">
        <f>'Conversion Factors'!B98</f>
        <v>7.8789999999999996</v>
      </c>
      <c r="G48" s="15">
        <f>'Conversion Factors'!A148</f>
        <v>44520</v>
      </c>
      <c r="H48" s="10">
        <f>'Conversion Factors'!B148</f>
        <v>7.8789999999999996</v>
      </c>
      <c r="J48" s="15">
        <f>'Conversion Factors'!A198</f>
        <v>44570</v>
      </c>
      <c r="K48" s="10">
        <f>'Conversion Factors'!B198</f>
        <v>8.6669999999999998</v>
      </c>
      <c r="M48" s="15">
        <f>'Conversion Factors'!A248</f>
        <v>44620</v>
      </c>
      <c r="N48" s="10">
        <f>'Conversion Factors'!B248</f>
        <v>9.6300000000000008</v>
      </c>
      <c r="P48" s="15">
        <f>'Conversion Factors'!A298</f>
        <v>44670</v>
      </c>
      <c r="Q48" s="10">
        <f>'Conversion Factors'!B298</f>
        <v>8.6669999999999998</v>
      </c>
      <c r="S48" s="15">
        <f>'Conversion Factors'!A348</f>
        <v>44720</v>
      </c>
      <c r="T48" s="10">
        <f>'Conversion Factors'!B348</f>
        <v>7.8789999999999996</v>
      </c>
    </row>
    <row r="49" spans="1:20">
      <c r="A49" s="15">
        <f>'Conversion Factors'!A49</f>
        <v>44421</v>
      </c>
      <c r="B49" s="10">
        <f>'Conversion Factors'!B49</f>
        <v>8.6669999999999998</v>
      </c>
      <c r="D49" s="15">
        <f>'Conversion Factors'!A99</f>
        <v>44471</v>
      </c>
      <c r="E49" s="10">
        <f>'Conversion Factors'!B99</f>
        <v>7.8789999999999996</v>
      </c>
      <c r="G49" s="15">
        <f>'Conversion Factors'!A149</f>
        <v>44521</v>
      </c>
      <c r="H49" s="10">
        <f>'Conversion Factors'!B149</f>
        <v>7.8789999999999996</v>
      </c>
      <c r="J49" s="15">
        <f>'Conversion Factors'!A199</f>
        <v>44571</v>
      </c>
      <c r="K49" s="10">
        <f>'Conversion Factors'!B199</f>
        <v>8.6669999999999998</v>
      </c>
      <c r="M49" s="15">
        <f>'Conversion Factors'!A249</f>
        <v>44621</v>
      </c>
      <c r="N49" s="10">
        <f>'Conversion Factors'!B249</f>
        <v>7.8789999999999996</v>
      </c>
      <c r="P49" s="15">
        <f>'Conversion Factors'!A299</f>
        <v>44671</v>
      </c>
      <c r="Q49" s="10">
        <f>'Conversion Factors'!B299</f>
        <v>8.6669999999999998</v>
      </c>
      <c r="S49" s="15">
        <f>'Conversion Factors'!A349</f>
        <v>44721</v>
      </c>
      <c r="T49" s="10">
        <f>'Conversion Factors'!B349</f>
        <v>7.8789999999999996</v>
      </c>
    </row>
    <row r="50" spans="1:20">
      <c r="A50" s="15">
        <f>'Conversion Factors'!A50</f>
        <v>44422</v>
      </c>
      <c r="B50" s="10">
        <f>'Conversion Factors'!B50</f>
        <v>8.6669999999999998</v>
      </c>
      <c r="D50" s="15">
        <f>'Conversion Factors'!A100</f>
        <v>44472</v>
      </c>
      <c r="E50" s="10">
        <f>'Conversion Factors'!B100</f>
        <v>7.8789999999999996</v>
      </c>
      <c r="G50" s="15">
        <f>'Conversion Factors'!A150</f>
        <v>44522</v>
      </c>
      <c r="H50" s="10">
        <f>'Conversion Factors'!B150</f>
        <v>7.8789999999999996</v>
      </c>
      <c r="J50" s="15">
        <f>'Conversion Factors'!A200</f>
        <v>44572</v>
      </c>
      <c r="K50" s="10">
        <f>'Conversion Factors'!B200</f>
        <v>8.6669999999999998</v>
      </c>
      <c r="M50" s="15">
        <f>'Conversion Factors'!A250</f>
        <v>44622</v>
      </c>
      <c r="N50" s="10">
        <f>'Conversion Factors'!B250</f>
        <v>7.8789999999999996</v>
      </c>
      <c r="P50" s="15">
        <f>'Conversion Factors'!A300</f>
        <v>44672</v>
      </c>
      <c r="Q50" s="10">
        <f>'Conversion Factors'!B300</f>
        <v>8.6669999999999998</v>
      </c>
      <c r="S50" s="15">
        <f>'Conversion Factors'!A350</f>
        <v>44722</v>
      </c>
      <c r="T50" s="10">
        <f>'Conversion Factors'!B350</f>
        <v>7.8789999999999996</v>
      </c>
    </row>
    <row r="51" spans="1:20">
      <c r="A51" s="15">
        <f>'Conversion Factors'!A51</f>
        <v>44423</v>
      </c>
      <c r="B51" s="10">
        <f>'Conversion Factors'!B51</f>
        <v>8.6669999999999998</v>
      </c>
      <c r="D51" s="15">
        <f>'Conversion Factors'!A101</f>
        <v>44473</v>
      </c>
      <c r="E51" s="10">
        <f>'Conversion Factors'!B101</f>
        <v>7.8789999999999996</v>
      </c>
      <c r="G51" s="15">
        <f>'Conversion Factors'!A151</f>
        <v>44523</v>
      </c>
      <c r="H51" s="10">
        <f>'Conversion Factors'!B151</f>
        <v>7.8789999999999996</v>
      </c>
      <c r="J51" s="15">
        <f>'Conversion Factors'!A201</f>
        <v>44573</v>
      </c>
      <c r="K51" s="10">
        <f>'Conversion Factors'!B201</f>
        <v>8.6669999999999998</v>
      </c>
      <c r="M51" s="15">
        <f>'Conversion Factors'!A251</f>
        <v>44623</v>
      </c>
      <c r="N51" s="10">
        <f>'Conversion Factors'!B251</f>
        <v>7.8789999999999996</v>
      </c>
      <c r="P51" s="15">
        <f>'Conversion Factors'!A301</f>
        <v>44673</v>
      </c>
      <c r="Q51" s="10">
        <f>'Conversion Factors'!B301</f>
        <v>8.6669999999999998</v>
      </c>
      <c r="S51" s="15">
        <f>'Conversion Factors'!A351</f>
        <v>44723</v>
      </c>
      <c r="T51" s="10">
        <f>'Conversion Factors'!B351</f>
        <v>7.8789999999999996</v>
      </c>
    </row>
    <row r="52" spans="1:20">
      <c r="A52" s="15">
        <f>'Conversion Factors'!A52</f>
        <v>44424</v>
      </c>
      <c r="B52" s="10">
        <f>'Conversion Factors'!B52</f>
        <v>7.2229999999999999</v>
      </c>
      <c r="D52" s="15">
        <f>'Conversion Factors'!A102</f>
        <v>44474</v>
      </c>
      <c r="E52" s="10">
        <f>'Conversion Factors'!B102</f>
        <v>7.8789999999999996</v>
      </c>
      <c r="G52" s="15">
        <f>'Conversion Factors'!A152</f>
        <v>44524</v>
      </c>
      <c r="H52" s="10">
        <f>'Conversion Factors'!B152</f>
        <v>7.8789999999999996</v>
      </c>
      <c r="J52" s="15">
        <f>'Conversion Factors'!A202</f>
        <v>44574</v>
      </c>
      <c r="K52" s="10">
        <f>'Conversion Factors'!B202</f>
        <v>8.6669999999999998</v>
      </c>
      <c r="M52" s="15">
        <f>'Conversion Factors'!A252</f>
        <v>44624</v>
      </c>
      <c r="N52" s="10">
        <f>'Conversion Factors'!B252</f>
        <v>7.8789999999999996</v>
      </c>
      <c r="P52" s="15">
        <f>'Conversion Factors'!A302</f>
        <v>44674</v>
      </c>
      <c r="Q52" s="10">
        <f>'Conversion Factors'!B302</f>
        <v>8.6669999999999998</v>
      </c>
      <c r="S52" s="15">
        <f>'Conversion Factors'!A352</f>
        <v>44724</v>
      </c>
      <c r="T52" s="10">
        <f>'Conversion Factors'!B352</f>
        <v>7.8789999999999996</v>
      </c>
    </row>
    <row r="53" spans="1:20">
      <c r="A53" s="15">
        <f>'Conversion Factors'!A53</f>
        <v>44425</v>
      </c>
      <c r="B53" s="10">
        <f>'Conversion Factors'!B53</f>
        <v>7.2229999999999999</v>
      </c>
      <c r="D53" s="15">
        <f>'Conversion Factors'!A103</f>
        <v>44475</v>
      </c>
      <c r="E53" s="10">
        <f>'Conversion Factors'!B103</f>
        <v>7.8789999999999996</v>
      </c>
      <c r="G53" s="15">
        <f>'Conversion Factors'!A153</f>
        <v>44525</v>
      </c>
      <c r="H53" s="10">
        <f>'Conversion Factors'!B153</f>
        <v>7.8789999999999996</v>
      </c>
      <c r="J53" s="15">
        <f>'Conversion Factors'!A203</f>
        <v>44575</v>
      </c>
      <c r="K53" s="10">
        <f>'Conversion Factors'!B203</f>
        <v>8.6669999999999998</v>
      </c>
      <c r="M53" s="15">
        <f>'Conversion Factors'!A253</f>
        <v>44625</v>
      </c>
      <c r="N53" s="10">
        <f>'Conversion Factors'!B253</f>
        <v>7.8789999999999996</v>
      </c>
      <c r="P53" s="15">
        <f>'Conversion Factors'!A303</f>
        <v>44675</v>
      </c>
      <c r="Q53" s="10">
        <f>'Conversion Factors'!B303</f>
        <v>8.6669999999999998</v>
      </c>
      <c r="S53" s="15">
        <f>'Conversion Factors'!A353</f>
        <v>44725</v>
      </c>
      <c r="T53" s="10">
        <f>'Conversion Factors'!B353</f>
        <v>7.8789999999999996</v>
      </c>
    </row>
    <row r="54" spans="1:20">
      <c r="A54" s="15">
        <f>'Conversion Factors'!A54</f>
        <v>44426</v>
      </c>
      <c r="B54" s="10">
        <f>'Conversion Factors'!B54</f>
        <v>7.2229999999999999</v>
      </c>
      <c r="D54" s="15">
        <f>'Conversion Factors'!A104</f>
        <v>44476</v>
      </c>
      <c r="E54" s="10">
        <f>'Conversion Factors'!B104</f>
        <v>7.8789999999999996</v>
      </c>
      <c r="G54" s="15">
        <f>'Conversion Factors'!A154</f>
        <v>44526</v>
      </c>
      <c r="H54" s="10">
        <f>'Conversion Factors'!B154</f>
        <v>7.8789999999999996</v>
      </c>
      <c r="J54" s="15">
        <f>'Conversion Factors'!A204</f>
        <v>44576</v>
      </c>
      <c r="K54" s="10">
        <f>'Conversion Factors'!B204</f>
        <v>8.6669999999999998</v>
      </c>
      <c r="M54" s="15">
        <f>'Conversion Factors'!A254</f>
        <v>44626</v>
      </c>
      <c r="N54" s="10">
        <f>'Conversion Factors'!B254</f>
        <v>7.8789999999999996</v>
      </c>
      <c r="P54" s="15">
        <f>'Conversion Factors'!A304</f>
        <v>44676</v>
      </c>
      <c r="Q54" s="10">
        <f>'Conversion Factors'!B304</f>
        <v>8.6669999999999998</v>
      </c>
      <c r="S54" s="15">
        <f>'Conversion Factors'!A354</f>
        <v>44726</v>
      </c>
      <c r="T54" s="10">
        <f>'Conversion Factors'!B354</f>
        <v>7.8789999999999996</v>
      </c>
    </row>
    <row r="55" spans="1:20">
      <c r="A55" s="15">
        <f>'Conversion Factors'!A55</f>
        <v>44427</v>
      </c>
      <c r="B55" s="10">
        <f>'Conversion Factors'!B55</f>
        <v>7.2229999999999999</v>
      </c>
      <c r="D55" s="15">
        <f>'Conversion Factors'!A105</f>
        <v>44477</v>
      </c>
      <c r="E55" s="10">
        <f>'Conversion Factors'!B105</f>
        <v>7.8789999999999996</v>
      </c>
      <c r="G55" s="15">
        <f>'Conversion Factors'!A155</f>
        <v>44527</v>
      </c>
      <c r="H55" s="10">
        <f>'Conversion Factors'!B155</f>
        <v>7.8789999999999996</v>
      </c>
      <c r="J55" s="15">
        <f>'Conversion Factors'!A205</f>
        <v>44577</v>
      </c>
      <c r="K55" s="10">
        <f>'Conversion Factors'!B205</f>
        <v>7.8789999999999996</v>
      </c>
      <c r="M55" s="15">
        <f>'Conversion Factors'!A255</f>
        <v>44627</v>
      </c>
      <c r="N55" s="10">
        <f>'Conversion Factors'!B255</f>
        <v>7.8789999999999996</v>
      </c>
      <c r="P55" s="15">
        <f>'Conversion Factors'!A305</f>
        <v>44677</v>
      </c>
      <c r="Q55" s="10">
        <f>'Conversion Factors'!B305</f>
        <v>8.6669999999999998</v>
      </c>
      <c r="S55" s="15">
        <f>'Conversion Factors'!A355</f>
        <v>44727</v>
      </c>
      <c r="T55" s="10">
        <f>'Conversion Factors'!B355</f>
        <v>7.8789999999999996</v>
      </c>
    </row>
  </sheetData>
  <conditionalFormatting sqref="B7:B20">
    <cfRule type="cellIs" dxfId="444" priority="1" operator="equal">
      <formula>FALSE</formula>
    </cfRule>
  </conditionalFormatting>
  <conditionalFormatting sqref="B6">
    <cfRule type="cellIs" dxfId="443" priority="2" operator="equal">
      <formula>FALSE</formula>
    </cfRule>
  </conditionalFormatting>
  <printOptions horizontalCentered="1"/>
  <pageMargins left="0" right="0" top="0.5" bottom="0.5" header="0.3" footer="0.3"/>
  <pageSetup scale="8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
  <sheetViews>
    <sheetView topLeftCell="A10" workbookViewId="0"/>
  </sheetViews>
  <sheetFormatPr defaultRowHeight="12.75"/>
  <sheetData/>
  <sheetProtection select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FF0000"/>
  </sheetPr>
  <dimension ref="A1:W11"/>
  <sheetViews>
    <sheetView showGridLines="0" workbookViewId="0">
      <pane xSplit="1" ySplit="1" topLeftCell="B2" activePane="bottomRight" state="frozen"/>
      <selection activeCell="BS5" sqref="BS5:BS6"/>
      <selection pane="topRight" activeCell="BS5" sqref="BS5:BS6"/>
      <selection pane="bottomLeft" activeCell="BS5" sqref="BS5:BS6"/>
      <selection pane="bottomRight" activeCell="BS5" sqref="BS5:BS6"/>
    </sheetView>
  </sheetViews>
  <sheetFormatPr defaultColWidth="9.33203125" defaultRowHeight="12.75"/>
  <cols>
    <col min="1" max="1" width="10.6640625" style="92" customWidth="1"/>
    <col min="2" max="2" width="8.6640625" style="92" customWidth="1"/>
    <col min="3" max="3" width="14.5" style="92" customWidth="1"/>
    <col min="4" max="4" width="9.33203125" style="92" customWidth="1"/>
    <col min="5" max="5" width="10.33203125" style="92" customWidth="1"/>
    <col min="6" max="6" width="10" style="92" customWidth="1"/>
    <col min="7" max="7" width="12" style="92" customWidth="1"/>
    <col min="8" max="8" width="13.6640625" style="92" customWidth="1"/>
    <col min="9" max="9" width="7.83203125" style="92" customWidth="1"/>
    <col min="10" max="10" width="8.83203125" style="92" customWidth="1"/>
    <col min="11" max="11" width="8.1640625" style="92" customWidth="1"/>
    <col min="12" max="12" width="11" style="92" bestFit="1" customWidth="1"/>
    <col min="13" max="16384" width="9.33203125" style="92"/>
  </cols>
  <sheetData>
    <row r="1" spans="1:23" s="91" customFormat="1" ht="42" customHeight="1">
      <c r="A1" s="91" t="s">
        <v>9</v>
      </c>
      <c r="B1" s="91" t="s">
        <v>10</v>
      </c>
      <c r="C1" s="91" t="s">
        <v>11</v>
      </c>
      <c r="D1" s="105" t="s">
        <v>12</v>
      </c>
      <c r="E1" s="91" t="s">
        <v>13</v>
      </c>
      <c r="F1" s="91" t="s">
        <v>14</v>
      </c>
      <c r="G1" s="104" t="s">
        <v>84</v>
      </c>
      <c r="H1" s="104" t="s">
        <v>44</v>
      </c>
      <c r="I1" s="91" t="s">
        <v>57</v>
      </c>
      <c r="J1" s="91" t="s">
        <v>15</v>
      </c>
      <c r="K1" s="91" t="s">
        <v>16</v>
      </c>
      <c r="L1" s="91" t="s">
        <v>17</v>
      </c>
    </row>
    <row r="2" spans="1:23">
      <c r="A2" s="100" t="s">
        <v>23</v>
      </c>
      <c r="B2" s="202"/>
      <c r="C2" s="202"/>
      <c r="D2" s="203"/>
      <c r="E2" s="202"/>
      <c r="F2" s="202"/>
      <c r="G2" s="204"/>
      <c r="H2" s="204"/>
      <c r="I2" s="202"/>
      <c r="J2" s="202"/>
      <c r="K2" s="202"/>
      <c r="L2" s="200">
        <f>SUM(Table1[[#This Row],[Actual Hours Worked]:[Leave Without Pay]])</f>
        <v>0</v>
      </c>
    </row>
    <row r="3" spans="1:23">
      <c r="A3" s="100" t="s">
        <v>24</v>
      </c>
      <c r="B3" s="202"/>
      <c r="C3" s="202"/>
      <c r="D3" s="203"/>
      <c r="E3" s="202"/>
      <c r="F3" s="202"/>
      <c r="G3" s="204"/>
      <c r="H3" s="204"/>
      <c r="I3" s="202"/>
      <c r="J3" s="202"/>
      <c r="K3" s="202"/>
      <c r="L3" s="200">
        <f>SUM(Table1[[#This Row],[Actual Hours Worked]:[Leave Without Pay]])</f>
        <v>0</v>
      </c>
    </row>
    <row r="4" spans="1:23">
      <c r="A4" s="100" t="s">
        <v>25</v>
      </c>
      <c r="B4" s="202"/>
      <c r="C4" s="202"/>
      <c r="D4" s="203"/>
      <c r="E4" s="202"/>
      <c r="F4" s="202"/>
      <c r="G4" s="204"/>
      <c r="H4" s="204"/>
      <c r="I4" s="202"/>
      <c r="J4" s="202"/>
      <c r="K4" s="202"/>
      <c r="L4" s="200">
        <f>SUM(Table1[[#This Row],[Actual Hours Worked]:[Leave Without Pay]])</f>
        <v>0</v>
      </c>
    </row>
    <row r="5" spans="1:23">
      <c r="A5" s="100" t="s">
        <v>26</v>
      </c>
      <c r="B5" s="202"/>
      <c r="C5" s="202"/>
      <c r="D5" s="203"/>
      <c r="E5" s="202"/>
      <c r="F5" s="202"/>
      <c r="G5" s="204"/>
      <c r="H5" s="204"/>
      <c r="I5" s="202"/>
      <c r="J5" s="202"/>
      <c r="K5" s="202"/>
      <c r="L5" s="200">
        <f>SUM(Table1[[#This Row],[Actual Hours Worked]:[Leave Without Pay]])</f>
        <v>0</v>
      </c>
    </row>
    <row r="6" spans="1:23">
      <c r="A6" s="100" t="s">
        <v>27</v>
      </c>
      <c r="B6" s="200"/>
      <c r="C6" s="107"/>
      <c r="D6" s="106"/>
      <c r="E6" s="107"/>
      <c r="F6" s="107"/>
      <c r="G6" s="201"/>
      <c r="H6" s="201"/>
      <c r="I6" s="101"/>
      <c r="J6" s="101"/>
      <c r="K6" s="101"/>
      <c r="L6" s="202"/>
    </row>
    <row r="7" spans="1:23">
      <c r="A7" s="100" t="s">
        <v>28</v>
      </c>
      <c r="B7" s="200"/>
      <c r="C7" s="107"/>
      <c r="D7" s="106"/>
      <c r="E7" s="107"/>
      <c r="F7" s="107"/>
      <c r="G7" s="201"/>
      <c r="H7" s="201"/>
      <c r="I7" s="101"/>
      <c r="J7" s="101"/>
      <c r="K7" s="101"/>
      <c r="L7" s="202"/>
    </row>
    <row r="8" spans="1:23">
      <c r="A8" s="100" t="s">
        <v>29</v>
      </c>
      <c r="B8" s="200"/>
      <c r="C8" s="107"/>
      <c r="D8" s="106"/>
      <c r="E8" s="107"/>
      <c r="F8" s="107"/>
      <c r="G8" s="201"/>
      <c r="H8" s="201"/>
      <c r="I8" s="101"/>
      <c r="J8" s="101"/>
      <c r="K8" s="101"/>
      <c r="L8" s="202"/>
    </row>
    <row r="11" spans="1:23">
      <c r="E11" s="107">
        <v>40</v>
      </c>
      <c r="W11" s="107" t="s">
        <v>48</v>
      </c>
    </row>
  </sheetData>
  <sheetProtection selectLockedCells="1"/>
  <printOptions horizontalCentered="1"/>
  <pageMargins left="0"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eSetPreviousWKS">
                <anchor moveWithCells="1" sizeWithCells="1">
                  <from>
                    <xdr:col>1</xdr:col>
                    <xdr:colOff>742950</xdr:colOff>
                    <xdr:row>10</xdr:row>
                    <xdr:rowOff>19050</xdr:rowOff>
                  </from>
                  <to>
                    <xdr:col>3</xdr:col>
                    <xdr:colOff>466725</xdr:colOff>
                    <xdr:row>12</xdr:row>
                    <xdr:rowOff>85725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30A0"/>
  </sheetPr>
  <dimension ref="A1:A3"/>
  <sheetViews>
    <sheetView workbookViewId="0">
      <selection activeCell="A5" sqref="A5"/>
    </sheetView>
  </sheetViews>
  <sheetFormatPr defaultRowHeight="12.75"/>
  <sheetData>
    <row r="1" spans="1:1">
      <c r="A1" t="s">
        <v>81</v>
      </c>
    </row>
    <row r="2" spans="1:1">
      <c r="A2" t="s">
        <v>82</v>
      </c>
    </row>
    <row r="3" spans="1:1">
      <c r="A3" t="s">
        <v>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tabColor rgb="FF7030A0"/>
  </sheetPr>
  <dimension ref="A1:G377"/>
  <sheetViews>
    <sheetView workbookViewId="0">
      <pane ySplit="5" topLeftCell="A6" activePane="bottomLeft" state="frozen"/>
      <selection pane="bottomLeft" activeCell="L25" sqref="L25"/>
    </sheetView>
  </sheetViews>
  <sheetFormatPr defaultColWidth="9.33203125" defaultRowHeight="12.75"/>
  <cols>
    <col min="1" max="1" width="19.1640625" style="16" bestFit="1" customWidth="1"/>
    <col min="2" max="2" width="12.5" style="11" customWidth="1"/>
  </cols>
  <sheetData>
    <row r="1" spans="1:7">
      <c r="A1" s="12" t="s">
        <v>3</v>
      </c>
      <c r="B1" s="19">
        <v>44378</v>
      </c>
      <c r="C1" s="7"/>
      <c r="D1" s="7"/>
    </row>
    <row r="2" spans="1:7">
      <c r="A2" s="13"/>
      <c r="B2" s="19"/>
      <c r="G2" s="117"/>
    </row>
    <row r="3" spans="1:7">
      <c r="A3" s="14" t="s">
        <v>5</v>
      </c>
      <c r="B3" s="19">
        <v>44742</v>
      </c>
    </row>
    <row r="4" spans="1:7">
      <c r="A4" s="13"/>
      <c r="B4" s="8"/>
    </row>
    <row r="5" spans="1:7" ht="25.5">
      <c r="A5" s="21" t="s">
        <v>41</v>
      </c>
      <c r="B5" s="20" t="s">
        <v>42</v>
      </c>
    </row>
    <row r="6" spans="1:7">
      <c r="A6" s="15">
        <f>B1</f>
        <v>44378</v>
      </c>
      <c r="B6" s="9">
        <v>7.8789999999999996</v>
      </c>
    </row>
    <row r="7" spans="1:7">
      <c r="A7" s="15">
        <f>IF(A6&lt;$B$3,A6+1,IF(A6=$B$3,""))</f>
        <v>44379</v>
      </c>
      <c r="B7" s="9">
        <v>7.8789999999999996</v>
      </c>
    </row>
    <row r="8" spans="1:7">
      <c r="A8" s="15">
        <f t="shared" ref="A8:A71" si="0">IF(A7&lt;$B$3,A7+1,IF(A7=$B$3,""))</f>
        <v>44380</v>
      </c>
      <c r="B8" s="9">
        <v>7.8789999999999996</v>
      </c>
    </row>
    <row r="9" spans="1:7">
      <c r="A9" s="15">
        <f t="shared" si="0"/>
        <v>44381</v>
      </c>
      <c r="B9" s="9">
        <v>7.8789999999999996</v>
      </c>
    </row>
    <row r="10" spans="1:7">
      <c r="A10" s="15">
        <f t="shared" si="0"/>
        <v>44382</v>
      </c>
      <c r="B10" s="9">
        <v>7.8789999999999996</v>
      </c>
    </row>
    <row r="11" spans="1:7">
      <c r="A11" s="15">
        <f t="shared" si="0"/>
        <v>44383</v>
      </c>
      <c r="B11" s="9">
        <v>7.8789999999999996</v>
      </c>
    </row>
    <row r="12" spans="1:7">
      <c r="A12" s="15">
        <f t="shared" si="0"/>
        <v>44384</v>
      </c>
      <c r="B12" s="9">
        <v>7.8789999999999996</v>
      </c>
    </row>
    <row r="13" spans="1:7">
      <c r="A13" s="15">
        <f t="shared" si="0"/>
        <v>44385</v>
      </c>
      <c r="B13" s="9">
        <v>7.8789999999999996</v>
      </c>
    </row>
    <row r="14" spans="1:7">
      <c r="A14" s="15">
        <f t="shared" si="0"/>
        <v>44386</v>
      </c>
      <c r="B14" s="9">
        <v>7.8789999999999996</v>
      </c>
    </row>
    <row r="15" spans="1:7">
      <c r="A15" s="15">
        <f t="shared" si="0"/>
        <v>44387</v>
      </c>
      <c r="B15" s="9">
        <v>7.8789999999999996</v>
      </c>
    </row>
    <row r="16" spans="1:7">
      <c r="A16" s="15">
        <f t="shared" si="0"/>
        <v>44388</v>
      </c>
      <c r="B16" s="9">
        <v>7.8789999999999996</v>
      </c>
    </row>
    <row r="17" spans="1:2">
      <c r="A17" s="15">
        <f t="shared" si="0"/>
        <v>44389</v>
      </c>
      <c r="B17" s="9">
        <v>7.8789999999999996</v>
      </c>
    </row>
    <row r="18" spans="1:2">
      <c r="A18" s="15">
        <f t="shared" si="0"/>
        <v>44390</v>
      </c>
      <c r="B18" s="9">
        <v>7.8789999999999996</v>
      </c>
    </row>
    <row r="19" spans="1:2">
      <c r="A19" s="15">
        <f t="shared" si="0"/>
        <v>44391</v>
      </c>
      <c r="B19" s="9">
        <v>7.8789999999999996</v>
      </c>
    </row>
    <row r="20" spans="1:2">
      <c r="A20" s="15">
        <f t="shared" si="0"/>
        <v>44392</v>
      </c>
      <c r="B20" s="9">
        <v>7.8789999999999996</v>
      </c>
    </row>
    <row r="21" spans="1:2">
      <c r="A21" s="15">
        <f t="shared" si="0"/>
        <v>44393</v>
      </c>
      <c r="B21" s="10">
        <v>7.8789999999999996</v>
      </c>
    </row>
    <row r="22" spans="1:2">
      <c r="A22" s="15">
        <f t="shared" si="0"/>
        <v>44394</v>
      </c>
      <c r="B22" s="10">
        <v>7.8789999999999996</v>
      </c>
    </row>
    <row r="23" spans="1:2">
      <c r="A23" s="15">
        <f t="shared" si="0"/>
        <v>44395</v>
      </c>
      <c r="B23" s="10">
        <v>7.8789999999999996</v>
      </c>
    </row>
    <row r="24" spans="1:2">
      <c r="A24" s="15">
        <f t="shared" si="0"/>
        <v>44396</v>
      </c>
      <c r="B24" s="10">
        <v>7.8789999999999996</v>
      </c>
    </row>
    <row r="25" spans="1:2">
      <c r="A25" s="15">
        <f t="shared" si="0"/>
        <v>44397</v>
      </c>
      <c r="B25" s="10">
        <v>7.8789999999999996</v>
      </c>
    </row>
    <row r="26" spans="1:2">
      <c r="A26" s="15">
        <f t="shared" si="0"/>
        <v>44398</v>
      </c>
      <c r="B26" s="10">
        <v>7.8789999999999996</v>
      </c>
    </row>
    <row r="27" spans="1:2">
      <c r="A27" s="15">
        <f t="shared" si="0"/>
        <v>44399</v>
      </c>
      <c r="B27" s="10">
        <v>7.8789999999999996</v>
      </c>
    </row>
    <row r="28" spans="1:2">
      <c r="A28" s="15">
        <f t="shared" si="0"/>
        <v>44400</v>
      </c>
      <c r="B28" s="10">
        <v>7.8789999999999996</v>
      </c>
    </row>
    <row r="29" spans="1:2">
      <c r="A29" s="15">
        <f t="shared" si="0"/>
        <v>44401</v>
      </c>
      <c r="B29" s="10">
        <v>7.8789999999999996</v>
      </c>
    </row>
    <row r="30" spans="1:2">
      <c r="A30" s="15">
        <f t="shared" si="0"/>
        <v>44402</v>
      </c>
      <c r="B30" s="10">
        <v>7.8789999999999996</v>
      </c>
    </row>
    <row r="31" spans="1:2">
      <c r="A31" s="15">
        <f t="shared" si="0"/>
        <v>44403</v>
      </c>
      <c r="B31" s="10">
        <v>7.8789999999999996</v>
      </c>
    </row>
    <row r="32" spans="1:2">
      <c r="A32" s="15">
        <f t="shared" si="0"/>
        <v>44404</v>
      </c>
      <c r="B32" s="10">
        <v>7.8789999999999996</v>
      </c>
    </row>
    <row r="33" spans="1:2">
      <c r="A33" s="15">
        <f t="shared" si="0"/>
        <v>44405</v>
      </c>
      <c r="B33" s="10">
        <v>7.8789999999999996</v>
      </c>
    </row>
    <row r="34" spans="1:2">
      <c r="A34" s="15">
        <f t="shared" si="0"/>
        <v>44406</v>
      </c>
      <c r="B34" s="10">
        <v>7.8789999999999996</v>
      </c>
    </row>
    <row r="35" spans="1:2">
      <c r="A35" s="15">
        <f t="shared" si="0"/>
        <v>44407</v>
      </c>
      <c r="B35" s="10">
        <v>7.8789999999999996</v>
      </c>
    </row>
    <row r="36" spans="1:2">
      <c r="A36" s="15">
        <f t="shared" si="0"/>
        <v>44408</v>
      </c>
      <c r="B36" s="10">
        <v>7.8789999999999996</v>
      </c>
    </row>
    <row r="37" spans="1:2">
      <c r="A37" s="15">
        <f t="shared" si="0"/>
        <v>44409</v>
      </c>
      <c r="B37" s="10">
        <v>8.6669999999999998</v>
      </c>
    </row>
    <row r="38" spans="1:2">
      <c r="A38" s="15">
        <f t="shared" si="0"/>
        <v>44410</v>
      </c>
      <c r="B38" s="10">
        <v>8.6669999999999998</v>
      </c>
    </row>
    <row r="39" spans="1:2">
      <c r="A39" s="15">
        <f t="shared" si="0"/>
        <v>44411</v>
      </c>
      <c r="B39" s="10">
        <v>8.6669999999999998</v>
      </c>
    </row>
    <row r="40" spans="1:2">
      <c r="A40" s="15">
        <f t="shared" si="0"/>
        <v>44412</v>
      </c>
      <c r="B40" s="10">
        <v>8.6669999999999998</v>
      </c>
    </row>
    <row r="41" spans="1:2">
      <c r="A41" s="15">
        <f t="shared" si="0"/>
        <v>44413</v>
      </c>
      <c r="B41" s="10">
        <v>8.6669999999999998</v>
      </c>
    </row>
    <row r="42" spans="1:2">
      <c r="A42" s="15">
        <f t="shared" si="0"/>
        <v>44414</v>
      </c>
      <c r="B42" s="10">
        <v>8.6669999999999998</v>
      </c>
    </row>
    <row r="43" spans="1:2">
      <c r="A43" s="15">
        <f t="shared" si="0"/>
        <v>44415</v>
      </c>
      <c r="B43" s="10">
        <v>8.6669999999999998</v>
      </c>
    </row>
    <row r="44" spans="1:2">
      <c r="A44" s="15">
        <f t="shared" si="0"/>
        <v>44416</v>
      </c>
      <c r="B44" s="10">
        <v>8.6669999999999998</v>
      </c>
    </row>
    <row r="45" spans="1:2">
      <c r="A45" s="15">
        <f t="shared" si="0"/>
        <v>44417</v>
      </c>
      <c r="B45" s="10">
        <v>8.6669999999999998</v>
      </c>
    </row>
    <row r="46" spans="1:2">
      <c r="A46" s="15">
        <f t="shared" si="0"/>
        <v>44418</v>
      </c>
      <c r="B46" s="10">
        <v>8.6669999999999998</v>
      </c>
    </row>
    <row r="47" spans="1:2">
      <c r="A47" s="15">
        <f t="shared" si="0"/>
        <v>44419</v>
      </c>
      <c r="B47" s="10">
        <v>8.6669999999999998</v>
      </c>
    </row>
    <row r="48" spans="1:2">
      <c r="A48" s="15">
        <f t="shared" si="0"/>
        <v>44420</v>
      </c>
      <c r="B48" s="10">
        <v>8.6669999999999998</v>
      </c>
    </row>
    <row r="49" spans="1:2">
      <c r="A49" s="15">
        <f t="shared" si="0"/>
        <v>44421</v>
      </c>
      <c r="B49" s="10">
        <v>8.6669999999999998</v>
      </c>
    </row>
    <row r="50" spans="1:2">
      <c r="A50" s="15">
        <f t="shared" si="0"/>
        <v>44422</v>
      </c>
      <c r="B50" s="10">
        <v>8.6669999999999998</v>
      </c>
    </row>
    <row r="51" spans="1:2">
      <c r="A51" s="15">
        <f t="shared" si="0"/>
        <v>44423</v>
      </c>
      <c r="B51" s="10">
        <v>8.6669999999999998</v>
      </c>
    </row>
    <row r="52" spans="1:2">
      <c r="A52" s="15">
        <f t="shared" si="0"/>
        <v>44424</v>
      </c>
      <c r="B52" s="10">
        <v>7.2229999999999999</v>
      </c>
    </row>
    <row r="53" spans="1:2">
      <c r="A53" s="15">
        <f t="shared" si="0"/>
        <v>44425</v>
      </c>
      <c r="B53" s="10">
        <v>7.2229999999999999</v>
      </c>
    </row>
    <row r="54" spans="1:2">
      <c r="A54" s="15">
        <f t="shared" si="0"/>
        <v>44426</v>
      </c>
      <c r="B54" s="10">
        <v>7.2229999999999999</v>
      </c>
    </row>
    <row r="55" spans="1:2">
      <c r="A55" s="15">
        <f t="shared" si="0"/>
        <v>44427</v>
      </c>
      <c r="B55" s="10">
        <v>7.2229999999999999</v>
      </c>
    </row>
    <row r="56" spans="1:2">
      <c r="A56" s="15">
        <f t="shared" si="0"/>
        <v>44428</v>
      </c>
      <c r="B56" s="10">
        <v>7.2229999999999999</v>
      </c>
    </row>
    <row r="57" spans="1:2">
      <c r="A57" s="15">
        <f t="shared" si="0"/>
        <v>44429</v>
      </c>
      <c r="B57" s="10">
        <v>7.2229999999999999</v>
      </c>
    </row>
    <row r="58" spans="1:2">
      <c r="A58" s="15">
        <f t="shared" si="0"/>
        <v>44430</v>
      </c>
      <c r="B58" s="10">
        <v>7.2229999999999999</v>
      </c>
    </row>
    <row r="59" spans="1:2">
      <c r="A59" s="15">
        <f t="shared" si="0"/>
        <v>44431</v>
      </c>
      <c r="B59" s="10">
        <v>7.2229999999999999</v>
      </c>
    </row>
    <row r="60" spans="1:2">
      <c r="A60" s="15">
        <f t="shared" si="0"/>
        <v>44432</v>
      </c>
      <c r="B60" s="10">
        <v>7.2229999999999999</v>
      </c>
    </row>
    <row r="61" spans="1:2">
      <c r="A61" s="15">
        <f t="shared" si="0"/>
        <v>44433</v>
      </c>
      <c r="B61" s="10">
        <v>7.2229999999999999</v>
      </c>
    </row>
    <row r="62" spans="1:2">
      <c r="A62" s="15">
        <f t="shared" si="0"/>
        <v>44434</v>
      </c>
      <c r="B62" s="10">
        <v>7.2229999999999999</v>
      </c>
    </row>
    <row r="63" spans="1:2">
      <c r="A63" s="15">
        <f t="shared" si="0"/>
        <v>44435</v>
      </c>
      <c r="B63" s="10">
        <v>7.2229999999999999</v>
      </c>
    </row>
    <row r="64" spans="1:2">
      <c r="A64" s="15">
        <f t="shared" si="0"/>
        <v>44436</v>
      </c>
      <c r="B64" s="10">
        <v>7.2229999999999999</v>
      </c>
    </row>
    <row r="65" spans="1:2">
      <c r="A65" s="15">
        <f t="shared" si="0"/>
        <v>44437</v>
      </c>
      <c r="B65" s="10">
        <v>7.2229999999999999</v>
      </c>
    </row>
    <row r="66" spans="1:2">
      <c r="A66" s="15">
        <f t="shared" si="0"/>
        <v>44438</v>
      </c>
      <c r="B66" s="10">
        <v>7.2229999999999999</v>
      </c>
    </row>
    <row r="67" spans="1:2">
      <c r="A67" s="15">
        <f t="shared" si="0"/>
        <v>44439</v>
      </c>
      <c r="B67" s="10">
        <v>7.2229999999999999</v>
      </c>
    </row>
    <row r="68" spans="1:2">
      <c r="A68" s="15">
        <f t="shared" si="0"/>
        <v>44440</v>
      </c>
      <c r="B68" s="10">
        <v>7.8789999999999996</v>
      </c>
    </row>
    <row r="69" spans="1:2">
      <c r="A69" s="15">
        <f t="shared" si="0"/>
        <v>44441</v>
      </c>
      <c r="B69" s="10">
        <v>7.8789999999999996</v>
      </c>
    </row>
    <row r="70" spans="1:2">
      <c r="A70" s="15">
        <f t="shared" si="0"/>
        <v>44442</v>
      </c>
      <c r="B70" s="10">
        <v>7.8789999999999996</v>
      </c>
    </row>
    <row r="71" spans="1:2">
      <c r="A71" s="15">
        <f t="shared" si="0"/>
        <v>44443</v>
      </c>
      <c r="B71" s="10">
        <v>7.8789999999999996</v>
      </c>
    </row>
    <row r="72" spans="1:2">
      <c r="A72" s="15">
        <f t="shared" ref="A72:A135" si="1">IF(A71&lt;$B$3,A71+1,IF(A71=$B$3,""))</f>
        <v>44444</v>
      </c>
      <c r="B72" s="10">
        <v>7.8789999999999996</v>
      </c>
    </row>
    <row r="73" spans="1:2">
      <c r="A73" s="15">
        <f t="shared" si="1"/>
        <v>44445</v>
      </c>
      <c r="B73" s="10">
        <v>7.8789999999999996</v>
      </c>
    </row>
    <row r="74" spans="1:2">
      <c r="A74" s="15">
        <f t="shared" si="1"/>
        <v>44446</v>
      </c>
      <c r="B74" s="10">
        <v>7.8789999999999996</v>
      </c>
    </row>
    <row r="75" spans="1:2">
      <c r="A75" s="15">
        <f t="shared" si="1"/>
        <v>44447</v>
      </c>
      <c r="B75" s="10">
        <v>7.8789999999999996</v>
      </c>
    </row>
    <row r="76" spans="1:2">
      <c r="A76" s="15">
        <f t="shared" si="1"/>
        <v>44448</v>
      </c>
      <c r="B76" s="10">
        <v>7.8789999999999996</v>
      </c>
    </row>
    <row r="77" spans="1:2">
      <c r="A77" s="15">
        <f t="shared" si="1"/>
        <v>44449</v>
      </c>
      <c r="B77" s="10">
        <v>7.8789999999999996</v>
      </c>
    </row>
    <row r="78" spans="1:2">
      <c r="A78" s="15">
        <f t="shared" si="1"/>
        <v>44450</v>
      </c>
      <c r="B78" s="10">
        <v>7.8789999999999996</v>
      </c>
    </row>
    <row r="79" spans="1:2">
      <c r="A79" s="15">
        <f t="shared" si="1"/>
        <v>44451</v>
      </c>
      <c r="B79" s="10">
        <v>7.8789999999999996</v>
      </c>
    </row>
    <row r="80" spans="1:2">
      <c r="A80" s="15">
        <f t="shared" si="1"/>
        <v>44452</v>
      </c>
      <c r="B80" s="10">
        <v>7.8789999999999996</v>
      </c>
    </row>
    <row r="81" spans="1:2">
      <c r="A81" s="15">
        <f t="shared" si="1"/>
        <v>44453</v>
      </c>
      <c r="B81" s="10">
        <v>7.8789999999999996</v>
      </c>
    </row>
    <row r="82" spans="1:2">
      <c r="A82" s="15">
        <f t="shared" si="1"/>
        <v>44454</v>
      </c>
      <c r="B82" s="10">
        <v>7.8789999999999996</v>
      </c>
    </row>
    <row r="83" spans="1:2">
      <c r="A83" s="15">
        <f t="shared" si="1"/>
        <v>44455</v>
      </c>
      <c r="B83" s="10">
        <v>7.8789999999999996</v>
      </c>
    </row>
    <row r="84" spans="1:2">
      <c r="A84" s="15">
        <f t="shared" si="1"/>
        <v>44456</v>
      </c>
      <c r="B84" s="10">
        <v>7.8789999999999996</v>
      </c>
    </row>
    <row r="85" spans="1:2">
      <c r="A85" s="15">
        <f t="shared" si="1"/>
        <v>44457</v>
      </c>
      <c r="B85" s="10">
        <v>7.8789999999999996</v>
      </c>
    </row>
    <row r="86" spans="1:2">
      <c r="A86" s="15">
        <f t="shared" si="1"/>
        <v>44458</v>
      </c>
      <c r="B86" s="10">
        <v>7.8789999999999996</v>
      </c>
    </row>
    <row r="87" spans="1:2">
      <c r="A87" s="15">
        <f t="shared" si="1"/>
        <v>44459</v>
      </c>
      <c r="B87" s="10">
        <v>7.8789999999999996</v>
      </c>
    </row>
    <row r="88" spans="1:2">
      <c r="A88" s="15">
        <f t="shared" si="1"/>
        <v>44460</v>
      </c>
      <c r="B88" s="10">
        <v>7.8789999999999996</v>
      </c>
    </row>
    <row r="89" spans="1:2">
      <c r="A89" s="15">
        <f t="shared" si="1"/>
        <v>44461</v>
      </c>
      <c r="B89" s="10">
        <v>7.8789999999999996</v>
      </c>
    </row>
    <row r="90" spans="1:2">
      <c r="A90" s="15">
        <f t="shared" si="1"/>
        <v>44462</v>
      </c>
      <c r="B90" s="10">
        <v>7.8789999999999996</v>
      </c>
    </row>
    <row r="91" spans="1:2">
      <c r="A91" s="15">
        <f t="shared" si="1"/>
        <v>44463</v>
      </c>
      <c r="B91" s="10">
        <v>7.8789999999999996</v>
      </c>
    </row>
    <row r="92" spans="1:2">
      <c r="A92" s="15">
        <f t="shared" si="1"/>
        <v>44464</v>
      </c>
      <c r="B92" s="10">
        <v>7.8789999999999996</v>
      </c>
    </row>
    <row r="93" spans="1:2">
      <c r="A93" s="15">
        <f t="shared" si="1"/>
        <v>44465</v>
      </c>
      <c r="B93" s="10">
        <v>7.8789999999999996</v>
      </c>
    </row>
    <row r="94" spans="1:2">
      <c r="A94" s="15">
        <f t="shared" si="1"/>
        <v>44466</v>
      </c>
      <c r="B94" s="10">
        <v>7.8789999999999996</v>
      </c>
    </row>
    <row r="95" spans="1:2">
      <c r="A95" s="15">
        <f t="shared" si="1"/>
        <v>44467</v>
      </c>
      <c r="B95" s="10">
        <v>7.8789999999999996</v>
      </c>
    </row>
    <row r="96" spans="1:2">
      <c r="A96" s="15">
        <f t="shared" si="1"/>
        <v>44468</v>
      </c>
      <c r="B96" s="10">
        <v>7.8789999999999996</v>
      </c>
    </row>
    <row r="97" spans="1:2">
      <c r="A97" s="15">
        <f t="shared" si="1"/>
        <v>44469</v>
      </c>
      <c r="B97" s="10">
        <v>7.8789999999999996</v>
      </c>
    </row>
    <row r="98" spans="1:2">
      <c r="A98" s="15">
        <f t="shared" si="1"/>
        <v>44470</v>
      </c>
      <c r="B98" s="10">
        <v>7.8789999999999996</v>
      </c>
    </row>
    <row r="99" spans="1:2">
      <c r="A99" s="15">
        <f t="shared" si="1"/>
        <v>44471</v>
      </c>
      <c r="B99" s="10">
        <v>7.8789999999999996</v>
      </c>
    </row>
    <row r="100" spans="1:2">
      <c r="A100" s="15">
        <f t="shared" si="1"/>
        <v>44472</v>
      </c>
      <c r="B100" s="10">
        <v>7.8789999999999996</v>
      </c>
    </row>
    <row r="101" spans="1:2">
      <c r="A101" s="15">
        <f t="shared" si="1"/>
        <v>44473</v>
      </c>
      <c r="B101" s="10">
        <v>7.8789999999999996</v>
      </c>
    </row>
    <row r="102" spans="1:2">
      <c r="A102" s="15">
        <f t="shared" si="1"/>
        <v>44474</v>
      </c>
      <c r="B102" s="10">
        <v>7.8789999999999996</v>
      </c>
    </row>
    <row r="103" spans="1:2">
      <c r="A103" s="15">
        <f t="shared" si="1"/>
        <v>44475</v>
      </c>
      <c r="B103" s="10">
        <v>7.8789999999999996</v>
      </c>
    </row>
    <row r="104" spans="1:2">
      <c r="A104" s="15">
        <f t="shared" si="1"/>
        <v>44476</v>
      </c>
      <c r="B104" s="10">
        <v>7.8789999999999996</v>
      </c>
    </row>
    <row r="105" spans="1:2">
      <c r="A105" s="15">
        <f t="shared" si="1"/>
        <v>44477</v>
      </c>
      <c r="B105" s="10">
        <v>7.8789999999999996</v>
      </c>
    </row>
    <row r="106" spans="1:2">
      <c r="A106" s="15">
        <f t="shared" si="1"/>
        <v>44478</v>
      </c>
      <c r="B106" s="10">
        <v>7.8789999999999996</v>
      </c>
    </row>
    <row r="107" spans="1:2">
      <c r="A107" s="15">
        <f t="shared" si="1"/>
        <v>44479</v>
      </c>
      <c r="B107" s="10">
        <v>7.8789999999999996</v>
      </c>
    </row>
    <row r="108" spans="1:2">
      <c r="A108" s="15">
        <f t="shared" si="1"/>
        <v>44480</v>
      </c>
      <c r="B108" s="10">
        <v>7.8789999999999996</v>
      </c>
    </row>
    <row r="109" spans="1:2">
      <c r="A109" s="15">
        <f t="shared" si="1"/>
        <v>44481</v>
      </c>
      <c r="B109" s="10">
        <v>7.8789999999999996</v>
      </c>
    </row>
    <row r="110" spans="1:2">
      <c r="A110" s="15">
        <f t="shared" si="1"/>
        <v>44482</v>
      </c>
      <c r="B110" s="10">
        <v>7.8789999999999996</v>
      </c>
    </row>
    <row r="111" spans="1:2">
      <c r="A111" s="15">
        <f t="shared" si="1"/>
        <v>44483</v>
      </c>
      <c r="B111" s="10">
        <v>7.8789999999999996</v>
      </c>
    </row>
    <row r="112" spans="1:2">
      <c r="A112" s="15">
        <f t="shared" si="1"/>
        <v>44484</v>
      </c>
      <c r="B112" s="10">
        <v>7.8789999999999996</v>
      </c>
    </row>
    <row r="113" spans="1:2">
      <c r="A113" s="15">
        <f t="shared" si="1"/>
        <v>44485</v>
      </c>
      <c r="B113" s="10">
        <v>8.6669999999999998</v>
      </c>
    </row>
    <row r="114" spans="1:2">
      <c r="A114" s="15">
        <f t="shared" si="1"/>
        <v>44486</v>
      </c>
      <c r="B114" s="10">
        <v>8.6669999999999998</v>
      </c>
    </row>
    <row r="115" spans="1:2">
      <c r="A115" s="15">
        <f t="shared" si="1"/>
        <v>44487</v>
      </c>
      <c r="B115" s="10">
        <v>8.6669999999999998</v>
      </c>
    </row>
    <row r="116" spans="1:2">
      <c r="A116" s="15">
        <f t="shared" si="1"/>
        <v>44488</v>
      </c>
      <c r="B116" s="10">
        <v>8.6669999999999998</v>
      </c>
    </row>
    <row r="117" spans="1:2">
      <c r="A117" s="15">
        <f t="shared" si="1"/>
        <v>44489</v>
      </c>
      <c r="B117" s="10">
        <v>8.6669999999999998</v>
      </c>
    </row>
    <row r="118" spans="1:2">
      <c r="A118" s="15">
        <f t="shared" si="1"/>
        <v>44490</v>
      </c>
      <c r="B118" s="10">
        <v>8.6669999999999998</v>
      </c>
    </row>
    <row r="119" spans="1:2">
      <c r="A119" s="15">
        <f t="shared" si="1"/>
        <v>44491</v>
      </c>
      <c r="B119" s="10">
        <v>8.6669999999999998</v>
      </c>
    </row>
    <row r="120" spans="1:2">
      <c r="A120" s="15">
        <f t="shared" si="1"/>
        <v>44492</v>
      </c>
      <c r="B120" s="10">
        <v>8.6669999999999998</v>
      </c>
    </row>
    <row r="121" spans="1:2">
      <c r="A121" s="15">
        <f t="shared" si="1"/>
        <v>44493</v>
      </c>
      <c r="B121" s="10">
        <v>8.6669999999999998</v>
      </c>
    </row>
    <row r="122" spans="1:2">
      <c r="A122" s="15">
        <f t="shared" si="1"/>
        <v>44494</v>
      </c>
      <c r="B122" s="10">
        <v>8.6669999999999998</v>
      </c>
    </row>
    <row r="123" spans="1:2">
      <c r="A123" s="15">
        <f t="shared" si="1"/>
        <v>44495</v>
      </c>
      <c r="B123" s="10">
        <v>8.6669999999999998</v>
      </c>
    </row>
    <row r="124" spans="1:2">
      <c r="A124" s="15">
        <f t="shared" si="1"/>
        <v>44496</v>
      </c>
      <c r="B124" s="10">
        <v>8.6669999999999998</v>
      </c>
    </row>
    <row r="125" spans="1:2">
      <c r="A125" s="15">
        <f t="shared" si="1"/>
        <v>44497</v>
      </c>
      <c r="B125" s="10">
        <v>8.6669999999999998</v>
      </c>
    </row>
    <row r="126" spans="1:2">
      <c r="A126" s="15">
        <f t="shared" si="1"/>
        <v>44498</v>
      </c>
      <c r="B126" s="10">
        <v>8.6669999999999998</v>
      </c>
    </row>
    <row r="127" spans="1:2">
      <c r="A127" s="15">
        <f t="shared" si="1"/>
        <v>44499</v>
      </c>
      <c r="B127" s="10">
        <v>8.6669999999999998</v>
      </c>
    </row>
    <row r="128" spans="1:2">
      <c r="A128" s="15">
        <f t="shared" si="1"/>
        <v>44500</v>
      </c>
      <c r="B128" s="10">
        <v>8.6669999999999998</v>
      </c>
    </row>
    <row r="129" spans="1:2">
      <c r="A129" s="15">
        <f t="shared" si="1"/>
        <v>44501</v>
      </c>
      <c r="B129" s="10">
        <v>7.8789999999999996</v>
      </c>
    </row>
    <row r="130" spans="1:2">
      <c r="A130" s="15">
        <f t="shared" si="1"/>
        <v>44502</v>
      </c>
      <c r="B130" s="10">
        <v>7.8789999999999996</v>
      </c>
    </row>
    <row r="131" spans="1:2">
      <c r="A131" s="15">
        <f t="shared" si="1"/>
        <v>44503</v>
      </c>
      <c r="B131" s="10">
        <v>7.8789999999999996</v>
      </c>
    </row>
    <row r="132" spans="1:2">
      <c r="A132" s="15">
        <f t="shared" si="1"/>
        <v>44504</v>
      </c>
      <c r="B132" s="10">
        <v>7.8789999999999996</v>
      </c>
    </row>
    <row r="133" spans="1:2">
      <c r="A133" s="15">
        <f t="shared" si="1"/>
        <v>44505</v>
      </c>
      <c r="B133" s="10">
        <v>7.8789999999999996</v>
      </c>
    </row>
    <row r="134" spans="1:2">
      <c r="A134" s="15">
        <f t="shared" si="1"/>
        <v>44506</v>
      </c>
      <c r="B134" s="10">
        <v>7.8789999999999996</v>
      </c>
    </row>
    <row r="135" spans="1:2">
      <c r="A135" s="15">
        <f t="shared" si="1"/>
        <v>44507</v>
      </c>
      <c r="B135" s="10">
        <v>7.8789999999999996</v>
      </c>
    </row>
    <row r="136" spans="1:2">
      <c r="A136" s="15">
        <f t="shared" ref="A136:A199" si="2">IF(A135&lt;$B$3,A135+1,IF(A135=$B$3,""))</f>
        <v>44508</v>
      </c>
      <c r="B136" s="10">
        <v>7.8789999999999996</v>
      </c>
    </row>
    <row r="137" spans="1:2">
      <c r="A137" s="15">
        <f t="shared" si="2"/>
        <v>44509</v>
      </c>
      <c r="B137" s="10">
        <v>7.8789999999999996</v>
      </c>
    </row>
    <row r="138" spans="1:2">
      <c r="A138" s="15">
        <f t="shared" si="2"/>
        <v>44510</v>
      </c>
      <c r="B138" s="10">
        <v>7.8789999999999996</v>
      </c>
    </row>
    <row r="139" spans="1:2">
      <c r="A139" s="15">
        <f t="shared" si="2"/>
        <v>44511</v>
      </c>
      <c r="B139" s="10">
        <v>7.8789999999999996</v>
      </c>
    </row>
    <row r="140" spans="1:2">
      <c r="A140" s="15">
        <f t="shared" si="2"/>
        <v>44512</v>
      </c>
      <c r="B140" s="10">
        <v>7.8789999999999996</v>
      </c>
    </row>
    <row r="141" spans="1:2">
      <c r="A141" s="15">
        <f t="shared" si="2"/>
        <v>44513</v>
      </c>
      <c r="B141" s="10">
        <v>7.8789999999999996</v>
      </c>
    </row>
    <row r="142" spans="1:2">
      <c r="A142" s="15">
        <f t="shared" si="2"/>
        <v>44514</v>
      </c>
      <c r="B142" s="10">
        <v>7.8789999999999996</v>
      </c>
    </row>
    <row r="143" spans="1:2">
      <c r="A143" s="15">
        <f t="shared" si="2"/>
        <v>44515</v>
      </c>
      <c r="B143" s="10">
        <v>7.8789999999999996</v>
      </c>
    </row>
    <row r="144" spans="1:2">
      <c r="A144" s="15">
        <f t="shared" si="2"/>
        <v>44516</v>
      </c>
      <c r="B144" s="10">
        <v>7.8789999999999996</v>
      </c>
    </row>
    <row r="145" spans="1:2">
      <c r="A145" s="15">
        <f t="shared" si="2"/>
        <v>44517</v>
      </c>
      <c r="B145" s="10">
        <v>7.8789999999999996</v>
      </c>
    </row>
    <row r="146" spans="1:2">
      <c r="A146" s="15">
        <f t="shared" si="2"/>
        <v>44518</v>
      </c>
      <c r="B146" s="10">
        <v>7.8789999999999996</v>
      </c>
    </row>
    <row r="147" spans="1:2">
      <c r="A147" s="15">
        <f t="shared" si="2"/>
        <v>44519</v>
      </c>
      <c r="B147" s="10">
        <v>7.8789999999999996</v>
      </c>
    </row>
    <row r="148" spans="1:2">
      <c r="A148" s="15">
        <f t="shared" si="2"/>
        <v>44520</v>
      </c>
      <c r="B148" s="10">
        <v>7.8789999999999996</v>
      </c>
    </row>
    <row r="149" spans="1:2">
      <c r="A149" s="15">
        <f t="shared" si="2"/>
        <v>44521</v>
      </c>
      <c r="B149" s="10">
        <v>7.8789999999999996</v>
      </c>
    </row>
    <row r="150" spans="1:2">
      <c r="A150" s="15">
        <f t="shared" si="2"/>
        <v>44522</v>
      </c>
      <c r="B150" s="10">
        <v>7.8789999999999996</v>
      </c>
    </row>
    <row r="151" spans="1:2">
      <c r="A151" s="15">
        <f t="shared" si="2"/>
        <v>44523</v>
      </c>
      <c r="B151" s="10">
        <v>7.8789999999999996</v>
      </c>
    </row>
    <row r="152" spans="1:2">
      <c r="A152" s="15">
        <f t="shared" si="2"/>
        <v>44524</v>
      </c>
      <c r="B152" s="10">
        <v>7.8789999999999996</v>
      </c>
    </row>
    <row r="153" spans="1:2">
      <c r="A153" s="15">
        <f t="shared" si="2"/>
        <v>44525</v>
      </c>
      <c r="B153" s="10">
        <v>7.8789999999999996</v>
      </c>
    </row>
    <row r="154" spans="1:2">
      <c r="A154" s="15">
        <f t="shared" si="2"/>
        <v>44526</v>
      </c>
      <c r="B154" s="10">
        <v>7.8789999999999996</v>
      </c>
    </row>
    <row r="155" spans="1:2">
      <c r="A155" s="15">
        <f t="shared" si="2"/>
        <v>44527</v>
      </c>
      <c r="B155" s="10">
        <v>7.8789999999999996</v>
      </c>
    </row>
    <row r="156" spans="1:2">
      <c r="A156" s="15">
        <f t="shared" si="2"/>
        <v>44528</v>
      </c>
      <c r="B156" s="10">
        <v>7.8789999999999996</v>
      </c>
    </row>
    <row r="157" spans="1:2">
      <c r="A157" s="15">
        <f t="shared" si="2"/>
        <v>44529</v>
      </c>
      <c r="B157" s="10">
        <v>7.8789999999999996</v>
      </c>
    </row>
    <row r="158" spans="1:2">
      <c r="A158" s="15">
        <f t="shared" si="2"/>
        <v>44530</v>
      </c>
      <c r="B158" s="10">
        <v>7.8789999999999996</v>
      </c>
    </row>
    <row r="159" spans="1:2">
      <c r="A159" s="15">
        <f t="shared" si="2"/>
        <v>44531</v>
      </c>
      <c r="B159" s="10">
        <v>7.8789999999999996</v>
      </c>
    </row>
    <row r="160" spans="1:2">
      <c r="A160" s="15">
        <f t="shared" si="2"/>
        <v>44532</v>
      </c>
      <c r="B160" s="10">
        <v>7.8789999999999996</v>
      </c>
    </row>
    <row r="161" spans="1:2">
      <c r="A161" s="15">
        <f t="shared" si="2"/>
        <v>44533</v>
      </c>
      <c r="B161" s="10">
        <v>7.8789999999999996</v>
      </c>
    </row>
    <row r="162" spans="1:2">
      <c r="A162" s="15">
        <f t="shared" si="2"/>
        <v>44534</v>
      </c>
      <c r="B162" s="10">
        <v>7.8789999999999996</v>
      </c>
    </row>
    <row r="163" spans="1:2">
      <c r="A163" s="15">
        <f t="shared" si="2"/>
        <v>44535</v>
      </c>
      <c r="B163" s="10">
        <v>7.8789999999999996</v>
      </c>
    </row>
    <row r="164" spans="1:2">
      <c r="A164" s="15">
        <f t="shared" si="2"/>
        <v>44536</v>
      </c>
      <c r="B164" s="10">
        <v>7.8789999999999996</v>
      </c>
    </row>
    <row r="165" spans="1:2">
      <c r="A165" s="15">
        <f t="shared" si="2"/>
        <v>44537</v>
      </c>
      <c r="B165" s="10">
        <v>7.8789999999999996</v>
      </c>
    </row>
    <row r="166" spans="1:2">
      <c r="A166" s="15">
        <f t="shared" si="2"/>
        <v>44538</v>
      </c>
      <c r="B166" s="10">
        <v>7.8789999999999996</v>
      </c>
    </row>
    <row r="167" spans="1:2">
      <c r="A167" s="15">
        <f t="shared" si="2"/>
        <v>44539</v>
      </c>
      <c r="B167" s="10">
        <v>7.8789999999999996</v>
      </c>
    </row>
    <row r="168" spans="1:2">
      <c r="A168" s="15">
        <f t="shared" si="2"/>
        <v>44540</v>
      </c>
      <c r="B168" s="10">
        <v>7.8789999999999996</v>
      </c>
    </row>
    <row r="169" spans="1:2">
      <c r="A169" s="15">
        <f t="shared" si="2"/>
        <v>44541</v>
      </c>
      <c r="B169" s="10">
        <v>7.8789999999999996</v>
      </c>
    </row>
    <row r="170" spans="1:2">
      <c r="A170" s="15">
        <f t="shared" si="2"/>
        <v>44542</v>
      </c>
      <c r="B170" s="10">
        <v>7.8789999999999996</v>
      </c>
    </row>
    <row r="171" spans="1:2">
      <c r="A171" s="15">
        <f t="shared" si="2"/>
        <v>44543</v>
      </c>
      <c r="B171" s="10">
        <v>7.8789999999999996</v>
      </c>
    </row>
    <row r="172" spans="1:2">
      <c r="A172" s="15">
        <f t="shared" si="2"/>
        <v>44544</v>
      </c>
      <c r="B172" s="10">
        <v>7.8789999999999996</v>
      </c>
    </row>
    <row r="173" spans="1:2">
      <c r="A173" s="15">
        <f t="shared" si="2"/>
        <v>44545</v>
      </c>
      <c r="B173" s="10">
        <v>7.8789999999999996</v>
      </c>
    </row>
    <row r="174" spans="1:2">
      <c r="A174" s="15">
        <f t="shared" si="2"/>
        <v>44546</v>
      </c>
      <c r="B174" s="10">
        <v>7.2229999999999999</v>
      </c>
    </row>
    <row r="175" spans="1:2">
      <c r="A175" s="15">
        <f t="shared" si="2"/>
        <v>44547</v>
      </c>
      <c r="B175" s="10">
        <v>7.2229999999999999</v>
      </c>
    </row>
    <row r="176" spans="1:2">
      <c r="A176" s="15">
        <f t="shared" si="2"/>
        <v>44548</v>
      </c>
      <c r="B176" s="10">
        <v>7.2229999999999999</v>
      </c>
    </row>
    <row r="177" spans="1:2">
      <c r="A177" s="15">
        <f t="shared" si="2"/>
        <v>44549</v>
      </c>
      <c r="B177" s="10">
        <v>7.2229999999999999</v>
      </c>
    </row>
    <row r="178" spans="1:2">
      <c r="A178" s="15">
        <f t="shared" si="2"/>
        <v>44550</v>
      </c>
      <c r="B178" s="10">
        <v>7.2229999999999999</v>
      </c>
    </row>
    <row r="179" spans="1:2">
      <c r="A179" s="15">
        <f t="shared" si="2"/>
        <v>44551</v>
      </c>
      <c r="B179" s="10">
        <v>7.2229999999999999</v>
      </c>
    </row>
    <row r="180" spans="1:2">
      <c r="A180" s="15">
        <f t="shared" si="2"/>
        <v>44552</v>
      </c>
      <c r="B180" s="10">
        <v>7.2229999999999999</v>
      </c>
    </row>
    <row r="181" spans="1:2">
      <c r="A181" s="15">
        <f t="shared" si="2"/>
        <v>44553</v>
      </c>
      <c r="B181" s="10">
        <v>7.2229999999999999</v>
      </c>
    </row>
    <row r="182" spans="1:2">
      <c r="A182" s="15">
        <f t="shared" si="2"/>
        <v>44554</v>
      </c>
      <c r="B182" s="10">
        <v>7.2229999999999999</v>
      </c>
    </row>
    <row r="183" spans="1:2">
      <c r="A183" s="15">
        <f t="shared" si="2"/>
        <v>44555</v>
      </c>
      <c r="B183" s="10">
        <v>7.2229999999999999</v>
      </c>
    </row>
    <row r="184" spans="1:2">
      <c r="A184" s="15">
        <f t="shared" si="2"/>
        <v>44556</v>
      </c>
      <c r="B184" s="10">
        <v>7.2229999999999999</v>
      </c>
    </row>
    <row r="185" spans="1:2">
      <c r="A185" s="15">
        <f t="shared" si="2"/>
        <v>44557</v>
      </c>
      <c r="B185" s="10">
        <v>7.2229999999999999</v>
      </c>
    </row>
    <row r="186" spans="1:2">
      <c r="A186" s="15">
        <f t="shared" si="2"/>
        <v>44558</v>
      </c>
      <c r="B186" s="10">
        <v>7.2229999999999999</v>
      </c>
    </row>
    <row r="187" spans="1:2">
      <c r="A187" s="15">
        <f t="shared" si="2"/>
        <v>44559</v>
      </c>
      <c r="B187" s="10">
        <v>7.2229999999999999</v>
      </c>
    </row>
    <row r="188" spans="1:2">
      <c r="A188" s="15">
        <f t="shared" si="2"/>
        <v>44560</v>
      </c>
      <c r="B188" s="10">
        <v>7.2229999999999999</v>
      </c>
    </row>
    <row r="189" spans="1:2">
      <c r="A189" s="15">
        <f t="shared" si="2"/>
        <v>44561</v>
      </c>
      <c r="B189" s="10">
        <v>7.2229999999999999</v>
      </c>
    </row>
    <row r="190" spans="1:2">
      <c r="A190" s="15">
        <f t="shared" si="2"/>
        <v>44562</v>
      </c>
      <c r="B190" s="10">
        <v>8.6669999999999998</v>
      </c>
    </row>
    <row r="191" spans="1:2">
      <c r="A191" s="15">
        <f t="shared" si="2"/>
        <v>44563</v>
      </c>
      <c r="B191" s="10">
        <v>8.6669999999999998</v>
      </c>
    </row>
    <row r="192" spans="1:2">
      <c r="A192" s="15">
        <f t="shared" si="2"/>
        <v>44564</v>
      </c>
      <c r="B192" s="10">
        <v>8.6669999999999998</v>
      </c>
    </row>
    <row r="193" spans="1:2">
      <c r="A193" s="15">
        <f t="shared" si="2"/>
        <v>44565</v>
      </c>
      <c r="B193" s="10">
        <v>8.6669999999999998</v>
      </c>
    </row>
    <row r="194" spans="1:2">
      <c r="A194" s="15">
        <f t="shared" si="2"/>
        <v>44566</v>
      </c>
      <c r="B194" s="10">
        <v>8.6669999999999998</v>
      </c>
    </row>
    <row r="195" spans="1:2">
      <c r="A195" s="15">
        <f t="shared" si="2"/>
        <v>44567</v>
      </c>
      <c r="B195" s="10">
        <v>8.6669999999999998</v>
      </c>
    </row>
    <row r="196" spans="1:2">
      <c r="A196" s="15">
        <f t="shared" si="2"/>
        <v>44568</v>
      </c>
      <c r="B196" s="10">
        <v>8.6669999999999998</v>
      </c>
    </row>
    <row r="197" spans="1:2">
      <c r="A197" s="15">
        <f t="shared" si="2"/>
        <v>44569</v>
      </c>
      <c r="B197" s="10">
        <v>8.6669999999999998</v>
      </c>
    </row>
    <row r="198" spans="1:2">
      <c r="A198" s="15">
        <f t="shared" si="2"/>
        <v>44570</v>
      </c>
      <c r="B198" s="10">
        <v>8.6669999999999998</v>
      </c>
    </row>
    <row r="199" spans="1:2">
      <c r="A199" s="15">
        <f t="shared" si="2"/>
        <v>44571</v>
      </c>
      <c r="B199" s="10">
        <v>8.6669999999999998</v>
      </c>
    </row>
    <row r="200" spans="1:2">
      <c r="A200" s="15">
        <f t="shared" ref="A200:A263" si="3">IF(A199&lt;$B$3,A199+1,IF(A199=$B$3,""))</f>
        <v>44572</v>
      </c>
      <c r="B200" s="10">
        <v>8.6669999999999998</v>
      </c>
    </row>
    <row r="201" spans="1:2">
      <c r="A201" s="15">
        <f t="shared" si="3"/>
        <v>44573</v>
      </c>
      <c r="B201" s="10">
        <v>8.6669999999999998</v>
      </c>
    </row>
    <row r="202" spans="1:2">
      <c r="A202" s="15">
        <f t="shared" si="3"/>
        <v>44574</v>
      </c>
      <c r="B202" s="10">
        <v>8.6669999999999998</v>
      </c>
    </row>
    <row r="203" spans="1:2">
      <c r="A203" s="15">
        <f t="shared" si="3"/>
        <v>44575</v>
      </c>
      <c r="B203" s="10">
        <v>8.6669999999999998</v>
      </c>
    </row>
    <row r="204" spans="1:2">
      <c r="A204" s="15">
        <f t="shared" si="3"/>
        <v>44576</v>
      </c>
      <c r="B204" s="10">
        <v>8.6669999999999998</v>
      </c>
    </row>
    <row r="205" spans="1:2">
      <c r="A205" s="15">
        <f t="shared" si="3"/>
        <v>44577</v>
      </c>
      <c r="B205" s="10">
        <v>7.8789999999999996</v>
      </c>
    </row>
    <row r="206" spans="1:2">
      <c r="A206" s="15">
        <f t="shared" si="3"/>
        <v>44578</v>
      </c>
      <c r="B206" s="10">
        <v>7.8789999999999996</v>
      </c>
    </row>
    <row r="207" spans="1:2">
      <c r="A207" s="15">
        <f t="shared" si="3"/>
        <v>44579</v>
      </c>
      <c r="B207" s="10">
        <v>7.8789999999999996</v>
      </c>
    </row>
    <row r="208" spans="1:2">
      <c r="A208" s="15">
        <f t="shared" si="3"/>
        <v>44580</v>
      </c>
      <c r="B208" s="10">
        <v>7.8789999999999996</v>
      </c>
    </row>
    <row r="209" spans="1:2">
      <c r="A209" s="15">
        <f t="shared" si="3"/>
        <v>44581</v>
      </c>
      <c r="B209" s="10">
        <v>7.8789999999999996</v>
      </c>
    </row>
    <row r="210" spans="1:2">
      <c r="A210" s="15">
        <f t="shared" si="3"/>
        <v>44582</v>
      </c>
      <c r="B210" s="10">
        <v>7.8789999999999996</v>
      </c>
    </row>
    <row r="211" spans="1:2">
      <c r="A211" s="15">
        <f t="shared" si="3"/>
        <v>44583</v>
      </c>
      <c r="B211" s="10">
        <v>7.8789999999999996</v>
      </c>
    </row>
    <row r="212" spans="1:2">
      <c r="A212" s="15">
        <f t="shared" si="3"/>
        <v>44584</v>
      </c>
      <c r="B212" s="10">
        <v>7.8789999999999996</v>
      </c>
    </row>
    <row r="213" spans="1:2">
      <c r="A213" s="15">
        <f t="shared" si="3"/>
        <v>44585</v>
      </c>
      <c r="B213" s="10">
        <v>7.8789999999999996</v>
      </c>
    </row>
    <row r="214" spans="1:2">
      <c r="A214" s="15">
        <f t="shared" si="3"/>
        <v>44586</v>
      </c>
      <c r="B214" s="10">
        <v>7.8789999999999996</v>
      </c>
    </row>
    <row r="215" spans="1:2">
      <c r="A215" s="15">
        <f t="shared" si="3"/>
        <v>44587</v>
      </c>
      <c r="B215" s="10">
        <v>7.8789999999999996</v>
      </c>
    </row>
    <row r="216" spans="1:2">
      <c r="A216" s="15">
        <f t="shared" si="3"/>
        <v>44588</v>
      </c>
      <c r="B216" s="10">
        <v>7.8789999999999996</v>
      </c>
    </row>
    <row r="217" spans="1:2">
      <c r="A217" s="15">
        <f t="shared" si="3"/>
        <v>44589</v>
      </c>
      <c r="B217" s="10">
        <v>7.8789999999999996</v>
      </c>
    </row>
    <row r="218" spans="1:2">
      <c r="A218" s="15">
        <f t="shared" si="3"/>
        <v>44590</v>
      </c>
      <c r="B218" s="10">
        <v>7.8789999999999996</v>
      </c>
    </row>
    <row r="219" spans="1:2">
      <c r="A219" s="15">
        <f t="shared" si="3"/>
        <v>44591</v>
      </c>
      <c r="B219" s="10">
        <v>7.8789999999999996</v>
      </c>
    </row>
    <row r="220" spans="1:2">
      <c r="A220" s="15">
        <f t="shared" si="3"/>
        <v>44592</v>
      </c>
      <c r="B220" s="10">
        <v>7.8789999999999996</v>
      </c>
    </row>
    <row r="221" spans="1:2">
      <c r="A221" s="15">
        <f t="shared" si="3"/>
        <v>44593</v>
      </c>
      <c r="B221" s="10">
        <v>7.8789999999999996</v>
      </c>
    </row>
    <row r="222" spans="1:2">
      <c r="A222" s="15">
        <f t="shared" si="3"/>
        <v>44594</v>
      </c>
      <c r="B222" s="10">
        <v>7.8789999999999996</v>
      </c>
    </row>
    <row r="223" spans="1:2">
      <c r="A223" s="15">
        <f t="shared" si="3"/>
        <v>44595</v>
      </c>
      <c r="B223" s="10">
        <v>7.8789999999999996</v>
      </c>
    </row>
    <row r="224" spans="1:2">
      <c r="A224" s="15">
        <f t="shared" si="3"/>
        <v>44596</v>
      </c>
      <c r="B224" s="10">
        <v>7.8789999999999996</v>
      </c>
    </row>
    <row r="225" spans="1:2">
      <c r="A225" s="15">
        <f t="shared" si="3"/>
        <v>44597</v>
      </c>
      <c r="B225" s="10">
        <v>7.8789999999999996</v>
      </c>
    </row>
    <row r="226" spans="1:2">
      <c r="A226" s="15">
        <f t="shared" si="3"/>
        <v>44598</v>
      </c>
      <c r="B226" s="10">
        <v>7.8789999999999996</v>
      </c>
    </row>
    <row r="227" spans="1:2">
      <c r="A227" s="15">
        <f t="shared" si="3"/>
        <v>44599</v>
      </c>
      <c r="B227" s="10">
        <v>7.8789999999999996</v>
      </c>
    </row>
    <row r="228" spans="1:2">
      <c r="A228" s="15">
        <f t="shared" si="3"/>
        <v>44600</v>
      </c>
      <c r="B228" s="10">
        <v>7.8789999999999996</v>
      </c>
    </row>
    <row r="229" spans="1:2">
      <c r="A229" s="15">
        <f t="shared" si="3"/>
        <v>44601</v>
      </c>
      <c r="B229" s="10">
        <v>7.8789999999999996</v>
      </c>
    </row>
    <row r="230" spans="1:2">
      <c r="A230" s="15">
        <f t="shared" si="3"/>
        <v>44602</v>
      </c>
      <c r="B230" s="10">
        <v>7.8789999999999996</v>
      </c>
    </row>
    <row r="231" spans="1:2">
      <c r="A231" s="15">
        <f t="shared" si="3"/>
        <v>44603</v>
      </c>
      <c r="B231" s="10">
        <v>7.8789999999999996</v>
      </c>
    </row>
    <row r="232" spans="1:2">
      <c r="A232" s="15">
        <f t="shared" si="3"/>
        <v>44604</v>
      </c>
      <c r="B232" s="10">
        <v>7.8789999999999996</v>
      </c>
    </row>
    <row r="233" spans="1:2">
      <c r="A233" s="15">
        <f t="shared" si="3"/>
        <v>44605</v>
      </c>
      <c r="B233" s="10">
        <v>7.8789999999999996</v>
      </c>
    </row>
    <row r="234" spans="1:2">
      <c r="A234" s="15">
        <f t="shared" si="3"/>
        <v>44606</v>
      </c>
      <c r="B234" s="10">
        <v>7.8789999999999996</v>
      </c>
    </row>
    <row r="235" spans="1:2">
      <c r="A235" s="15">
        <f t="shared" si="3"/>
        <v>44607</v>
      </c>
      <c r="B235" s="10">
        <v>7.8789999999999996</v>
      </c>
    </row>
    <row r="236" spans="1:2">
      <c r="A236" s="15">
        <f t="shared" si="3"/>
        <v>44608</v>
      </c>
      <c r="B236" s="10">
        <v>9.6300000000000008</v>
      </c>
    </row>
    <row r="237" spans="1:2">
      <c r="A237" s="15">
        <f t="shared" si="3"/>
        <v>44609</v>
      </c>
      <c r="B237" s="10">
        <v>9.6300000000000008</v>
      </c>
    </row>
    <row r="238" spans="1:2">
      <c r="A238" s="15">
        <f t="shared" si="3"/>
        <v>44610</v>
      </c>
      <c r="B238" s="10">
        <v>9.6300000000000008</v>
      </c>
    </row>
    <row r="239" spans="1:2">
      <c r="A239" s="15">
        <f t="shared" si="3"/>
        <v>44611</v>
      </c>
      <c r="B239" s="10">
        <v>9.6300000000000008</v>
      </c>
    </row>
    <row r="240" spans="1:2">
      <c r="A240" s="15">
        <f t="shared" si="3"/>
        <v>44612</v>
      </c>
      <c r="B240" s="10">
        <v>9.6300000000000008</v>
      </c>
    </row>
    <row r="241" spans="1:2">
      <c r="A241" s="15">
        <f t="shared" si="3"/>
        <v>44613</v>
      </c>
      <c r="B241" s="10">
        <v>9.6300000000000008</v>
      </c>
    </row>
    <row r="242" spans="1:2">
      <c r="A242" s="15">
        <f t="shared" si="3"/>
        <v>44614</v>
      </c>
      <c r="B242" s="10">
        <v>9.6300000000000008</v>
      </c>
    </row>
    <row r="243" spans="1:2">
      <c r="A243" s="15">
        <f t="shared" si="3"/>
        <v>44615</v>
      </c>
      <c r="B243" s="10">
        <v>9.6300000000000008</v>
      </c>
    </row>
    <row r="244" spans="1:2">
      <c r="A244" s="15">
        <f t="shared" si="3"/>
        <v>44616</v>
      </c>
      <c r="B244" s="10">
        <v>9.6300000000000008</v>
      </c>
    </row>
    <row r="245" spans="1:2">
      <c r="A245" s="15">
        <f t="shared" si="3"/>
        <v>44617</v>
      </c>
      <c r="B245" s="10">
        <v>9.6300000000000008</v>
      </c>
    </row>
    <row r="246" spans="1:2">
      <c r="A246" s="15">
        <f t="shared" si="3"/>
        <v>44618</v>
      </c>
      <c r="B246" s="10">
        <v>9.6300000000000008</v>
      </c>
    </row>
    <row r="247" spans="1:2">
      <c r="A247" s="15">
        <f t="shared" si="3"/>
        <v>44619</v>
      </c>
      <c r="B247" s="10">
        <v>9.6300000000000008</v>
      </c>
    </row>
    <row r="248" spans="1:2">
      <c r="A248" s="15">
        <f t="shared" si="3"/>
        <v>44620</v>
      </c>
      <c r="B248" s="10">
        <v>9.6300000000000008</v>
      </c>
    </row>
    <row r="249" spans="1:2">
      <c r="A249" s="15">
        <f t="shared" si="3"/>
        <v>44621</v>
      </c>
      <c r="B249" s="10">
        <v>7.8789999999999996</v>
      </c>
    </row>
    <row r="250" spans="1:2">
      <c r="A250" s="15">
        <f t="shared" si="3"/>
        <v>44622</v>
      </c>
      <c r="B250" s="10">
        <v>7.8789999999999996</v>
      </c>
    </row>
    <row r="251" spans="1:2">
      <c r="A251" s="15">
        <f t="shared" si="3"/>
        <v>44623</v>
      </c>
      <c r="B251" s="10">
        <v>7.8789999999999996</v>
      </c>
    </row>
    <row r="252" spans="1:2">
      <c r="A252" s="15">
        <f t="shared" si="3"/>
        <v>44624</v>
      </c>
      <c r="B252" s="10">
        <v>7.8789999999999996</v>
      </c>
    </row>
    <row r="253" spans="1:2">
      <c r="A253" s="15">
        <f t="shared" si="3"/>
        <v>44625</v>
      </c>
      <c r="B253" s="10">
        <v>7.8789999999999996</v>
      </c>
    </row>
    <row r="254" spans="1:2">
      <c r="A254" s="15">
        <f t="shared" si="3"/>
        <v>44626</v>
      </c>
      <c r="B254" s="10">
        <v>7.8789999999999996</v>
      </c>
    </row>
    <row r="255" spans="1:2">
      <c r="A255" s="15">
        <f t="shared" si="3"/>
        <v>44627</v>
      </c>
      <c r="B255" s="10">
        <v>7.8789999999999996</v>
      </c>
    </row>
    <row r="256" spans="1:2">
      <c r="A256" s="15">
        <f t="shared" si="3"/>
        <v>44628</v>
      </c>
      <c r="B256" s="10">
        <v>7.8789999999999996</v>
      </c>
    </row>
    <row r="257" spans="1:2">
      <c r="A257" s="15">
        <f t="shared" si="3"/>
        <v>44629</v>
      </c>
      <c r="B257" s="10">
        <v>7.8789999999999996</v>
      </c>
    </row>
    <row r="258" spans="1:2">
      <c r="A258" s="15">
        <f t="shared" si="3"/>
        <v>44630</v>
      </c>
      <c r="B258" s="10">
        <v>7.8789999999999996</v>
      </c>
    </row>
    <row r="259" spans="1:2">
      <c r="A259" s="15">
        <f t="shared" si="3"/>
        <v>44631</v>
      </c>
      <c r="B259" s="10">
        <v>7.8789999999999996</v>
      </c>
    </row>
    <row r="260" spans="1:2">
      <c r="A260" s="15">
        <f t="shared" si="3"/>
        <v>44632</v>
      </c>
      <c r="B260" s="10">
        <v>7.8789999999999996</v>
      </c>
    </row>
    <row r="261" spans="1:2">
      <c r="A261" s="15">
        <f t="shared" si="3"/>
        <v>44633</v>
      </c>
      <c r="B261" s="10">
        <v>7.8789999999999996</v>
      </c>
    </row>
    <row r="262" spans="1:2">
      <c r="A262" s="15">
        <f t="shared" si="3"/>
        <v>44634</v>
      </c>
      <c r="B262" s="10">
        <v>7.8789999999999996</v>
      </c>
    </row>
    <row r="263" spans="1:2">
      <c r="A263" s="15">
        <f t="shared" si="3"/>
        <v>44635</v>
      </c>
      <c r="B263" s="10">
        <v>7.8789999999999996</v>
      </c>
    </row>
    <row r="264" spans="1:2">
      <c r="A264" s="15">
        <f t="shared" ref="A264:A327" si="4">IF(A263&lt;$B$3,A263+1,IF(A263=$B$3,""))</f>
        <v>44636</v>
      </c>
      <c r="B264" s="10">
        <v>7.2229999999999999</v>
      </c>
    </row>
    <row r="265" spans="1:2">
      <c r="A265" s="15">
        <f t="shared" si="4"/>
        <v>44637</v>
      </c>
      <c r="B265" s="10">
        <v>7.2229999999999999</v>
      </c>
    </row>
    <row r="266" spans="1:2">
      <c r="A266" s="15">
        <f t="shared" si="4"/>
        <v>44638</v>
      </c>
      <c r="B266" s="10">
        <v>7.2229999999999999</v>
      </c>
    </row>
    <row r="267" spans="1:2">
      <c r="A267" s="15">
        <f t="shared" si="4"/>
        <v>44639</v>
      </c>
      <c r="B267" s="10">
        <v>7.2229999999999999</v>
      </c>
    </row>
    <row r="268" spans="1:2">
      <c r="A268" s="15">
        <f t="shared" si="4"/>
        <v>44640</v>
      </c>
      <c r="B268" s="10">
        <v>7.2229999999999999</v>
      </c>
    </row>
    <row r="269" spans="1:2">
      <c r="A269" s="15">
        <f t="shared" si="4"/>
        <v>44641</v>
      </c>
      <c r="B269" s="10">
        <v>7.2229999999999999</v>
      </c>
    </row>
    <row r="270" spans="1:2">
      <c r="A270" s="15">
        <f t="shared" si="4"/>
        <v>44642</v>
      </c>
      <c r="B270" s="10">
        <v>7.2229999999999999</v>
      </c>
    </row>
    <row r="271" spans="1:2">
      <c r="A271" s="15">
        <f t="shared" si="4"/>
        <v>44643</v>
      </c>
      <c r="B271" s="10">
        <v>7.2229999999999999</v>
      </c>
    </row>
    <row r="272" spans="1:2">
      <c r="A272" s="15">
        <f t="shared" si="4"/>
        <v>44644</v>
      </c>
      <c r="B272" s="10">
        <v>7.2229999999999999</v>
      </c>
    </row>
    <row r="273" spans="1:2">
      <c r="A273" s="15">
        <f t="shared" si="4"/>
        <v>44645</v>
      </c>
      <c r="B273" s="10">
        <v>7.2229999999999999</v>
      </c>
    </row>
    <row r="274" spans="1:2">
      <c r="A274" s="15">
        <f t="shared" si="4"/>
        <v>44646</v>
      </c>
      <c r="B274" s="10">
        <v>7.2229999999999999</v>
      </c>
    </row>
    <row r="275" spans="1:2">
      <c r="A275" s="15">
        <f t="shared" si="4"/>
        <v>44647</v>
      </c>
      <c r="B275" s="10">
        <v>7.2229999999999999</v>
      </c>
    </row>
    <row r="276" spans="1:2">
      <c r="A276" s="15">
        <f t="shared" si="4"/>
        <v>44648</v>
      </c>
      <c r="B276" s="10">
        <v>7.2229999999999999</v>
      </c>
    </row>
    <row r="277" spans="1:2">
      <c r="A277" s="15">
        <f t="shared" si="4"/>
        <v>44649</v>
      </c>
      <c r="B277" s="10">
        <v>7.2229999999999999</v>
      </c>
    </row>
    <row r="278" spans="1:2">
      <c r="A278" s="15">
        <f t="shared" si="4"/>
        <v>44650</v>
      </c>
      <c r="B278" s="10">
        <v>7.2229999999999999</v>
      </c>
    </row>
    <row r="279" spans="1:2">
      <c r="A279" s="15">
        <f t="shared" si="4"/>
        <v>44651</v>
      </c>
      <c r="B279" s="10">
        <v>7.2229999999999999</v>
      </c>
    </row>
    <row r="280" spans="1:2">
      <c r="A280" s="15">
        <f t="shared" si="4"/>
        <v>44652</v>
      </c>
      <c r="B280" s="10">
        <v>7.8789999999999996</v>
      </c>
    </row>
    <row r="281" spans="1:2">
      <c r="A281" s="15">
        <f t="shared" si="4"/>
        <v>44653</v>
      </c>
      <c r="B281" s="10">
        <v>7.8789999999999996</v>
      </c>
    </row>
    <row r="282" spans="1:2">
      <c r="A282" s="15">
        <f t="shared" si="4"/>
        <v>44654</v>
      </c>
      <c r="B282" s="10">
        <v>7.8789999999999996</v>
      </c>
    </row>
    <row r="283" spans="1:2">
      <c r="A283" s="15">
        <f t="shared" si="4"/>
        <v>44655</v>
      </c>
      <c r="B283" s="10">
        <v>7.8789999999999996</v>
      </c>
    </row>
    <row r="284" spans="1:2">
      <c r="A284" s="15">
        <f t="shared" si="4"/>
        <v>44656</v>
      </c>
      <c r="B284" s="10">
        <v>7.8789999999999996</v>
      </c>
    </row>
    <row r="285" spans="1:2">
      <c r="A285" s="15">
        <f t="shared" si="4"/>
        <v>44657</v>
      </c>
      <c r="B285" s="10">
        <v>7.8789999999999996</v>
      </c>
    </row>
    <row r="286" spans="1:2">
      <c r="A286" s="15">
        <f t="shared" si="4"/>
        <v>44658</v>
      </c>
      <c r="B286" s="10">
        <v>7.8789999999999996</v>
      </c>
    </row>
    <row r="287" spans="1:2">
      <c r="A287" s="15">
        <f t="shared" si="4"/>
        <v>44659</v>
      </c>
      <c r="B287" s="10">
        <v>7.8789999999999996</v>
      </c>
    </row>
    <row r="288" spans="1:2">
      <c r="A288" s="15">
        <f t="shared" si="4"/>
        <v>44660</v>
      </c>
      <c r="B288" s="10">
        <v>7.8789999999999996</v>
      </c>
    </row>
    <row r="289" spans="1:2">
      <c r="A289" s="15">
        <f t="shared" si="4"/>
        <v>44661</v>
      </c>
      <c r="B289" s="10">
        <v>7.8789999999999996</v>
      </c>
    </row>
    <row r="290" spans="1:2">
      <c r="A290" s="15">
        <f t="shared" si="4"/>
        <v>44662</v>
      </c>
      <c r="B290" s="10">
        <v>7.8789999999999996</v>
      </c>
    </row>
    <row r="291" spans="1:2">
      <c r="A291" s="15">
        <f t="shared" si="4"/>
        <v>44663</v>
      </c>
      <c r="B291" s="10">
        <v>7.8789999999999996</v>
      </c>
    </row>
    <row r="292" spans="1:2">
      <c r="A292" s="15">
        <f t="shared" si="4"/>
        <v>44664</v>
      </c>
      <c r="B292" s="10">
        <v>7.8789999999999996</v>
      </c>
    </row>
    <row r="293" spans="1:2">
      <c r="A293" s="15">
        <f t="shared" si="4"/>
        <v>44665</v>
      </c>
      <c r="B293" s="10">
        <v>7.8789999999999996</v>
      </c>
    </row>
    <row r="294" spans="1:2">
      <c r="A294" s="15">
        <f t="shared" si="4"/>
        <v>44666</v>
      </c>
      <c r="B294" s="10">
        <v>7.8789999999999996</v>
      </c>
    </row>
    <row r="295" spans="1:2">
      <c r="A295" s="15">
        <f t="shared" si="4"/>
        <v>44667</v>
      </c>
      <c r="B295" s="10">
        <v>8.6669999999999998</v>
      </c>
    </row>
    <row r="296" spans="1:2">
      <c r="A296" s="15">
        <f t="shared" si="4"/>
        <v>44668</v>
      </c>
      <c r="B296" s="10">
        <v>8.6669999999999998</v>
      </c>
    </row>
    <row r="297" spans="1:2">
      <c r="A297" s="15">
        <f t="shared" si="4"/>
        <v>44669</v>
      </c>
      <c r="B297" s="10">
        <v>8.6669999999999998</v>
      </c>
    </row>
    <row r="298" spans="1:2">
      <c r="A298" s="15">
        <f t="shared" si="4"/>
        <v>44670</v>
      </c>
      <c r="B298" s="10">
        <v>8.6669999999999998</v>
      </c>
    </row>
    <row r="299" spans="1:2">
      <c r="A299" s="15">
        <f t="shared" si="4"/>
        <v>44671</v>
      </c>
      <c r="B299" s="10">
        <v>8.6669999999999998</v>
      </c>
    </row>
    <row r="300" spans="1:2">
      <c r="A300" s="15">
        <f t="shared" si="4"/>
        <v>44672</v>
      </c>
      <c r="B300" s="10">
        <v>8.6669999999999998</v>
      </c>
    </row>
    <row r="301" spans="1:2">
      <c r="A301" s="15">
        <f t="shared" si="4"/>
        <v>44673</v>
      </c>
      <c r="B301" s="10">
        <v>8.6669999999999998</v>
      </c>
    </row>
    <row r="302" spans="1:2">
      <c r="A302" s="15">
        <f t="shared" si="4"/>
        <v>44674</v>
      </c>
      <c r="B302" s="10">
        <v>8.6669999999999998</v>
      </c>
    </row>
    <row r="303" spans="1:2">
      <c r="A303" s="15">
        <f t="shared" si="4"/>
        <v>44675</v>
      </c>
      <c r="B303" s="10">
        <v>8.6669999999999998</v>
      </c>
    </row>
    <row r="304" spans="1:2">
      <c r="A304" s="15">
        <f t="shared" si="4"/>
        <v>44676</v>
      </c>
      <c r="B304" s="10">
        <v>8.6669999999999998</v>
      </c>
    </row>
    <row r="305" spans="1:2">
      <c r="A305" s="15">
        <f t="shared" si="4"/>
        <v>44677</v>
      </c>
      <c r="B305" s="10">
        <v>8.6669999999999998</v>
      </c>
    </row>
    <row r="306" spans="1:2">
      <c r="A306" s="15">
        <f t="shared" si="4"/>
        <v>44678</v>
      </c>
      <c r="B306" s="10">
        <v>8.6669999999999998</v>
      </c>
    </row>
    <row r="307" spans="1:2">
      <c r="A307" s="15">
        <f t="shared" si="4"/>
        <v>44679</v>
      </c>
      <c r="B307" s="10">
        <v>8.6669999999999998</v>
      </c>
    </row>
    <row r="308" spans="1:2">
      <c r="A308" s="15">
        <f t="shared" si="4"/>
        <v>44680</v>
      </c>
      <c r="B308" s="10">
        <v>8.6669999999999998</v>
      </c>
    </row>
    <row r="309" spans="1:2">
      <c r="A309" s="15">
        <f t="shared" si="4"/>
        <v>44681</v>
      </c>
      <c r="B309" s="10">
        <v>8.6669999999999998</v>
      </c>
    </row>
    <row r="310" spans="1:2">
      <c r="A310" s="15">
        <f t="shared" si="4"/>
        <v>44682</v>
      </c>
      <c r="B310" s="10">
        <v>8.6669999999999998</v>
      </c>
    </row>
    <row r="311" spans="1:2">
      <c r="A311" s="15">
        <f t="shared" si="4"/>
        <v>44683</v>
      </c>
      <c r="B311" s="10">
        <v>8.6669999999999998</v>
      </c>
    </row>
    <row r="312" spans="1:2">
      <c r="A312" s="15">
        <f t="shared" si="4"/>
        <v>44684</v>
      </c>
      <c r="B312" s="10">
        <v>8.6669999999999998</v>
      </c>
    </row>
    <row r="313" spans="1:2">
      <c r="A313" s="15">
        <f t="shared" si="4"/>
        <v>44685</v>
      </c>
      <c r="B313" s="10">
        <v>8.6669999999999998</v>
      </c>
    </row>
    <row r="314" spans="1:2">
      <c r="A314" s="15">
        <f t="shared" si="4"/>
        <v>44686</v>
      </c>
      <c r="B314" s="10">
        <v>8.6669999999999998</v>
      </c>
    </row>
    <row r="315" spans="1:2">
      <c r="A315" s="15">
        <f t="shared" si="4"/>
        <v>44687</v>
      </c>
      <c r="B315" s="10">
        <v>8.6669999999999998</v>
      </c>
    </row>
    <row r="316" spans="1:2">
      <c r="A316" s="15">
        <f t="shared" si="4"/>
        <v>44688</v>
      </c>
      <c r="B316" s="10">
        <v>8.6669999999999998</v>
      </c>
    </row>
    <row r="317" spans="1:2">
      <c r="A317" s="15">
        <f t="shared" si="4"/>
        <v>44689</v>
      </c>
      <c r="B317" s="10">
        <v>8.6669999999999998</v>
      </c>
    </row>
    <row r="318" spans="1:2">
      <c r="A318" s="15">
        <f t="shared" si="4"/>
        <v>44690</v>
      </c>
      <c r="B318" s="10">
        <v>8.6669999999999998</v>
      </c>
    </row>
    <row r="319" spans="1:2">
      <c r="A319" s="15">
        <f t="shared" si="4"/>
        <v>44691</v>
      </c>
      <c r="B319" s="10">
        <v>8.6669999999999998</v>
      </c>
    </row>
    <row r="320" spans="1:2">
      <c r="A320" s="15">
        <f t="shared" si="4"/>
        <v>44692</v>
      </c>
      <c r="B320" s="10">
        <v>8.6669999999999998</v>
      </c>
    </row>
    <row r="321" spans="1:2">
      <c r="A321" s="15">
        <f t="shared" si="4"/>
        <v>44693</v>
      </c>
      <c r="B321" s="10">
        <v>8.6669999999999998</v>
      </c>
    </row>
    <row r="322" spans="1:2">
      <c r="A322" s="15">
        <f t="shared" si="4"/>
        <v>44694</v>
      </c>
      <c r="B322" s="10">
        <v>8.6669999999999998</v>
      </c>
    </row>
    <row r="323" spans="1:2">
      <c r="A323" s="15">
        <f t="shared" si="4"/>
        <v>44695</v>
      </c>
      <c r="B323" s="10">
        <v>8.6669999999999998</v>
      </c>
    </row>
    <row r="324" spans="1:2">
      <c r="A324" s="15">
        <f t="shared" si="4"/>
        <v>44696</v>
      </c>
      <c r="B324" s="10">
        <v>8.6669999999999998</v>
      </c>
    </row>
    <row r="325" spans="1:2">
      <c r="A325" s="15">
        <f t="shared" si="4"/>
        <v>44697</v>
      </c>
      <c r="B325" s="10">
        <v>7.2229999999999999</v>
      </c>
    </row>
    <row r="326" spans="1:2">
      <c r="A326" s="15">
        <f t="shared" si="4"/>
        <v>44698</v>
      </c>
      <c r="B326" s="10">
        <v>7.2229999999999999</v>
      </c>
    </row>
    <row r="327" spans="1:2">
      <c r="A327" s="15">
        <f t="shared" si="4"/>
        <v>44699</v>
      </c>
      <c r="B327" s="10">
        <v>7.2229999999999999</v>
      </c>
    </row>
    <row r="328" spans="1:2">
      <c r="A328" s="15">
        <f t="shared" ref="A328:A374" si="5">IF(A327&lt;$B$3,A327+1,IF(A327=$B$3,""))</f>
        <v>44700</v>
      </c>
      <c r="B328" s="10">
        <v>7.2229999999999999</v>
      </c>
    </row>
    <row r="329" spans="1:2">
      <c r="A329" s="15">
        <f t="shared" si="5"/>
        <v>44701</v>
      </c>
      <c r="B329" s="10">
        <v>7.2229999999999999</v>
      </c>
    </row>
    <row r="330" spans="1:2">
      <c r="A330" s="15">
        <f t="shared" si="5"/>
        <v>44702</v>
      </c>
      <c r="B330" s="10">
        <v>7.2229999999999999</v>
      </c>
    </row>
    <row r="331" spans="1:2">
      <c r="A331" s="15">
        <f t="shared" si="5"/>
        <v>44703</v>
      </c>
      <c r="B331" s="10">
        <v>7.23</v>
      </c>
    </row>
    <row r="332" spans="1:2">
      <c r="A332" s="15">
        <f t="shared" si="5"/>
        <v>44704</v>
      </c>
      <c r="B332" s="10">
        <v>7.2229999999999999</v>
      </c>
    </row>
    <row r="333" spans="1:2">
      <c r="A333" s="15">
        <f t="shared" si="5"/>
        <v>44705</v>
      </c>
      <c r="B333" s="10">
        <v>7.2229999999999999</v>
      </c>
    </row>
    <row r="334" spans="1:2">
      <c r="A334" s="15">
        <f t="shared" si="5"/>
        <v>44706</v>
      </c>
      <c r="B334" s="10">
        <v>7.2229999999999999</v>
      </c>
    </row>
    <row r="335" spans="1:2">
      <c r="A335" s="15">
        <f t="shared" si="5"/>
        <v>44707</v>
      </c>
      <c r="B335" s="10">
        <v>7.2229999999999999</v>
      </c>
    </row>
    <row r="336" spans="1:2">
      <c r="A336" s="15">
        <f t="shared" si="5"/>
        <v>44708</v>
      </c>
      <c r="B336" s="10">
        <v>7.2229999999999999</v>
      </c>
    </row>
    <row r="337" spans="1:2">
      <c r="A337" s="15">
        <f t="shared" si="5"/>
        <v>44709</v>
      </c>
      <c r="B337" s="10">
        <v>7.2229999999999999</v>
      </c>
    </row>
    <row r="338" spans="1:2">
      <c r="A338" s="15">
        <f t="shared" si="5"/>
        <v>44710</v>
      </c>
      <c r="B338" s="10">
        <v>7.2229999999999999</v>
      </c>
    </row>
    <row r="339" spans="1:2">
      <c r="A339" s="15">
        <f t="shared" si="5"/>
        <v>44711</v>
      </c>
      <c r="B339" s="10">
        <v>7.2229999999999999</v>
      </c>
    </row>
    <row r="340" spans="1:2">
      <c r="A340" s="15">
        <f t="shared" si="5"/>
        <v>44712</v>
      </c>
      <c r="B340" s="10">
        <v>7.2229999999999999</v>
      </c>
    </row>
    <row r="341" spans="1:2">
      <c r="A341" s="15">
        <f t="shared" si="5"/>
        <v>44713</v>
      </c>
      <c r="B341" s="10">
        <v>7.8789999999999996</v>
      </c>
    </row>
    <row r="342" spans="1:2">
      <c r="A342" s="15">
        <f t="shared" si="5"/>
        <v>44714</v>
      </c>
      <c r="B342" s="10">
        <v>7.8789999999999996</v>
      </c>
    </row>
    <row r="343" spans="1:2">
      <c r="A343" s="15">
        <f t="shared" si="5"/>
        <v>44715</v>
      </c>
      <c r="B343" s="10">
        <v>7.8789999999999996</v>
      </c>
    </row>
    <row r="344" spans="1:2">
      <c r="A344" s="15">
        <f t="shared" si="5"/>
        <v>44716</v>
      </c>
      <c r="B344" s="10">
        <v>7.8789999999999996</v>
      </c>
    </row>
    <row r="345" spans="1:2">
      <c r="A345" s="15">
        <f t="shared" si="5"/>
        <v>44717</v>
      </c>
      <c r="B345" s="10">
        <v>7.8789999999999996</v>
      </c>
    </row>
    <row r="346" spans="1:2">
      <c r="A346" s="15">
        <f t="shared" si="5"/>
        <v>44718</v>
      </c>
      <c r="B346" s="10">
        <v>7.8789999999999996</v>
      </c>
    </row>
    <row r="347" spans="1:2">
      <c r="A347" s="15">
        <f t="shared" si="5"/>
        <v>44719</v>
      </c>
      <c r="B347" s="10">
        <v>7.8789999999999996</v>
      </c>
    </row>
    <row r="348" spans="1:2">
      <c r="A348" s="15">
        <f t="shared" si="5"/>
        <v>44720</v>
      </c>
      <c r="B348" s="10">
        <v>7.8789999999999996</v>
      </c>
    </row>
    <row r="349" spans="1:2">
      <c r="A349" s="15">
        <f t="shared" si="5"/>
        <v>44721</v>
      </c>
      <c r="B349" s="10">
        <v>7.8789999999999996</v>
      </c>
    </row>
    <row r="350" spans="1:2">
      <c r="A350" s="15">
        <f t="shared" si="5"/>
        <v>44722</v>
      </c>
      <c r="B350" s="10">
        <v>7.8789999999999996</v>
      </c>
    </row>
    <row r="351" spans="1:2">
      <c r="A351" s="15">
        <f t="shared" si="5"/>
        <v>44723</v>
      </c>
      <c r="B351" s="10">
        <v>7.8789999999999996</v>
      </c>
    </row>
    <row r="352" spans="1:2">
      <c r="A352" s="15">
        <f t="shared" si="5"/>
        <v>44724</v>
      </c>
      <c r="B352" s="10">
        <v>7.8789999999999996</v>
      </c>
    </row>
    <row r="353" spans="1:2">
      <c r="A353" s="15">
        <f t="shared" si="5"/>
        <v>44725</v>
      </c>
      <c r="B353" s="10">
        <v>7.8789999999999996</v>
      </c>
    </row>
    <row r="354" spans="1:2">
      <c r="A354" s="15">
        <f t="shared" si="5"/>
        <v>44726</v>
      </c>
      <c r="B354" s="10">
        <v>7.8789999999999996</v>
      </c>
    </row>
    <row r="355" spans="1:2">
      <c r="A355" s="15">
        <f t="shared" si="5"/>
        <v>44727</v>
      </c>
      <c r="B355" s="10">
        <v>7.8789999999999996</v>
      </c>
    </row>
    <row r="356" spans="1:2">
      <c r="A356" s="15">
        <f t="shared" si="5"/>
        <v>44728</v>
      </c>
      <c r="B356" s="10">
        <v>7.8789999999999996</v>
      </c>
    </row>
    <row r="357" spans="1:2">
      <c r="A357" s="15">
        <f t="shared" si="5"/>
        <v>44729</v>
      </c>
      <c r="B357" s="10">
        <v>7.8789999999999996</v>
      </c>
    </row>
    <row r="358" spans="1:2">
      <c r="A358" s="15">
        <f t="shared" si="5"/>
        <v>44730</v>
      </c>
      <c r="B358" s="10">
        <v>7.8789999999999996</v>
      </c>
    </row>
    <row r="359" spans="1:2">
      <c r="A359" s="15">
        <f t="shared" si="5"/>
        <v>44731</v>
      </c>
      <c r="B359" s="10">
        <v>7.8789999999999996</v>
      </c>
    </row>
    <row r="360" spans="1:2">
      <c r="A360" s="15">
        <f t="shared" si="5"/>
        <v>44732</v>
      </c>
      <c r="B360" s="10">
        <v>7.8789999999999996</v>
      </c>
    </row>
    <row r="361" spans="1:2">
      <c r="A361" s="15">
        <f t="shared" si="5"/>
        <v>44733</v>
      </c>
      <c r="B361" s="10">
        <v>7.8789999999999996</v>
      </c>
    </row>
    <row r="362" spans="1:2">
      <c r="A362" s="15">
        <f t="shared" si="5"/>
        <v>44734</v>
      </c>
      <c r="B362" s="10">
        <v>7.8789999999999996</v>
      </c>
    </row>
    <row r="363" spans="1:2">
      <c r="A363" s="15">
        <f t="shared" si="5"/>
        <v>44735</v>
      </c>
      <c r="B363" s="10">
        <v>7.8789999999999996</v>
      </c>
    </row>
    <row r="364" spans="1:2">
      <c r="A364" s="15">
        <f t="shared" si="5"/>
        <v>44736</v>
      </c>
      <c r="B364" s="10">
        <v>7.8789999999999996</v>
      </c>
    </row>
    <row r="365" spans="1:2">
      <c r="A365" s="15">
        <f t="shared" si="5"/>
        <v>44737</v>
      </c>
      <c r="B365" s="10">
        <v>7.8789999999999996</v>
      </c>
    </row>
    <row r="366" spans="1:2">
      <c r="A366" s="15">
        <f t="shared" si="5"/>
        <v>44738</v>
      </c>
      <c r="B366" s="10">
        <v>7.8789999999999996</v>
      </c>
    </row>
    <row r="367" spans="1:2">
      <c r="A367" s="15">
        <f t="shared" si="5"/>
        <v>44739</v>
      </c>
      <c r="B367" s="10">
        <v>7.8789999999999996</v>
      </c>
    </row>
    <row r="368" spans="1:2">
      <c r="A368" s="15">
        <f t="shared" si="5"/>
        <v>44740</v>
      </c>
      <c r="B368" s="10">
        <v>7.8789999999999996</v>
      </c>
    </row>
    <row r="369" spans="1:2">
      <c r="A369" s="15">
        <f t="shared" si="5"/>
        <v>44741</v>
      </c>
      <c r="B369" s="10">
        <v>7.8789999999999996</v>
      </c>
    </row>
    <row r="370" spans="1:2">
      <c r="A370" s="15">
        <f t="shared" si="5"/>
        <v>44742</v>
      </c>
      <c r="B370" s="10">
        <v>7.8789999999999996</v>
      </c>
    </row>
    <row r="371" spans="1:2">
      <c r="A371" s="15" t="str">
        <f t="shared" si="5"/>
        <v/>
      </c>
      <c r="B371" s="10">
        <v>7.8789999999999996</v>
      </c>
    </row>
    <row r="372" spans="1:2">
      <c r="A372" s="15" t="b">
        <f t="shared" si="5"/>
        <v>0</v>
      </c>
      <c r="B372" s="10"/>
    </row>
    <row r="373" spans="1:2">
      <c r="A373" s="15" t="b">
        <f t="shared" si="5"/>
        <v>0</v>
      </c>
      <c r="B373" s="10"/>
    </row>
    <row r="374" spans="1:2">
      <c r="A374" s="15" t="b">
        <f t="shared" si="5"/>
        <v>0</v>
      </c>
      <c r="B374" s="10"/>
    </row>
    <row r="377" spans="1:2">
      <c r="A377" s="126"/>
    </row>
  </sheetData>
  <conditionalFormatting sqref="B6">
    <cfRule type="cellIs" dxfId="428" priority="2" operator="equal">
      <formula>FALSE</formula>
    </cfRule>
  </conditionalFormatting>
  <conditionalFormatting sqref="B7:B20">
    <cfRule type="cellIs" dxfId="427" priority="1" operator="equal">
      <formula>FALSE</formula>
    </cfRule>
  </conditionalFormatting>
  <printOptions horizontalCentered="1"/>
  <pageMargins left="0.7" right="0.7" top="0.5" bottom="0.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9" tint="0.39997558519241921"/>
  </sheetPr>
  <dimension ref="A1:E60"/>
  <sheetViews>
    <sheetView workbookViewId="0">
      <pane ySplit="1" topLeftCell="A2" activePane="bottomLeft" state="frozen"/>
      <selection pane="bottomLeft" activeCell="A5" sqref="A5"/>
    </sheetView>
  </sheetViews>
  <sheetFormatPr defaultColWidth="10.33203125" defaultRowHeight="12.75"/>
  <cols>
    <col min="1" max="2" width="30.83203125" style="97" bestFit="1" customWidth="1"/>
    <col min="3" max="3" width="6.5" style="98" bestFit="1" customWidth="1"/>
    <col min="4" max="4" width="30.6640625" style="99" bestFit="1" customWidth="1"/>
    <col min="5" max="5" width="26.83203125" style="99" bestFit="1" customWidth="1"/>
    <col min="6" max="16384" width="10.33203125" style="99"/>
  </cols>
  <sheetData>
    <row r="1" spans="1:5" s="94" customFormat="1" ht="19.899999999999999" customHeight="1">
      <c r="A1" s="93" t="s">
        <v>70</v>
      </c>
      <c r="B1" s="93" t="s">
        <v>71</v>
      </c>
      <c r="C1" s="93" t="s">
        <v>72</v>
      </c>
      <c r="D1" s="93" t="s">
        <v>73</v>
      </c>
      <c r="E1" s="93" t="s">
        <v>74</v>
      </c>
    </row>
    <row r="2" spans="1:5" s="94" customFormat="1" ht="19.899999999999999" customHeight="1">
      <c r="A2" s="95">
        <v>44378</v>
      </c>
      <c r="B2" s="95">
        <v>44392</v>
      </c>
      <c r="C2" s="96">
        <v>13</v>
      </c>
      <c r="D2" s="95">
        <v>44382</v>
      </c>
      <c r="E2" s="95">
        <v>44382</v>
      </c>
    </row>
    <row r="3" spans="1:5" s="94" customFormat="1" ht="19.899999999999999" customHeight="1">
      <c r="A3" s="95">
        <v>44393</v>
      </c>
      <c r="B3" s="95">
        <v>44408</v>
      </c>
      <c r="C3" s="96">
        <f>C2+1</f>
        <v>14</v>
      </c>
      <c r="D3" s="95"/>
      <c r="E3" s="95"/>
    </row>
    <row r="4" spans="1:5" s="94" customFormat="1" ht="19.899999999999999" customHeight="1">
      <c r="A4" s="95">
        <v>44409</v>
      </c>
      <c r="B4" s="95">
        <v>44423</v>
      </c>
      <c r="C4" s="96">
        <f t="shared" ref="C4:C13" si="0">C3+1</f>
        <v>15</v>
      </c>
      <c r="D4" s="95"/>
      <c r="E4" s="95"/>
    </row>
    <row r="5" spans="1:5" s="94" customFormat="1" ht="19.899999999999999" customHeight="1">
      <c r="A5" s="95">
        <v>44424</v>
      </c>
      <c r="B5" s="95">
        <v>44439</v>
      </c>
      <c r="C5" s="96">
        <f t="shared" si="0"/>
        <v>16</v>
      </c>
      <c r="D5" s="95"/>
      <c r="E5" s="95"/>
    </row>
    <row r="6" spans="1:5" s="94" customFormat="1" ht="19.899999999999999" customHeight="1">
      <c r="A6" s="95">
        <v>44440</v>
      </c>
      <c r="B6" s="95">
        <v>44454</v>
      </c>
      <c r="C6" s="96">
        <f t="shared" si="0"/>
        <v>17</v>
      </c>
      <c r="D6" s="95">
        <v>44445</v>
      </c>
      <c r="E6" s="95">
        <v>44445</v>
      </c>
    </row>
    <row r="7" spans="1:5" s="94" customFormat="1" ht="19.899999999999999" customHeight="1">
      <c r="A7" s="95">
        <v>44455</v>
      </c>
      <c r="B7" s="95">
        <v>44469</v>
      </c>
      <c r="C7" s="96">
        <f t="shared" si="0"/>
        <v>18</v>
      </c>
      <c r="D7" s="95"/>
      <c r="E7" s="95"/>
    </row>
    <row r="8" spans="1:5" s="94" customFormat="1" ht="19.899999999999999" customHeight="1">
      <c r="A8" s="95">
        <v>44470</v>
      </c>
      <c r="B8" s="95">
        <v>44484</v>
      </c>
      <c r="C8" s="96">
        <f t="shared" si="0"/>
        <v>19</v>
      </c>
      <c r="D8" s="95"/>
      <c r="E8" s="95"/>
    </row>
    <row r="9" spans="1:5" s="94" customFormat="1" ht="19.899999999999999" customHeight="1">
      <c r="A9" s="95">
        <v>44485</v>
      </c>
      <c r="B9" s="95">
        <v>44500</v>
      </c>
      <c r="C9" s="96">
        <f t="shared" si="0"/>
        <v>20</v>
      </c>
      <c r="D9" s="95"/>
      <c r="E9" s="95"/>
    </row>
    <row r="10" spans="1:5" s="94" customFormat="1" ht="19.899999999999999" customHeight="1">
      <c r="A10" s="95">
        <v>44501</v>
      </c>
      <c r="B10" s="95">
        <v>44515</v>
      </c>
      <c r="C10" s="96">
        <f t="shared" si="0"/>
        <v>21</v>
      </c>
      <c r="D10" s="95"/>
      <c r="E10" s="95"/>
    </row>
    <row r="11" spans="1:5" s="94" customFormat="1" ht="19.899999999999999" customHeight="1">
      <c r="A11" s="95">
        <v>44516</v>
      </c>
      <c r="B11" s="95">
        <v>44530</v>
      </c>
      <c r="C11" s="96">
        <f t="shared" si="0"/>
        <v>22</v>
      </c>
      <c r="D11" s="95">
        <v>44525</v>
      </c>
      <c r="E11" s="95">
        <v>44526</v>
      </c>
    </row>
    <row r="12" spans="1:5" s="94" customFormat="1" ht="19.899999999999999" customHeight="1">
      <c r="A12" s="95">
        <v>44531</v>
      </c>
      <c r="B12" s="95">
        <v>44545</v>
      </c>
      <c r="C12" s="96">
        <f t="shared" si="0"/>
        <v>23</v>
      </c>
      <c r="D12" s="95"/>
      <c r="E12" s="95"/>
    </row>
    <row r="13" spans="1:5" s="94" customFormat="1" ht="19.899999999999999" customHeight="1">
      <c r="A13" s="95">
        <v>44546</v>
      </c>
      <c r="B13" s="95">
        <v>44561</v>
      </c>
      <c r="C13" s="96">
        <f t="shared" si="0"/>
        <v>24</v>
      </c>
      <c r="D13" s="95">
        <v>44553</v>
      </c>
      <c r="E13" s="95">
        <v>44561</v>
      </c>
    </row>
    <row r="14" spans="1:5" s="94" customFormat="1" ht="19.899999999999999" customHeight="1">
      <c r="A14" s="95">
        <v>44562</v>
      </c>
      <c r="B14" s="95">
        <v>44576</v>
      </c>
      <c r="C14" s="96">
        <v>1</v>
      </c>
      <c r="D14" s="95"/>
      <c r="E14" s="95"/>
    </row>
    <row r="15" spans="1:5" s="94" customFormat="1" ht="19.899999999999999" customHeight="1">
      <c r="A15" s="95">
        <v>44577</v>
      </c>
      <c r="B15" s="95">
        <v>44592</v>
      </c>
      <c r="C15" s="96">
        <f>C14+1</f>
        <v>2</v>
      </c>
      <c r="D15" s="95">
        <v>44578</v>
      </c>
      <c r="E15" s="95">
        <v>44578</v>
      </c>
    </row>
    <row r="16" spans="1:5" s="94" customFormat="1" ht="19.899999999999999" customHeight="1">
      <c r="A16" s="95">
        <v>44593</v>
      </c>
      <c r="B16" s="95">
        <v>44607</v>
      </c>
      <c r="C16" s="96">
        <f t="shared" ref="C16:C25" si="1">C15+1</f>
        <v>3</v>
      </c>
      <c r="D16" s="95"/>
      <c r="E16" s="95"/>
    </row>
    <row r="17" spans="1:5" s="94" customFormat="1" ht="19.899999999999999" customHeight="1">
      <c r="A17" s="95">
        <v>44608</v>
      </c>
      <c r="B17" s="95">
        <v>44620</v>
      </c>
      <c r="C17" s="96">
        <f t="shared" si="1"/>
        <v>4</v>
      </c>
      <c r="D17" s="95"/>
      <c r="E17" s="95"/>
    </row>
    <row r="18" spans="1:5" s="94" customFormat="1" ht="19.899999999999999" customHeight="1">
      <c r="A18" s="95">
        <v>44621</v>
      </c>
      <c r="B18" s="95">
        <v>44635</v>
      </c>
      <c r="C18" s="96">
        <f t="shared" si="1"/>
        <v>5</v>
      </c>
      <c r="D18" s="95"/>
      <c r="E18" s="95"/>
    </row>
    <row r="19" spans="1:5" s="94" customFormat="1" ht="19.899999999999999" customHeight="1">
      <c r="A19" s="95">
        <v>44636</v>
      </c>
      <c r="B19" s="95">
        <v>44651</v>
      </c>
      <c r="C19" s="96">
        <f t="shared" si="1"/>
        <v>6</v>
      </c>
      <c r="D19" s="95"/>
      <c r="E19" s="95"/>
    </row>
    <row r="20" spans="1:5" s="94" customFormat="1" ht="19.899999999999999" customHeight="1">
      <c r="A20" s="95">
        <v>44652</v>
      </c>
      <c r="B20" s="95">
        <v>44666</v>
      </c>
      <c r="C20" s="96">
        <f t="shared" si="1"/>
        <v>7</v>
      </c>
      <c r="D20" s="95"/>
      <c r="E20" s="95"/>
    </row>
    <row r="21" spans="1:5" s="94" customFormat="1" ht="19.899999999999999" customHeight="1">
      <c r="A21" s="95">
        <v>44667</v>
      </c>
      <c r="B21" s="95">
        <v>44681</v>
      </c>
      <c r="C21" s="96">
        <f t="shared" si="1"/>
        <v>8</v>
      </c>
      <c r="D21" s="95"/>
      <c r="E21" s="95"/>
    </row>
    <row r="22" spans="1:5" s="94" customFormat="1" ht="19.899999999999999" customHeight="1">
      <c r="A22" s="95">
        <v>44682</v>
      </c>
      <c r="B22" s="95">
        <v>44696</v>
      </c>
      <c r="C22" s="96">
        <f t="shared" si="1"/>
        <v>9</v>
      </c>
      <c r="D22" s="95"/>
      <c r="E22" s="95"/>
    </row>
    <row r="23" spans="1:5" s="94" customFormat="1" ht="19.899999999999999" customHeight="1">
      <c r="A23" s="95">
        <v>44697</v>
      </c>
      <c r="B23" s="95">
        <v>44712</v>
      </c>
      <c r="C23" s="96">
        <f t="shared" si="1"/>
        <v>10</v>
      </c>
      <c r="D23" s="95"/>
      <c r="E23" s="95"/>
    </row>
    <row r="24" spans="1:5" s="94" customFormat="1" ht="19.899999999999999" customHeight="1">
      <c r="A24" s="95">
        <v>44713</v>
      </c>
      <c r="B24" s="95">
        <v>44727</v>
      </c>
      <c r="C24" s="96">
        <f t="shared" si="1"/>
        <v>11</v>
      </c>
      <c r="D24" s="95"/>
      <c r="E24" s="95"/>
    </row>
    <row r="25" spans="1:5" s="94" customFormat="1" ht="19.899999999999999" customHeight="1">
      <c r="A25" s="95">
        <v>44728</v>
      </c>
      <c r="B25" s="95">
        <v>44742</v>
      </c>
      <c r="C25" s="96">
        <f t="shared" si="1"/>
        <v>12</v>
      </c>
      <c r="D25" s="95"/>
      <c r="E25" s="95"/>
    </row>
    <row r="28" spans="1:5">
      <c r="A28" s="111" t="s">
        <v>76</v>
      </c>
    </row>
    <row r="29" spans="1:5">
      <c r="A29" s="97" t="s">
        <v>77</v>
      </c>
    </row>
    <row r="31" spans="1:5">
      <c r="A31" s="209" t="s">
        <v>78</v>
      </c>
      <c r="B31" s="209"/>
      <c r="C31" s="209"/>
      <c r="D31" s="209"/>
      <c r="E31" s="209"/>
    </row>
    <row r="32" spans="1:5" ht="17.25" customHeight="1">
      <c r="A32" s="209"/>
      <c r="B32" s="209"/>
      <c r="C32" s="209"/>
      <c r="D32" s="209"/>
      <c r="E32" s="209"/>
    </row>
    <row r="59" spans="4:5">
      <c r="D59" s="210"/>
      <c r="E59" s="210"/>
    </row>
    <row r="60" spans="4:5">
      <c r="D60" s="210"/>
      <c r="E60" s="210"/>
    </row>
  </sheetData>
  <mergeCells count="2">
    <mergeCell ref="A31:E32"/>
    <mergeCell ref="D59:E60"/>
  </mergeCells>
  <printOptions horizontalCentered="1"/>
  <pageMargins left="0.7" right="0.7" top="0.75" bottom="0.75" header="0.3" footer="0.3"/>
  <pageSetup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03993-50B4-4B31-BA7D-791CC558C4B0}">
  <sheetPr codeName="Sheet7">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G33" sqref="G33"/>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4" width="10.6640625" style="1" customWidth="1"/>
    <col min="75"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64">
        <v>0</v>
      </c>
      <c r="D6" s="264"/>
      <c r="E6" s="264"/>
      <c r="F6" s="264"/>
      <c r="G6" s="264"/>
      <c r="H6" s="264"/>
      <c r="I6" s="247" t="s">
        <v>3</v>
      </c>
      <c r="J6" s="247"/>
      <c r="K6" s="247"/>
      <c r="L6" s="247"/>
      <c r="M6" s="247"/>
      <c r="N6" s="247"/>
      <c r="O6" s="265">
        <f>'Dates &amp; Notes'!$A$2</f>
        <v>44378</v>
      </c>
      <c r="P6" s="265"/>
      <c r="Q6" s="265"/>
      <c r="R6" s="265"/>
      <c r="S6" s="265"/>
      <c r="T6" s="265"/>
      <c r="U6" s="53"/>
      <c r="V6" s="53"/>
      <c r="W6" s="24"/>
      <c r="X6" s="30"/>
      <c r="Z6" s="4" t="str">
        <f>TEXT(O6,"dddd")</f>
        <v>Thursday</v>
      </c>
      <c r="AD6" s="5" t="s">
        <v>49</v>
      </c>
      <c r="AF6" s="5"/>
      <c r="AG6" s="62"/>
      <c r="AI6" s="67"/>
    </row>
    <row r="7" spans="1:69" s="4" customFormat="1" ht="17.100000000000001" customHeight="1" thickBot="1">
      <c r="A7" s="30" t="s">
        <v>4</v>
      </c>
      <c r="B7" s="30"/>
      <c r="C7" s="246"/>
      <c r="D7" s="246"/>
      <c r="E7" s="246"/>
      <c r="F7" s="246"/>
      <c r="G7" s="246"/>
      <c r="H7" s="246"/>
      <c r="I7" s="247" t="s">
        <v>5</v>
      </c>
      <c r="J7" s="247"/>
      <c r="K7" s="247"/>
      <c r="L7" s="247"/>
      <c r="M7" s="247"/>
      <c r="N7" s="247"/>
      <c r="O7" s="248">
        <f>'Dates &amp; Notes'!$B$2</f>
        <v>44392</v>
      </c>
      <c r="P7" s="248"/>
      <c r="Q7" s="248"/>
      <c r="R7" s="248"/>
      <c r="S7" s="248"/>
      <c r="T7" s="248"/>
      <c r="U7" s="54"/>
      <c r="V7" s="54"/>
      <c r="W7" s="24"/>
      <c r="X7" s="30"/>
      <c r="AD7" s="5" t="s">
        <v>47</v>
      </c>
      <c r="AG7" s="62"/>
      <c r="AI7" s="67"/>
    </row>
    <row r="8" spans="1:69" s="4" customFormat="1" ht="17.100000000000001" customHeight="1" thickBot="1">
      <c r="A8" s="30" t="s">
        <v>6</v>
      </c>
      <c r="B8" s="24"/>
      <c r="C8" s="246"/>
      <c r="D8" s="246"/>
      <c r="E8" s="246"/>
      <c r="F8" s="246"/>
      <c r="G8" s="246"/>
      <c r="H8" s="246"/>
      <c r="I8" s="247" t="s">
        <v>7</v>
      </c>
      <c r="J8" s="247"/>
      <c r="K8" s="247"/>
      <c r="L8" s="247"/>
      <c r="M8" s="247"/>
      <c r="N8" s="247"/>
      <c r="O8" s="249">
        <f>'Dates &amp; Notes'!$C$2</f>
        <v>13</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40</v>
      </c>
      <c r="F11" s="253"/>
      <c r="G11" s="254" t="s">
        <v>69</v>
      </c>
      <c r="H11" s="255"/>
      <c r="I11" s="255"/>
      <c r="J11" s="255"/>
      <c r="K11" s="255"/>
      <c r="L11" s="255"/>
      <c r="M11" s="255"/>
      <c r="N11" s="255"/>
      <c r="O11" s="255"/>
      <c r="P11" s="255"/>
      <c r="Q11" s="255"/>
      <c r="R11" s="256"/>
      <c r="S11" s="257" t="s">
        <v>67</v>
      </c>
      <c r="T11" s="258"/>
      <c r="U11" s="258"/>
      <c r="V11" s="259"/>
      <c r="W11" s="260" t="s">
        <v>48</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 t="shared" ref="E13:N13" si="0">SUM(E14:E17)</f>
        <v>0</v>
      </c>
      <c r="F13" s="86">
        <f t="shared" si="0"/>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'Previous June Split WK HRS'!B2</f>
        <v>0</v>
      </c>
      <c r="F14" s="182">
        <f>'Previous June Split WK HRS'!C2</f>
        <v>0</v>
      </c>
      <c r="G14" s="184">
        <f>'Previous June Split WK HRS'!D2</f>
        <v>0</v>
      </c>
      <c r="H14" s="182">
        <f>'Previous June Split WK HRS'!E2</f>
        <v>0</v>
      </c>
      <c r="I14" s="182">
        <f>'Previous June Split WK HRS'!F2</f>
        <v>0</v>
      </c>
      <c r="J14" s="185">
        <f>'Previous June Split WK HRS'!G2</f>
        <v>0</v>
      </c>
      <c r="K14" s="185">
        <f>'Previous June Split WK HRS'!H2</f>
        <v>0</v>
      </c>
      <c r="L14" s="186">
        <f>'Previous June Split WK HRS'!I2</f>
        <v>0</v>
      </c>
      <c r="M14" s="182">
        <f>'Previous June Split WK HRS'!J2</f>
        <v>0</v>
      </c>
      <c r="N14" s="182">
        <f>'Previous June Split WK HRS'!K2</f>
        <v>0</v>
      </c>
      <c r="O14" s="183">
        <f>SUM(E14:N14)-J14</f>
        <v>0</v>
      </c>
      <c r="P14" s="50" t="str">
        <f>IF(AND(ISNUMBER(AA14),ISNUMBER(X14)),AA14*X14,"")</f>
        <v/>
      </c>
      <c r="Q14" s="52"/>
      <c r="R14" s="50" t="str">
        <f>IF(AND(ISNUMBER(AB14),ISNUMBER(X14)),AB14*X14,"")</f>
        <v/>
      </c>
      <c r="S14" s="52"/>
      <c r="T14" s="52"/>
      <c r="U14" s="206">
        <f>IF(BJ14&gt;0,BJ14,BN14)</f>
        <v>0</v>
      </c>
      <c r="V14" s="150">
        <f>IF(BK14&gt;0,BK14,0)</f>
        <v>0</v>
      </c>
      <c r="W14" s="50"/>
      <c r="X14" s="49" t="str">
        <f>IF(ISNA(INDEX('Conversion Factors'!$B$6:$B$371,MATCH('July 1 - July 15'!$Z$14:$Z$20,'Conversion Factors'!$A$6:$A$371,0))),"",INDEX('Conversion Factors'!$B$6:$B$371,MATCH('July 1 - July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'Previous June Split WK HRS'!B3</f>
        <v>0</v>
      </c>
      <c r="F15" s="182">
        <f>'Previous June Split WK HRS'!C3</f>
        <v>0</v>
      </c>
      <c r="G15" s="184">
        <f>'Previous June Split WK HRS'!D3</f>
        <v>0</v>
      </c>
      <c r="H15" s="182">
        <f>'Previous June Split WK HRS'!E3</f>
        <v>0</v>
      </c>
      <c r="I15" s="182">
        <f>'Previous June Split WK HRS'!F3</f>
        <v>0</v>
      </c>
      <c r="J15" s="185">
        <f>'Previous June Split WK HRS'!G3</f>
        <v>0</v>
      </c>
      <c r="K15" s="185">
        <f>'Previous June Split WK HRS'!H3</f>
        <v>0</v>
      </c>
      <c r="L15" s="186">
        <f>'Previous June Split WK HRS'!I3</f>
        <v>0</v>
      </c>
      <c r="M15" s="182">
        <f>'Previous June Split WK HRS'!J3</f>
        <v>0</v>
      </c>
      <c r="N15" s="182">
        <f>'Previous June Split WK HRS'!K3</f>
        <v>0</v>
      </c>
      <c r="O15" s="183">
        <f>SUM(E15:N15)-J15</f>
        <v>0</v>
      </c>
      <c r="P15" s="50" t="str">
        <f t="shared" ref="P15:P20" si="23">IF(AND(ISNUMBER(AA15),ISNUMBER(X15)),AA15*X15,"")</f>
        <v/>
      </c>
      <c r="Q15" s="52"/>
      <c r="R15" s="50" t="str">
        <f t="shared" ref="R15:R20" si="24">IF(AND(ISNUMBER(AB15),ISNUMBER(X15)),AB15*X15,"")</f>
        <v/>
      </c>
      <c r="S15" s="52"/>
      <c r="T15" s="52"/>
      <c r="U15" s="149">
        <f>IF(BJ15&gt;0,BJ15,BN15)</f>
        <v>0</v>
      </c>
      <c r="V15" s="150">
        <f t="shared" ref="V15:V20" si="25">IF(BK15&gt;0,BK15,0)</f>
        <v>0</v>
      </c>
      <c r="W15" s="50"/>
      <c r="X15" s="49" t="str">
        <f>IF(ISNA(INDEX('Conversion Factors'!$B$6:$B$371,MATCH('July 1 - July 15'!$Z$14:$Z$20,'Conversion Factors'!$A$6:$A$371,0))),"",INDEX('Conversion Factors'!$B$6:$B$371,MATCH('July 1 - July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'Previous June Split WK HRS'!B4</f>
        <v>0</v>
      </c>
      <c r="F16" s="182">
        <f>'Previous June Split WK HRS'!C4</f>
        <v>0</v>
      </c>
      <c r="G16" s="184">
        <f>'Previous June Split WK HRS'!D4</f>
        <v>0</v>
      </c>
      <c r="H16" s="182">
        <f>'Previous June Split WK HRS'!E4</f>
        <v>0</v>
      </c>
      <c r="I16" s="182">
        <f>'Previous June Split WK HRS'!F4</f>
        <v>0</v>
      </c>
      <c r="J16" s="185">
        <f>'Previous June Split WK HRS'!G4</f>
        <v>0</v>
      </c>
      <c r="K16" s="185">
        <f>'Previous June Split WK HRS'!H4</f>
        <v>0</v>
      </c>
      <c r="L16" s="186">
        <f>'Previous June Split WK HRS'!I4</f>
        <v>0</v>
      </c>
      <c r="M16" s="182">
        <f>'Previous June Split WK HRS'!J4</f>
        <v>0</v>
      </c>
      <c r="N16" s="182">
        <f>'Previous June Split WK HRS'!K4</f>
        <v>0</v>
      </c>
      <c r="O16" s="183">
        <f t="shared" ref="O16:O19" si="34">SUM(E16:N16)-J16</f>
        <v>0</v>
      </c>
      <c r="P16" s="50" t="str">
        <f t="shared" si="23"/>
        <v/>
      </c>
      <c r="Q16" s="52"/>
      <c r="R16" s="50" t="str">
        <f t="shared" si="24"/>
        <v/>
      </c>
      <c r="S16" s="52"/>
      <c r="T16" s="52"/>
      <c r="U16" s="149">
        <f t="shared" ref="U16:U20" si="35">IF(BJ16&gt;0,BJ16,BN16)</f>
        <v>0</v>
      </c>
      <c r="V16" s="150">
        <f t="shared" si="25"/>
        <v>0</v>
      </c>
      <c r="W16" s="50"/>
      <c r="X16" s="49" t="str">
        <f>IF(ISNA(INDEX('Conversion Factors'!$B$6:$B$371,MATCH('July 1 - July 15'!$Z$14:$Z$20,'Conversion Factors'!$A$6:$A$371,0))),"",INDEX('Conversion Factors'!$B$6:$B$371,MATCH('July 1 - July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'Previous June Split WK HRS'!B5</f>
        <v>0</v>
      </c>
      <c r="F17" s="182">
        <f>'Previous June Split WK HRS'!C5</f>
        <v>0</v>
      </c>
      <c r="G17" s="184">
        <f>'Previous June Split WK HRS'!D5</f>
        <v>0</v>
      </c>
      <c r="H17" s="182">
        <f>'Previous June Split WK HRS'!E5</f>
        <v>0</v>
      </c>
      <c r="I17" s="182">
        <f>'Previous June Split WK HRS'!F5</f>
        <v>0</v>
      </c>
      <c r="J17" s="185">
        <f>'Previous June Split WK HRS'!G5</f>
        <v>0</v>
      </c>
      <c r="K17" s="185">
        <f>'Previous June Split WK HRS'!H5</f>
        <v>0</v>
      </c>
      <c r="L17" s="186">
        <f>'Previous June Split WK HRS'!I5</f>
        <v>0</v>
      </c>
      <c r="M17" s="182">
        <f>'Previous June Split WK HRS'!J5</f>
        <v>0</v>
      </c>
      <c r="N17" s="182">
        <f>'Previous June Split WK HRS'!K5</f>
        <v>0</v>
      </c>
      <c r="O17" s="183">
        <f t="shared" si="34"/>
        <v>0</v>
      </c>
      <c r="P17" s="50" t="str">
        <f t="shared" si="23"/>
        <v/>
      </c>
      <c r="Q17" s="51"/>
      <c r="R17" s="50" t="str">
        <f t="shared" si="24"/>
        <v/>
      </c>
      <c r="S17" s="52"/>
      <c r="T17" s="52"/>
      <c r="U17" s="149">
        <f t="shared" si="35"/>
        <v>0</v>
      </c>
      <c r="V17" s="150">
        <f t="shared" si="25"/>
        <v>0</v>
      </c>
      <c r="W17" s="50"/>
      <c r="X17" s="49" t="str">
        <f>IF(ISNA(INDEX('Conversion Factors'!$B$6:$B$371,MATCH('July 1 - July 15'!$Z$14:$Z$20,'Conversion Factors'!$A$6:$A$371,0))),"",INDEX('Conversion Factors'!$B$6:$B$371,MATCH('July 1 - July 15'!$Z$14:$Z$20,'Conversion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44378</v>
      </c>
      <c r="B18" s="238"/>
      <c r="C18" s="239"/>
      <c r="D18" s="32" t="s">
        <v>27</v>
      </c>
      <c r="E18" s="176">
        <v>8</v>
      </c>
      <c r="F18" s="176"/>
      <c r="G18" s="177"/>
      <c r="H18" s="176"/>
      <c r="I18" s="176"/>
      <c r="J18" s="178"/>
      <c r="K18" s="178"/>
      <c r="L18" s="179"/>
      <c r="M18" s="176"/>
      <c r="N18" s="176"/>
      <c r="O18" s="110">
        <f t="shared" si="34"/>
        <v>8</v>
      </c>
      <c r="P18" s="50" t="str">
        <f t="shared" si="23"/>
        <v/>
      </c>
      <c r="Q18" s="51"/>
      <c r="R18" s="50" t="str">
        <f t="shared" si="24"/>
        <v/>
      </c>
      <c r="S18" s="52"/>
      <c r="T18" s="52"/>
      <c r="U18" s="149">
        <f t="shared" si="35"/>
        <v>0</v>
      </c>
      <c r="V18" s="150">
        <f t="shared" si="25"/>
        <v>0</v>
      </c>
      <c r="W18" s="50"/>
      <c r="X18" s="49">
        <f>IF(ISNA(INDEX('Conversion Factors'!$B$6:$B$371,MATCH('July 1 - July 15'!$Z$14:$Z$20,'Conversion Factors'!$A$6:$A$371,0))),"",INDEX('Conversion Factors'!$B$6:$B$371,MATCH('July 1 - July 15'!$Z$14:$Z$20,'Conversion Factors'!$A$6:$A$371,0)))</f>
        <v>7.8789999999999996</v>
      </c>
      <c r="Z18" s="18">
        <f t="shared" si="1"/>
        <v>44378</v>
      </c>
      <c r="AA18" s="57" t="str">
        <f t="shared" si="2"/>
        <v/>
      </c>
      <c r="AB18" s="57" t="str">
        <f t="shared" si="3"/>
        <v/>
      </c>
      <c r="AH18" s="71">
        <f t="shared" si="26"/>
        <v>8</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32</v>
      </c>
      <c r="BJ18" s="161">
        <f t="shared" si="18"/>
        <v>0</v>
      </c>
      <c r="BK18" s="161">
        <f t="shared" si="19"/>
        <v>0</v>
      </c>
      <c r="BL18" s="161">
        <f>SUM(E14:E18)</f>
        <v>8</v>
      </c>
      <c r="BM18" s="160">
        <f t="shared" si="33"/>
        <v>0</v>
      </c>
      <c r="BN18" s="161">
        <f t="shared" si="38"/>
        <v>0</v>
      </c>
      <c r="BO18" s="161">
        <f t="shared" si="39"/>
        <v>0</v>
      </c>
      <c r="BP18" s="161">
        <f t="shared" si="21"/>
        <v>0</v>
      </c>
      <c r="BQ18" s="160"/>
    </row>
    <row r="19" spans="1:69" ht="15" customHeight="1">
      <c r="A19" s="237">
        <f t="shared" si="22"/>
        <v>44379</v>
      </c>
      <c r="B19" s="238"/>
      <c r="C19" s="239"/>
      <c r="D19" s="32" t="s">
        <v>28</v>
      </c>
      <c r="E19" s="176">
        <v>8</v>
      </c>
      <c r="F19" s="176"/>
      <c r="G19" s="177"/>
      <c r="H19" s="176"/>
      <c r="I19" s="176"/>
      <c r="J19" s="178"/>
      <c r="K19" s="178"/>
      <c r="L19" s="179"/>
      <c r="M19" s="176"/>
      <c r="N19" s="176"/>
      <c r="O19" s="110">
        <f t="shared" si="34"/>
        <v>8</v>
      </c>
      <c r="P19" s="50" t="str">
        <f t="shared" si="23"/>
        <v/>
      </c>
      <c r="Q19" s="51"/>
      <c r="R19" s="50" t="str">
        <f t="shared" si="24"/>
        <v/>
      </c>
      <c r="S19" s="52"/>
      <c r="T19" s="52"/>
      <c r="U19" s="149">
        <f t="shared" si="35"/>
        <v>0</v>
      </c>
      <c r="V19" s="150">
        <f t="shared" si="25"/>
        <v>0</v>
      </c>
      <c r="W19" s="50"/>
      <c r="X19" s="49">
        <f>IF(ISNA(INDEX('Conversion Factors'!$B$6:$B$371,MATCH('July 1 - July 15'!$Z$14:$Z$20,'Conversion Factors'!$A$6:$A$371,0))),"",INDEX('Conversion Factors'!$B$6:$B$371,MATCH('July 1 - July 15'!$Z$14:$Z$20,'Conversion Factors'!$A$6:$A$371,0)))</f>
        <v>7.8789999999999996</v>
      </c>
      <c r="Z19" s="18">
        <f t="shared" si="1"/>
        <v>44379</v>
      </c>
      <c r="AA19" s="57" t="str">
        <f t="shared" si="2"/>
        <v/>
      </c>
      <c r="AB19" s="57" t="str">
        <f t="shared" si="3"/>
        <v/>
      </c>
      <c r="AH19" s="71">
        <f t="shared" si="26"/>
        <v>16</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32</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32</v>
      </c>
      <c r="BF19" s="159">
        <f t="shared" si="32"/>
        <v>0</v>
      </c>
      <c r="BG19" s="160"/>
      <c r="BH19" s="160">
        <f t="shared" si="37"/>
        <v>0</v>
      </c>
      <c r="BI19" s="161">
        <f t="shared" si="17"/>
        <v>24</v>
      </c>
      <c r="BJ19" s="161">
        <f t="shared" si="18"/>
        <v>0</v>
      </c>
      <c r="BK19" s="161">
        <f t="shared" si="19"/>
        <v>0</v>
      </c>
      <c r="BL19" s="161">
        <f>SUM(E14:E19)</f>
        <v>16</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44380</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Factors'!$B$6:$B$371,MATCH('July 1 - July 15'!$Z$14:$Z$20,'Conversion Factors'!$A$6:$A$371,0))),"",INDEX('Conversion Factors'!$B$6:$B$371,MATCH('July 1 - July 15'!$Z$14:$Z$20,'Conversion Factors'!$A$6:$A$371,0)))</f>
        <v>7.8789999999999996</v>
      </c>
      <c r="Z20" s="18">
        <f t="shared" si="1"/>
        <v>44380</v>
      </c>
      <c r="AA20" s="57" t="str">
        <f t="shared" si="2"/>
        <v/>
      </c>
      <c r="AB20" s="57" t="str">
        <f t="shared" si="3"/>
        <v/>
      </c>
      <c r="AH20" s="71">
        <f t="shared" si="26"/>
        <v>16</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24</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24</v>
      </c>
      <c r="BF20" s="159">
        <f t="shared" si="32"/>
        <v>0</v>
      </c>
      <c r="BG20" s="160"/>
      <c r="BH20" s="160">
        <f t="shared" si="37"/>
        <v>0</v>
      </c>
      <c r="BI20" s="161">
        <f t="shared" si="17"/>
        <v>24</v>
      </c>
      <c r="BJ20" s="161">
        <f t="shared" si="18"/>
        <v>0</v>
      </c>
      <c r="BK20" s="161">
        <f t="shared" si="19"/>
        <v>0</v>
      </c>
      <c r="BL20" s="161">
        <f>SUM(E14:E20)</f>
        <v>16</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16</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16</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44381</v>
      </c>
      <c r="B22" s="238"/>
      <c r="C22" s="239"/>
      <c r="D22" s="32" t="s">
        <v>23</v>
      </c>
      <c r="E22" s="51"/>
      <c r="F22" s="51"/>
      <c r="G22" s="112"/>
      <c r="H22" s="51"/>
      <c r="I22" s="51"/>
      <c r="J22" s="113"/>
      <c r="K22" s="113"/>
      <c r="L22" s="114"/>
      <c r="M22" s="51"/>
      <c r="N22" s="52"/>
      <c r="O22" s="110">
        <f>SUM(E22:N22)-J22</f>
        <v>0</v>
      </c>
      <c r="P22" s="50" t="str">
        <f>IF(AND(ISNUMBER(AA22),ISNUMBER(X22)),AA22*X22,"")</f>
        <v/>
      </c>
      <c r="Q22" s="52"/>
      <c r="R22" s="50" t="str">
        <f>IF(AND(ISNUMBER(AB22),ISNUMBER(X22)),AB22*X22,"")</f>
        <v/>
      </c>
      <c r="S22" s="52"/>
      <c r="T22" s="52"/>
      <c r="U22" s="149">
        <f>IF(BJ22&gt;0,BJ22,BN22)</f>
        <v>0</v>
      </c>
      <c r="V22" s="150">
        <f>IF(BK22&gt;0,BK22,0)</f>
        <v>0</v>
      </c>
      <c r="W22" s="50"/>
      <c r="X22" s="49">
        <f>IF(ISNA(INDEX('Conversion Factors'!$B$6:$B$371,MATCH('July 1 - July 15'!$Z$22:$Z$28,'Conversion Factors'!$A$6:$A$371,0))),"",INDEX('Conversion Factors'!$B$6:$B$371,MATCH('July 1 - July 15'!$Z$22:$Z$28,'Conversion Factors'!$A$6:$A$371,0)))</f>
        <v>7.8789999999999996</v>
      </c>
      <c r="Z22" s="17">
        <f t="shared" ref="Z22:Z28" si="42">A22</f>
        <v>44381</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44382</v>
      </c>
      <c r="B23" s="226"/>
      <c r="C23" s="227"/>
      <c r="D23" s="32" t="s">
        <v>24</v>
      </c>
      <c r="E23" s="51">
        <v>8</v>
      </c>
      <c r="F23" s="51"/>
      <c r="G23" s="112">
        <v>3</v>
      </c>
      <c r="H23" s="51"/>
      <c r="I23" s="51"/>
      <c r="J23" s="113"/>
      <c r="K23" s="113"/>
      <c r="L23" s="114"/>
      <c r="M23" s="51"/>
      <c r="N23" s="51"/>
      <c r="O23" s="110">
        <f>SUM(E23:N23)-J23</f>
        <v>11</v>
      </c>
      <c r="P23" s="50" t="str">
        <f t="shared" ref="P23:P28" si="65">IF(AND(ISNUMBER(AA23),ISNUMBER(X23)),AA23*X23,"")</f>
        <v/>
      </c>
      <c r="Q23" s="51"/>
      <c r="R23" s="50" t="str">
        <f t="shared" ref="R23:R28" si="66">IF(AND(ISNUMBER(AB23),ISNUMBER(X23)),AB23*X23,"")</f>
        <v/>
      </c>
      <c r="S23" s="52"/>
      <c r="T23" s="52"/>
      <c r="U23" s="149">
        <f>IF(BJ23&gt;0,BJ23,BN23)</f>
        <v>3</v>
      </c>
      <c r="V23" s="150">
        <f t="shared" ref="V23:V28" si="67">IF(BK23&gt;0,BK23,0)</f>
        <v>0</v>
      </c>
      <c r="W23" s="50"/>
      <c r="X23" s="49">
        <f>IF(ISNA(INDEX('Conversion Factors'!$B$6:$B$371,MATCH('July 1 - July 15'!$Z$22:$Z$28,'Conversion Factors'!$A$6:$A$371,0))),"",INDEX('Conversion Factors'!$B$6:$B$371,MATCH('July 1 - July 15'!$Z$22:$Z$28,'Conversion Factors'!$A$6:$A$371,0)))</f>
        <v>7.8789999999999996</v>
      </c>
      <c r="Z23" s="17">
        <f t="shared" si="42"/>
        <v>44382</v>
      </c>
      <c r="AA23" s="57" t="str">
        <f t="shared" si="43"/>
        <v/>
      </c>
      <c r="AB23" s="57" t="str">
        <f t="shared" si="44"/>
        <v/>
      </c>
      <c r="AH23" s="71">
        <f t="shared" si="45"/>
        <v>8</v>
      </c>
      <c r="AI23" s="68">
        <f>IF(AH23&gt;$AI$12,AH23-($AI$12+AI22+AI21),0)</f>
        <v>0</v>
      </c>
      <c r="AJ23" s="145" t="b">
        <f t="shared" si="46"/>
        <v>0</v>
      </c>
      <c r="AK23" s="151">
        <f t="shared" ref="AK23:AK28" si="68">IF(AND(AO23&gt;0,AO23),IF(AP23&gt;0,AP23,IF(AQ23&gt;0,AQ23,IF(AR23&gt;0,AR23,IF(AU23&gt;0,AU23,0)))))</f>
        <v>3</v>
      </c>
      <c r="AM23" s="147">
        <f t="shared" si="47"/>
        <v>0</v>
      </c>
      <c r="AO23" s="162" t="str">
        <f t="shared" si="48"/>
        <v/>
      </c>
      <c r="AP23" s="162">
        <f t="shared" si="49"/>
        <v>0</v>
      </c>
      <c r="AQ23" s="153">
        <f t="shared" si="50"/>
        <v>3</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1</v>
      </c>
      <c r="BI23" s="161">
        <f t="shared" si="59"/>
        <v>32</v>
      </c>
      <c r="BJ23" s="161">
        <f t="shared" si="60"/>
        <v>3</v>
      </c>
      <c r="BK23" s="161">
        <f t="shared" si="61"/>
        <v>0</v>
      </c>
      <c r="BL23" s="161">
        <f>SUM(E22:E23)</f>
        <v>8</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44383</v>
      </c>
      <c r="B24" s="226"/>
      <c r="C24" s="227"/>
      <c r="D24" s="32" t="s">
        <v>25</v>
      </c>
      <c r="E24" s="51">
        <v>10</v>
      </c>
      <c r="F24" s="51"/>
      <c r="G24" s="112"/>
      <c r="H24" s="51"/>
      <c r="I24" s="51"/>
      <c r="J24" s="113"/>
      <c r="K24" s="113"/>
      <c r="L24" s="114"/>
      <c r="M24" s="51"/>
      <c r="N24" s="51"/>
      <c r="O24" s="110">
        <f t="shared" ref="O24:O27" si="74">SUM(E24:N24)-J24</f>
        <v>10</v>
      </c>
      <c r="P24" s="50" t="str">
        <f t="shared" si="65"/>
        <v/>
      </c>
      <c r="Q24" s="51"/>
      <c r="R24" s="50" t="str">
        <f t="shared" si="66"/>
        <v/>
      </c>
      <c r="S24" s="52"/>
      <c r="T24" s="52"/>
      <c r="U24" s="149">
        <f t="shared" ref="U24:U28" si="75">IF(BJ24&gt;0,BJ24,BN24)</f>
        <v>0</v>
      </c>
      <c r="V24" s="150">
        <f t="shared" si="67"/>
        <v>0</v>
      </c>
      <c r="W24" s="50"/>
      <c r="X24" s="49">
        <f>IF(ISNA(INDEX('Conversion Factors'!$B$6:$B$371,MATCH('July 1 - July 15'!$Z$22:$Z$28,'Conversion Factors'!$A$6:$A$371,0))),"",INDEX('Conversion Factors'!$B$6:$B$371,MATCH('July 1 - July 15'!$Z$22:$Z$28,'Conversion Factors'!$A$6:$A$371,0)))</f>
        <v>7.8789999999999996</v>
      </c>
      <c r="Z24" s="17">
        <f t="shared" si="42"/>
        <v>44383</v>
      </c>
      <c r="AA24" s="57" t="str">
        <f t="shared" si="43"/>
        <v/>
      </c>
      <c r="AB24" s="57" t="str">
        <f t="shared" si="44"/>
        <v/>
      </c>
      <c r="AG24" s="1"/>
      <c r="AH24" s="71">
        <f t="shared" si="45"/>
        <v>18</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32</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6">IF(AND(AH23&lt;=40),40-AH23,0)</f>
        <v>32</v>
      </c>
      <c r="BF24" s="159">
        <f t="shared" si="72"/>
        <v>0</v>
      </c>
      <c r="BG24" s="160"/>
      <c r="BH24" s="160">
        <f t="shared" ref="BH24:BH28" si="77">IF(AND(G24&gt;0,E24&gt;0),1,0)</f>
        <v>0</v>
      </c>
      <c r="BI24" s="161">
        <f t="shared" si="59"/>
        <v>22</v>
      </c>
      <c r="BJ24" s="161">
        <f t="shared" si="60"/>
        <v>0</v>
      </c>
      <c r="BK24" s="161">
        <f t="shared" si="61"/>
        <v>0</v>
      </c>
      <c r="BL24" s="161">
        <f>SUM(E22:E24)</f>
        <v>18</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44384</v>
      </c>
      <c r="B25" s="226"/>
      <c r="C25" s="227"/>
      <c r="D25" s="32" t="s">
        <v>26</v>
      </c>
      <c r="E25" s="51">
        <v>10</v>
      </c>
      <c r="F25" s="51"/>
      <c r="G25" s="112"/>
      <c r="H25" s="51"/>
      <c r="I25" s="51"/>
      <c r="J25" s="113"/>
      <c r="K25" s="113"/>
      <c r="L25" s="114"/>
      <c r="M25" s="51"/>
      <c r="N25" s="51"/>
      <c r="O25" s="110">
        <f t="shared" si="74"/>
        <v>10</v>
      </c>
      <c r="P25" s="50" t="str">
        <f t="shared" si="65"/>
        <v/>
      </c>
      <c r="Q25" s="51"/>
      <c r="R25" s="50" t="str">
        <f t="shared" si="66"/>
        <v/>
      </c>
      <c r="S25" s="52"/>
      <c r="T25" s="52"/>
      <c r="U25" s="149">
        <f t="shared" si="75"/>
        <v>0</v>
      </c>
      <c r="V25" s="150">
        <f t="shared" si="67"/>
        <v>0</v>
      </c>
      <c r="W25" s="50"/>
      <c r="X25" s="49">
        <f>IF(ISNA(INDEX('Conversion Factors'!$B$6:$B$371,MATCH('July 1 - July 15'!$Z$22:$Z$28,'Conversion Factors'!$A$6:$A$371,0))),"",INDEX('Conversion Factors'!$B$6:$B$371,MATCH('July 1 - July 15'!$Z$22:$Z$28,'Conversion Factors'!$A$6:$A$371,0)))</f>
        <v>7.8789999999999996</v>
      </c>
      <c r="Z25" s="17">
        <f t="shared" si="42"/>
        <v>44384</v>
      </c>
      <c r="AA25" s="57" t="str">
        <f t="shared" si="43"/>
        <v/>
      </c>
      <c r="AB25" s="57" t="str">
        <f t="shared" si="44"/>
        <v/>
      </c>
      <c r="AG25" s="1"/>
      <c r="AH25" s="71">
        <f t="shared" si="45"/>
        <v>28</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22</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6"/>
        <v>22</v>
      </c>
      <c r="BF25" s="159">
        <f t="shared" si="72"/>
        <v>0</v>
      </c>
      <c r="BG25" s="160"/>
      <c r="BH25" s="160">
        <f t="shared" si="77"/>
        <v>0</v>
      </c>
      <c r="BI25" s="161">
        <f t="shared" si="59"/>
        <v>12</v>
      </c>
      <c r="BJ25" s="161">
        <f t="shared" si="60"/>
        <v>0</v>
      </c>
      <c r="BK25" s="161">
        <f t="shared" si="61"/>
        <v>0</v>
      </c>
      <c r="BL25" s="161">
        <f>SUM(E22:E25)</f>
        <v>28</v>
      </c>
      <c r="BM25" s="160">
        <f t="shared" si="73"/>
        <v>0</v>
      </c>
      <c r="BN25" s="161">
        <f t="shared" ref="BN25:BN28" si="78">IF(AND(BM25=1,J25&gt;8),K25,(IF(AND(BM25=1,J25&gt;0),J25,0)))</f>
        <v>0</v>
      </c>
      <c r="BO25" s="161">
        <f t="shared" ref="BO25:BO28" si="79">IF(AND(BM25=1,40-BL24&gt;0,40-BL24&lt;8),40-BL24,IF(AND(J25&lt;K25),J25,K25))</f>
        <v>0</v>
      </c>
      <c r="BP25" s="161">
        <f t="shared" si="63"/>
        <v>0</v>
      </c>
      <c r="BQ25" s="160"/>
    </row>
    <row r="26" spans="1:69" ht="15" customHeight="1">
      <c r="A26" s="225">
        <f t="shared" si="64"/>
        <v>44385</v>
      </c>
      <c r="B26" s="226"/>
      <c r="C26" s="227"/>
      <c r="D26" s="32" t="s">
        <v>27</v>
      </c>
      <c r="E26" s="51">
        <v>4</v>
      </c>
      <c r="F26" s="51"/>
      <c r="G26" s="112"/>
      <c r="H26" s="51"/>
      <c r="I26" s="51"/>
      <c r="J26" s="113"/>
      <c r="K26" s="113"/>
      <c r="L26" s="114"/>
      <c r="M26" s="51"/>
      <c r="N26" s="51">
        <v>4</v>
      </c>
      <c r="O26" s="110">
        <f t="shared" si="74"/>
        <v>8</v>
      </c>
      <c r="P26" s="50">
        <f t="shared" si="65"/>
        <v>3.9394999999999998</v>
      </c>
      <c r="Q26" s="51"/>
      <c r="R26" s="50" t="str">
        <f t="shared" si="66"/>
        <v/>
      </c>
      <c r="S26" s="52"/>
      <c r="T26" s="52"/>
      <c r="U26" s="149">
        <f t="shared" si="75"/>
        <v>0</v>
      </c>
      <c r="V26" s="150">
        <f t="shared" si="67"/>
        <v>0</v>
      </c>
      <c r="W26" s="50"/>
      <c r="X26" s="49">
        <f>IF(ISNA(INDEX('Conversion Factors'!$B$6:$B$371,MATCH('July 1 - July 15'!$Z$22:$Z$28,'Conversion Factors'!$A$6:$A$371,0))),"",INDEX('Conversion Factors'!$B$6:$B$371,MATCH('July 1 - July 15'!$Z$22:$Z$28,'Conversion Factors'!$A$6:$A$371,0)))</f>
        <v>7.8789999999999996</v>
      </c>
      <c r="Z26" s="17">
        <f t="shared" si="42"/>
        <v>44385</v>
      </c>
      <c r="AA26" s="57">
        <f t="shared" si="43"/>
        <v>0.5</v>
      </c>
      <c r="AB26" s="57" t="str">
        <f t="shared" si="44"/>
        <v/>
      </c>
      <c r="AH26" s="71">
        <f t="shared" si="45"/>
        <v>32</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12</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6"/>
        <v>12</v>
      </c>
      <c r="BF26" s="159">
        <f t="shared" si="72"/>
        <v>0</v>
      </c>
      <c r="BG26" s="160"/>
      <c r="BH26" s="160">
        <f t="shared" si="77"/>
        <v>0</v>
      </c>
      <c r="BI26" s="161">
        <f t="shared" si="59"/>
        <v>8</v>
      </c>
      <c r="BJ26" s="161">
        <f t="shared" si="60"/>
        <v>0</v>
      </c>
      <c r="BK26" s="161">
        <f t="shared" si="61"/>
        <v>0</v>
      </c>
      <c r="BL26" s="161">
        <f>SUM(E22:E26)</f>
        <v>32</v>
      </c>
      <c r="BM26" s="160">
        <f t="shared" si="73"/>
        <v>0</v>
      </c>
      <c r="BN26" s="161">
        <f t="shared" si="78"/>
        <v>0</v>
      </c>
      <c r="BO26" s="161">
        <f t="shared" si="79"/>
        <v>0</v>
      </c>
      <c r="BP26" s="161">
        <f t="shared" si="63"/>
        <v>0</v>
      </c>
      <c r="BQ26" s="160"/>
    </row>
    <row r="27" spans="1:69" ht="15" customHeight="1">
      <c r="A27" s="225">
        <f t="shared" si="64"/>
        <v>44386</v>
      </c>
      <c r="B27" s="226"/>
      <c r="C27" s="227"/>
      <c r="D27" s="32" t="s">
        <v>28</v>
      </c>
      <c r="E27" s="51">
        <v>8</v>
      </c>
      <c r="F27" s="51"/>
      <c r="G27" s="112"/>
      <c r="H27" s="51"/>
      <c r="I27" s="51"/>
      <c r="J27" s="113"/>
      <c r="K27" s="113"/>
      <c r="L27" s="114"/>
      <c r="M27" s="51"/>
      <c r="N27" s="51"/>
      <c r="O27" s="110">
        <f t="shared" si="74"/>
        <v>8</v>
      </c>
      <c r="P27" s="50" t="str">
        <f t="shared" si="65"/>
        <v/>
      </c>
      <c r="Q27" s="51"/>
      <c r="R27" s="50" t="str">
        <f t="shared" si="66"/>
        <v/>
      </c>
      <c r="S27" s="52"/>
      <c r="T27" s="52"/>
      <c r="U27" s="149">
        <f t="shared" si="75"/>
        <v>0</v>
      </c>
      <c r="V27" s="150">
        <f t="shared" si="67"/>
        <v>0</v>
      </c>
      <c r="W27" s="50"/>
      <c r="X27" s="49">
        <f>IF(ISNA(INDEX('Conversion Factors'!$B$6:$B$371,MATCH('July 1 - July 15'!$Z$22:$Z$28,'Conversion Factors'!$A$6:$A$371,0))),"",INDEX('Conversion Factors'!$B$6:$B$371,MATCH('July 1 - July 15'!$Z$22:$Z$28,'Conversion Factors'!$A$6:$A$371,0)))</f>
        <v>7.8789999999999996</v>
      </c>
      <c r="Z27" s="17">
        <f t="shared" si="42"/>
        <v>44386</v>
      </c>
      <c r="AA27" s="57" t="str">
        <f t="shared" si="43"/>
        <v/>
      </c>
      <c r="AB27" s="57" t="str">
        <f t="shared" si="44"/>
        <v/>
      </c>
      <c r="AH27" s="71">
        <f t="shared" si="45"/>
        <v>40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80">IF(AND(AH26&lt;=40),40-AH26,0)</f>
        <v>8</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6"/>
        <v>8</v>
      </c>
      <c r="BF27" s="159">
        <f t="shared" si="72"/>
        <v>0</v>
      </c>
      <c r="BG27" s="160"/>
      <c r="BH27" s="160">
        <f t="shared" si="77"/>
        <v>0</v>
      </c>
      <c r="BI27" s="161">
        <f t="shared" si="59"/>
        <v>0</v>
      </c>
      <c r="BJ27" s="161">
        <f t="shared" si="60"/>
        <v>0</v>
      </c>
      <c r="BK27" s="161">
        <f t="shared" si="61"/>
        <v>0</v>
      </c>
      <c r="BL27" s="161">
        <f>SUM(E22:E27)</f>
        <v>40</v>
      </c>
      <c r="BM27" s="160">
        <f t="shared" si="73"/>
        <v>0</v>
      </c>
      <c r="BN27" s="161">
        <f t="shared" si="78"/>
        <v>0</v>
      </c>
      <c r="BO27" s="161">
        <f t="shared" si="79"/>
        <v>0</v>
      </c>
      <c r="BP27" s="161">
        <f>IF(AND(BM27=1,BL27&gt;40,J27&lt;=K27),J27-BO27,IF(AND(BM27=1,BL27&gt;0,J27&gt;K27),K27-BO27,0))</f>
        <v>0</v>
      </c>
      <c r="BQ27" s="160"/>
    </row>
    <row r="28" spans="1:69" ht="15" customHeight="1" thickBot="1">
      <c r="A28" s="225">
        <f t="shared" si="64"/>
        <v>44387</v>
      </c>
      <c r="B28" s="226"/>
      <c r="C28" s="227"/>
      <c r="D28" s="32" t="s">
        <v>29</v>
      </c>
      <c r="E28" s="51"/>
      <c r="F28" s="51"/>
      <c r="G28" s="112"/>
      <c r="H28" s="51"/>
      <c r="I28" s="51"/>
      <c r="J28" s="113"/>
      <c r="K28" s="113"/>
      <c r="L28" s="114"/>
      <c r="M28" s="51"/>
      <c r="N28" s="52"/>
      <c r="O28" s="110">
        <f>SUM(E28:N28)-J28</f>
        <v>0</v>
      </c>
      <c r="P28" s="50" t="str">
        <f t="shared" si="65"/>
        <v/>
      </c>
      <c r="Q28" s="52"/>
      <c r="R28" s="50" t="str">
        <f t="shared" si="66"/>
        <v/>
      </c>
      <c r="S28" s="52"/>
      <c r="T28" s="52"/>
      <c r="U28" s="149">
        <f t="shared" si="75"/>
        <v>0</v>
      </c>
      <c r="V28" s="150">
        <f t="shared" si="67"/>
        <v>0</v>
      </c>
      <c r="W28" s="50"/>
      <c r="X28" s="49">
        <f>IF(ISNA(INDEX('Conversion Factors'!$B$6:$B$371,MATCH('July 1 - July 15'!$Z$22:$Z$28,'Conversion Factors'!$A$6:$A$371,0))),"",INDEX('Conversion Factors'!$B$6:$B$371,MATCH('July 1 - July 15'!$Z$22:$Z$28,'Conversion Factors'!$A$6:$A$371,0)))</f>
        <v>7.8789999999999996</v>
      </c>
      <c r="Z28" s="17">
        <f t="shared" si="42"/>
        <v>44387</v>
      </c>
      <c r="AA28" s="57" t="str">
        <f t="shared" si="43"/>
        <v/>
      </c>
      <c r="AB28" s="57" t="str">
        <f t="shared" si="44"/>
        <v/>
      </c>
      <c r="AH28" s="71">
        <f t="shared" si="45"/>
        <v>40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80"/>
        <v>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6"/>
        <v>0</v>
      </c>
      <c r="BF28" s="159">
        <f t="shared" si="72"/>
        <v>0</v>
      </c>
      <c r="BG28" s="160"/>
      <c r="BH28" s="160">
        <f t="shared" si="77"/>
        <v>0</v>
      </c>
      <c r="BI28" s="161">
        <f t="shared" si="59"/>
        <v>0</v>
      </c>
      <c r="BJ28" s="161">
        <f t="shared" si="60"/>
        <v>0</v>
      </c>
      <c r="BK28" s="161">
        <f t="shared" si="61"/>
        <v>0</v>
      </c>
      <c r="BL28" s="161">
        <f>SUM(E22:E28)</f>
        <v>40</v>
      </c>
      <c r="BM28" s="160">
        <f t="shared" si="73"/>
        <v>0</v>
      </c>
      <c r="BN28" s="161">
        <f t="shared" si="78"/>
        <v>0</v>
      </c>
      <c r="BO28" s="161">
        <f t="shared" si="79"/>
        <v>0</v>
      </c>
      <c r="BP28" s="161">
        <f>IF(AND(BM28=1,BL28&gt;40,J28&lt;=K28),J28-BO28,IF(AND(BM28=1,BL28&gt;0,J28&gt;K28),K28-BO28,0))</f>
        <v>0</v>
      </c>
      <c r="BQ28" s="160"/>
    </row>
    <row r="29" spans="1:69" ht="15" customHeight="1" thickTop="1" thickBot="1">
      <c r="A29" s="228" t="s">
        <v>30</v>
      </c>
      <c r="B29" s="229"/>
      <c r="C29" s="230"/>
      <c r="D29" s="33"/>
      <c r="E29" s="34">
        <f t="shared" ref="E29:N29" si="81">SUM(E22:E28)</f>
        <v>40</v>
      </c>
      <c r="F29" s="34">
        <f t="shared" si="81"/>
        <v>0</v>
      </c>
      <c r="G29" s="76">
        <f t="shared" si="81"/>
        <v>3</v>
      </c>
      <c r="H29" s="34">
        <f t="shared" si="81"/>
        <v>0</v>
      </c>
      <c r="I29" s="34">
        <f t="shared" si="81"/>
        <v>0</v>
      </c>
      <c r="J29" s="74"/>
      <c r="K29" s="74">
        <f t="shared" si="81"/>
        <v>0</v>
      </c>
      <c r="L29" s="34">
        <f t="shared" si="81"/>
        <v>0</v>
      </c>
      <c r="M29" s="34">
        <f t="shared" si="81"/>
        <v>0</v>
      </c>
      <c r="N29" s="34">
        <f t="shared" si="81"/>
        <v>4</v>
      </c>
      <c r="O29" s="34">
        <f>SUM(O22:O28)</f>
        <v>47</v>
      </c>
      <c r="P29" s="89">
        <f>-SUM(P22:P28)</f>
        <v>-3.9394999999999998</v>
      </c>
      <c r="Q29" s="34">
        <f>SUM(Q22:Q28)</f>
        <v>0</v>
      </c>
      <c r="R29" s="46">
        <f>SUM(R22:R28)</f>
        <v>0</v>
      </c>
      <c r="S29" s="34">
        <f>IF(E29&gt;40,(E29-40)-V29,0)</f>
        <v>0</v>
      </c>
      <c r="T29" s="34">
        <f>MROUND(AL29,0.25)</f>
        <v>0</v>
      </c>
      <c r="U29" s="164">
        <f>SUM(U22:U28)</f>
        <v>3</v>
      </c>
      <c r="V29" s="165">
        <f>SUM(V22:V28)</f>
        <v>0</v>
      </c>
      <c r="W29" s="44">
        <f>IF(E29-(E11-(G29+K29+F29+H29+I29+L29+M29))-(S29+U29+V29)&gt;0,E29-(E11-(G29+K29+F29+H29+I29+L29+M29))-(S29+U29+V29),0)</f>
        <v>0</v>
      </c>
      <c r="X29" s="34"/>
      <c r="Z29" s="85"/>
      <c r="AA29" s="85"/>
      <c r="AB29" s="85"/>
      <c r="AC29" s="80">
        <f>SUM(F29:N29)</f>
        <v>7</v>
      </c>
      <c r="AD29" s="81">
        <f>IF(AND(AG29&lt;40,O29&gt;=AG29),O29-(AG29+S29),IF(AND(O29&lt;AG29,E29=O29),O29-E29,IF(AND(E29&gt;AG29,E29&lt;40),E29-AG29,IF(AND(O29&gt;AG29,E29&lt;AG29),E29-(AG29-AC29),IF(AND(O29&gt;AG29,E29&gt;40),E29-(AG29-AC29+S29),IF(AND(O29&gt;AG29,O29&gt;40),O29-(S29+AG29),0))))))</f>
        <v>7</v>
      </c>
      <c r="AE29" s="166">
        <f>AD29-U29-V29</f>
        <v>4</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43</v>
      </c>
    </row>
    <row r="30" spans="1:69" ht="15" customHeight="1" thickTop="1">
      <c r="A30" s="225">
        <f>IF(A28&lt;$O$7,A28+1,IF(A28=$O$7,""))</f>
        <v>44388</v>
      </c>
      <c r="B30" s="226"/>
      <c r="C30" s="227"/>
      <c r="D30" s="32" t="s">
        <v>23</v>
      </c>
      <c r="E30" s="176"/>
      <c r="F30" s="176"/>
      <c r="G30" s="177"/>
      <c r="H30" s="176"/>
      <c r="I30" s="176"/>
      <c r="J30" s="178"/>
      <c r="K30" s="178"/>
      <c r="L30" s="179"/>
      <c r="M30" s="176"/>
      <c r="N30" s="176"/>
      <c r="O30" s="110">
        <f>SUM(E30:N30)-J30</f>
        <v>0</v>
      </c>
      <c r="P30" s="50" t="str">
        <f>IF(AND(ISNUMBER(AA30),ISNUMBER(X30)),AA30*X30,"")</f>
        <v/>
      </c>
      <c r="Q30" s="176"/>
      <c r="R30" s="50" t="str">
        <f>IF(AND(ISNUMBER(AB30),ISNUMBER(X30)),AB30*X30,"")</f>
        <v/>
      </c>
      <c r="S30" s="52"/>
      <c r="T30" s="52"/>
      <c r="U30" s="149">
        <f t="shared" ref="U30" si="82">IFERROR(AJ30+AK30,0)</f>
        <v>0</v>
      </c>
      <c r="V30" s="150">
        <f>IF(BK30&gt;0,BK30,0)</f>
        <v>0</v>
      </c>
      <c r="W30" s="50"/>
      <c r="X30" s="49">
        <f>IF(ISNA(INDEX('Conversion Factors'!$B$6:$B$370,MATCH('July 1 - July 15'!$Z$30:$Z$36,'Conversion Factors'!$A$6:$A$370,0))),"",INDEX('Conversion Factors'!$B$6:$B$370,MATCH('July 1 - July 15'!$Z$30:$Z$36,'Conversion Factors'!$A$6:$A$370,0)))</f>
        <v>7.8789999999999996</v>
      </c>
      <c r="Z30" s="17">
        <f t="shared" ref="Z30:Z36" si="83">A30</f>
        <v>44388</v>
      </c>
      <c r="AA30" s="57" t="str">
        <f t="shared" ref="AA30:AA36" si="84">IF(AND(ISNUMBER(N30),ISNUMBER($Z$12)),N30/$Z$12,"")</f>
        <v/>
      </c>
      <c r="AB30" s="57" t="str">
        <f t="shared" ref="AB30:AB36" si="85">IF(AND(ISNUMBER(Q30),ISNUMBER($Z$12)),Q30/$Z$12,"")</f>
        <v/>
      </c>
      <c r="AC30" s="58"/>
      <c r="AD30" s="59"/>
      <c r="AE30" s="58"/>
      <c r="AF30" s="58"/>
      <c r="AG30" s="64"/>
      <c r="AH30" s="71">
        <f t="shared" ref="AH30:AH36" si="86">E30+AH29</f>
        <v>0</v>
      </c>
      <c r="AI30" s="68">
        <f>IF(AH30&gt;$AI$12,AH30-($AI$12+AI29),0)</f>
        <v>0</v>
      </c>
      <c r="AJ30" s="145" t="b">
        <f t="shared" ref="AJ30:AJ36" si="87">IF(AND(AZ30&gt;0,AZ30),IF(BA30&gt;0,BA30,IF(BB30&gt;0,BB30,IF(BC30&gt;0,BC30,IF(BF30&gt;0,BF30,"")))))</f>
        <v>0</v>
      </c>
      <c r="AK30" s="151" t="b">
        <f>IF(AND(AO30&gt;0,AO30),IF(AP30&gt;0,AP30,IF(AQ30&gt;0,AQ30,IF(AR30&gt;0,AR30,IF(AU30&gt;0,AU30,"")))))</f>
        <v>0</v>
      </c>
      <c r="AM30" s="147">
        <f t="shared" ref="AM30:AM36" si="88">J30</f>
        <v>0</v>
      </c>
      <c r="AO30" s="152">
        <f t="shared" ref="AO30:AO36" si="89">IF(G30=0,0,"")</f>
        <v>0</v>
      </c>
      <c r="AP30" s="152">
        <f t="shared" ref="AP30:AP36" si="90">IF(AND(AH30&lt;=40,E30=G30),G30,0)</f>
        <v>0</v>
      </c>
      <c r="AQ30" s="153">
        <f t="shared" ref="AQ30:AQ36" si="91">IF(AND(AH30&lt;=40,E30&gt;=G30,G30&gt;0),O30-E30,0)</f>
        <v>0</v>
      </c>
      <c r="AR30" s="152">
        <f t="shared" ref="AR30:AR36" si="92">IF(AND(AH30&lt;=40,E30&lt;G30),O30-G30,0)</f>
        <v>0</v>
      </c>
      <c r="AS30" s="154">
        <f t="shared" ref="AS30:AS36" si="93">IF(AND(G30=0),G30,IF(AND(G30&gt;0,AI30&gt;0,G30=AT30),AT30,IF(AND(G30&gt;0,AI30&gt;0,G30-AT30),AT30,0)))</f>
        <v>0</v>
      </c>
      <c r="AT30" s="154"/>
      <c r="AU30" s="155">
        <f>AS30</f>
        <v>0</v>
      </c>
      <c r="AV30" s="156">
        <f t="shared" ref="AV30:AV36" si="94">IF(AND(AH29+AU30=40,AI30&gt;0,AI30&gt;AU30),AI30-AU30,IF(AND(AH29+AU30=40,AI30&gt;0,AI30&lt;AU30,AU30+AI30=G30),AI30,IF(AND(AH29&gt;40,AH30&gt;40,G30=AI30),AI30,0)))</f>
        <v>0</v>
      </c>
      <c r="AW30" s="157">
        <f>AV30</f>
        <v>0</v>
      </c>
      <c r="AY30" s="157">
        <f t="shared" ref="AY30:AY36" si="95">IF(AND(J30&gt;0,AI30&gt;=J30,BB30=0),O30-AI30,IF(AND(J30&gt;0,AI30&gt;0,BB30&lt;=AI30),AI30-BB30,IF(AND(J30&gt;0,AI30&gt;0,BB30&gt;AI30),J30-BB30,0)))</f>
        <v>0</v>
      </c>
      <c r="AZ30" s="152">
        <f t="shared" ref="AZ30:AZ36" si="96">IF(J30=0,0,"")</f>
        <v>0</v>
      </c>
      <c r="BA30" s="152">
        <f t="shared" ref="BA30:BA36" si="97">IF(AND(AH30&lt;=40,E30=J30),J30,0)</f>
        <v>0</v>
      </c>
      <c r="BB30" s="158">
        <f t="shared" ref="BB30:BB36" si="98">IF(AND(AZ30=0),AZ30,IF(AND(AH30&gt;40,E30&gt;=J30),BE30,IF(AND(AH30&lt;=40,E30&gt;J30),J30,0)))</f>
        <v>0</v>
      </c>
      <c r="BC30" s="152">
        <f t="shared" ref="BC30:BC36" si="99">IF(AND(AH30&lt;=40,E30&lt;J30),O30-J30,0)</f>
        <v>0</v>
      </c>
      <c r="BD30" s="154">
        <f t="shared" ref="BD30:BD36" si="100">IF(AND(J30=0),J30,IF(AND(J30&gt;0,AI30&gt;0,J30=BC30),BC30,IF(AND(J30&gt;0,AI30&gt;0,J30-BC30),BC30,0)))</f>
        <v>0</v>
      </c>
      <c r="BE30" s="154"/>
      <c r="BF30" s="159">
        <f>BD30</f>
        <v>0</v>
      </c>
      <c r="BG30" s="160"/>
      <c r="BH30" s="160">
        <f>IF(AND(G30&gt;0,E30&gt;0),1,0)</f>
        <v>0</v>
      </c>
      <c r="BI30" s="161">
        <f t="shared" ref="BI30:BI36" si="101">40-AH30</f>
        <v>40</v>
      </c>
      <c r="BJ30" s="161">
        <f t="shared" ref="BJ30:BJ36" si="102">IF(AND(BH30=1,40-BL29&gt;0,40-BL29&lt;8),40-BL29,IF(AND(E30&lt;G30),E30,G30))</f>
        <v>0</v>
      </c>
      <c r="BK30" s="161">
        <f t="shared" ref="BK30:BK36" si="103">IF(AND(BH30=1,BL30&gt;40,E30&lt;G30),E30-BJ30,(IF(AND(BH30=1,BL30&gt;0,E30&gt;=G30),G30-BJ30,0)))</f>
        <v>0</v>
      </c>
      <c r="BL30" s="161">
        <f>E30</f>
        <v>0</v>
      </c>
      <c r="BM30" s="160">
        <f>IF(AND(K30&gt;0,E30&gt;0),1,0)</f>
        <v>0</v>
      </c>
      <c r="BN30" s="161">
        <f>IF(AND(BM30=1,J30&gt;8),K30,(IF(AND(BM30=1,J30&gt;0),J30,0)))</f>
        <v>0</v>
      </c>
      <c r="BO30" s="161">
        <f t="shared" ref="BO30:BO31" si="104">IF(AND(BM30=1,40-BL29&gt;0,40-BL29&lt;8),40-BL29,IF(AND(J30&lt;K30),J30,K30))</f>
        <v>0</v>
      </c>
      <c r="BP30" s="161">
        <f t="shared" ref="BP30:BP34" si="105">IF(AND(BM30=1,BL30&gt;40,J30&lt;=K30),J30-BO30,IF(AND(BM30=1,BL30&gt;0,J30&gt;K30),K30-BO30,0))</f>
        <v>0</v>
      </c>
      <c r="BQ30" s="160"/>
    </row>
    <row r="31" spans="1:69" ht="15" customHeight="1">
      <c r="A31" s="225">
        <f t="shared" ref="A31:A36" si="106">IF(A30&lt;$O$7,A30+1,IF(A30=$O$7,""))</f>
        <v>44389</v>
      </c>
      <c r="B31" s="226"/>
      <c r="C31" s="227"/>
      <c r="D31" s="32" t="s">
        <v>24</v>
      </c>
      <c r="E31" s="176"/>
      <c r="F31" s="176"/>
      <c r="G31" s="177"/>
      <c r="H31" s="176"/>
      <c r="I31" s="176"/>
      <c r="J31" s="178"/>
      <c r="K31" s="178"/>
      <c r="L31" s="179"/>
      <c r="M31" s="176"/>
      <c r="N31" s="176"/>
      <c r="O31" s="110">
        <f t="shared" ref="O31:O36" si="107">SUM(E31:N31)-J31</f>
        <v>0</v>
      </c>
      <c r="P31" s="50" t="str">
        <f t="shared" ref="P31:P36" si="108">IF(AND(ISNUMBER(AA31),ISNUMBER(X31)),AA31*X31,"")</f>
        <v/>
      </c>
      <c r="Q31" s="176">
        <v>10</v>
      </c>
      <c r="R31" s="50">
        <f t="shared" ref="R31:R36" si="109">IF(AND(ISNUMBER(AB31),ISNUMBER(X31)),AB31*X31,"")</f>
        <v>9.848749999999999</v>
      </c>
      <c r="S31" s="52"/>
      <c r="T31" s="52"/>
      <c r="U31" s="149">
        <f t="shared" ref="U31:U44" si="110">IF(BJ31&gt;0,BJ31,BN31)</f>
        <v>0</v>
      </c>
      <c r="V31" s="150">
        <f t="shared" ref="V31:V36" si="111">IF(BK31&gt;0,BK31,0)</f>
        <v>0</v>
      </c>
      <c r="W31" s="50"/>
      <c r="X31" s="49">
        <f>IF(ISNA(INDEX('Conversion Factors'!$B$6:$B$370,MATCH('July 1 - July 15'!$Z$30:$Z$36,'Conversion Factors'!$A$6:$A$370,0))),"",INDEX('Conversion Factors'!$B$6:$B$370,MATCH('July 1 - July 15'!$Z$30:$Z$36,'Conversion Factors'!$A$6:$A$370,0)))</f>
        <v>7.8789999999999996</v>
      </c>
      <c r="Z31" s="17">
        <f t="shared" si="83"/>
        <v>44389</v>
      </c>
      <c r="AA31" s="57" t="str">
        <f t="shared" si="84"/>
        <v/>
      </c>
      <c r="AB31" s="57">
        <f t="shared" si="85"/>
        <v>1.25</v>
      </c>
      <c r="AH31" s="71">
        <f t="shared" si="86"/>
        <v>0</v>
      </c>
      <c r="AI31" s="68">
        <f>IF(AH31&gt;$AI$12,AH31-($AI$12+AI30+AI29),0)</f>
        <v>0</v>
      </c>
      <c r="AJ31" s="145" t="b">
        <f t="shared" si="87"/>
        <v>0</v>
      </c>
      <c r="AK31" s="151" t="b">
        <f t="shared" ref="AK31:AK36" si="112">IF(AND(AO31&gt;0,AO31),IF(AP31&gt;0,AP31,IF(AQ31&gt;0,AQ31,IF(AR31&gt;0,AR31,IF(AU31&gt;0,AU31,0)))))</f>
        <v>0</v>
      </c>
      <c r="AM31" s="147">
        <f t="shared" si="88"/>
        <v>0</v>
      </c>
      <c r="AO31" s="162">
        <f t="shared" si="89"/>
        <v>0</v>
      </c>
      <c r="AP31" s="162">
        <f t="shared" si="90"/>
        <v>0</v>
      </c>
      <c r="AQ31" s="153">
        <f t="shared" si="91"/>
        <v>0</v>
      </c>
      <c r="AR31" s="162">
        <f t="shared" si="92"/>
        <v>0</v>
      </c>
      <c r="AS31" s="154">
        <f t="shared" si="93"/>
        <v>0</v>
      </c>
      <c r="AT31" s="154">
        <f t="shared" ref="AT31:AT33" si="113">IF(AND(AH30&lt;=40),40-AH30,0)</f>
        <v>40</v>
      </c>
      <c r="AU31" s="155">
        <f t="shared" ref="AU31:AU36" si="114">AS31</f>
        <v>0</v>
      </c>
      <c r="AV31" s="156">
        <f t="shared" si="94"/>
        <v>0</v>
      </c>
      <c r="AW31" s="157">
        <f t="shared" ref="AW31:AW36" si="115">AV31</f>
        <v>0</v>
      </c>
      <c r="AY31" s="157">
        <f t="shared" si="95"/>
        <v>0</v>
      </c>
      <c r="AZ31" s="152">
        <f t="shared" si="96"/>
        <v>0</v>
      </c>
      <c r="BA31" s="152">
        <f t="shared" si="97"/>
        <v>0</v>
      </c>
      <c r="BB31" s="158">
        <f t="shared" si="98"/>
        <v>0</v>
      </c>
      <c r="BC31" s="152">
        <f t="shared" si="99"/>
        <v>0</v>
      </c>
      <c r="BD31" s="154">
        <f t="shared" si="100"/>
        <v>0</v>
      </c>
      <c r="BE31" s="154">
        <f>IF(AND(AH30&lt;=40),40-AH30,0)</f>
        <v>40</v>
      </c>
      <c r="BF31" s="159">
        <f t="shared" ref="BF31:BF36" si="116">BD31</f>
        <v>0</v>
      </c>
      <c r="BG31" s="160"/>
      <c r="BH31" s="160">
        <f>IF(AND(G31&gt;0,E31&gt;0),1,0)</f>
        <v>0</v>
      </c>
      <c r="BI31" s="161">
        <f t="shared" si="101"/>
        <v>40</v>
      </c>
      <c r="BJ31" s="161">
        <f t="shared" si="102"/>
        <v>0</v>
      </c>
      <c r="BK31" s="161">
        <f t="shared" si="103"/>
        <v>0</v>
      </c>
      <c r="BL31" s="161">
        <f>SUM(E30:E31)</f>
        <v>0</v>
      </c>
      <c r="BM31" s="160">
        <f t="shared" ref="BM31:BM36" si="117">IF(AND(K31&gt;0,E31&gt;0),1,0)</f>
        <v>0</v>
      </c>
      <c r="BN31" s="161">
        <f>IF(AND(BM31=1,J31&gt;8),K31,(IF(AND(BM31=1,J31&gt;0),J31,0)))</f>
        <v>0</v>
      </c>
      <c r="BO31" s="161">
        <f t="shared" si="104"/>
        <v>0</v>
      </c>
      <c r="BP31" s="161">
        <f t="shared" si="105"/>
        <v>0</v>
      </c>
      <c r="BQ31" s="160"/>
    </row>
    <row r="32" spans="1:69" ht="15" customHeight="1">
      <c r="A32" s="225">
        <f t="shared" si="106"/>
        <v>44390</v>
      </c>
      <c r="B32" s="226"/>
      <c r="C32" s="227"/>
      <c r="D32" s="32" t="s">
        <v>25</v>
      </c>
      <c r="E32" s="176">
        <v>5</v>
      </c>
      <c r="F32" s="176"/>
      <c r="G32" s="177"/>
      <c r="H32" s="176"/>
      <c r="I32" s="176"/>
      <c r="J32" s="178"/>
      <c r="K32" s="178"/>
      <c r="L32" s="179"/>
      <c r="M32" s="176"/>
      <c r="N32" s="176"/>
      <c r="O32" s="110">
        <f t="shared" si="107"/>
        <v>5</v>
      </c>
      <c r="P32" s="50" t="str">
        <f t="shared" si="108"/>
        <v/>
      </c>
      <c r="Q32" s="176"/>
      <c r="R32" s="50" t="str">
        <f t="shared" si="109"/>
        <v/>
      </c>
      <c r="S32" s="52"/>
      <c r="T32" s="52"/>
      <c r="U32" s="149">
        <f t="shared" si="110"/>
        <v>0</v>
      </c>
      <c r="V32" s="150">
        <f t="shared" si="111"/>
        <v>0</v>
      </c>
      <c r="W32" s="50"/>
      <c r="X32" s="49">
        <f>IF(ISNA(INDEX('Conversion Factors'!$B$6:$B$370,MATCH('July 1 - July 15'!$Z$30:$Z$36,'Conversion Factors'!$A$6:$A$370,0))),"",INDEX('Conversion Factors'!$B$6:$B$370,MATCH('July 1 - July 15'!$Z$30:$Z$36,'Conversion Factors'!$A$6:$A$370,0)))</f>
        <v>7.8789999999999996</v>
      </c>
      <c r="Z32" s="17">
        <f t="shared" si="83"/>
        <v>44390</v>
      </c>
      <c r="AA32" s="57" t="str">
        <f t="shared" si="84"/>
        <v/>
      </c>
      <c r="AB32" s="57" t="str">
        <f t="shared" si="85"/>
        <v/>
      </c>
      <c r="AG32" s="1"/>
      <c r="AH32" s="71">
        <f t="shared" si="86"/>
        <v>5</v>
      </c>
      <c r="AI32" s="68">
        <f>IF(AH32&gt;$AI$12,AH32-($AI$12+AI31+AI30+AI29),0)</f>
        <v>0</v>
      </c>
      <c r="AJ32" s="145" t="b">
        <f t="shared" si="87"/>
        <v>0</v>
      </c>
      <c r="AK32" s="151" t="b">
        <f t="shared" si="112"/>
        <v>0</v>
      </c>
      <c r="AM32" s="147">
        <f t="shared" si="88"/>
        <v>0</v>
      </c>
      <c r="AO32" s="162">
        <f t="shared" si="89"/>
        <v>0</v>
      </c>
      <c r="AP32" s="162">
        <f t="shared" si="90"/>
        <v>0</v>
      </c>
      <c r="AQ32" s="153">
        <f t="shared" si="91"/>
        <v>0</v>
      </c>
      <c r="AR32" s="162">
        <f t="shared" si="92"/>
        <v>0</v>
      </c>
      <c r="AS32" s="154">
        <f t="shared" si="93"/>
        <v>0</v>
      </c>
      <c r="AT32" s="154">
        <f t="shared" si="113"/>
        <v>40</v>
      </c>
      <c r="AU32" s="155">
        <f t="shared" si="114"/>
        <v>0</v>
      </c>
      <c r="AV32" s="156">
        <f t="shared" si="94"/>
        <v>0</v>
      </c>
      <c r="AW32" s="157">
        <f t="shared" si="115"/>
        <v>0</v>
      </c>
      <c r="AY32" s="157">
        <f t="shared" si="95"/>
        <v>0</v>
      </c>
      <c r="AZ32" s="152">
        <f t="shared" si="96"/>
        <v>0</v>
      </c>
      <c r="BA32" s="152">
        <f t="shared" si="97"/>
        <v>0</v>
      </c>
      <c r="BB32" s="158">
        <f t="shared" si="98"/>
        <v>0</v>
      </c>
      <c r="BC32" s="152">
        <f t="shared" si="99"/>
        <v>0</v>
      </c>
      <c r="BD32" s="154">
        <f t="shared" si="100"/>
        <v>0</v>
      </c>
      <c r="BE32" s="154">
        <f t="shared" ref="BE32:BE36" si="118">IF(AND(AH31&lt;=40),40-AH31,0)</f>
        <v>40</v>
      </c>
      <c r="BF32" s="159">
        <f t="shared" si="116"/>
        <v>0</v>
      </c>
      <c r="BG32" s="160"/>
      <c r="BH32" s="160">
        <f>IF(AND(G32&gt;0,E32&gt;0),1,0)</f>
        <v>0</v>
      </c>
      <c r="BI32" s="161">
        <f t="shared" si="101"/>
        <v>35</v>
      </c>
      <c r="BJ32" s="161">
        <f t="shared" si="102"/>
        <v>0</v>
      </c>
      <c r="BK32" s="161">
        <f t="shared" si="103"/>
        <v>0</v>
      </c>
      <c r="BL32" s="161">
        <f>SUM(E30:E32)</f>
        <v>5</v>
      </c>
      <c r="BM32" s="160">
        <f t="shared" si="117"/>
        <v>0</v>
      </c>
      <c r="BN32" s="161">
        <f>IF(AND(BM32=1,J32&gt;8),K32,(IF(AND(BM32=1,J32&gt;0),J32,0)))</f>
        <v>0</v>
      </c>
      <c r="BO32" s="161">
        <f>IF(AND(BM32=1,40-BL31&gt;0,40-BL31&lt;8),40-BL31,IF(AND(J32&lt;K32),J32,K32))</f>
        <v>0</v>
      </c>
      <c r="BP32" s="161">
        <f t="shared" si="105"/>
        <v>0</v>
      </c>
      <c r="BQ32" s="160"/>
    </row>
    <row r="33" spans="1:69" ht="15" customHeight="1">
      <c r="A33" s="225">
        <f t="shared" si="106"/>
        <v>44391</v>
      </c>
      <c r="B33" s="226"/>
      <c r="C33" s="227"/>
      <c r="D33" s="32" t="s">
        <v>26</v>
      </c>
      <c r="E33" s="176">
        <v>10</v>
      </c>
      <c r="F33" s="176"/>
      <c r="G33" s="177"/>
      <c r="H33" s="176"/>
      <c r="I33" s="176"/>
      <c r="J33" s="178"/>
      <c r="K33" s="178"/>
      <c r="L33" s="179"/>
      <c r="M33" s="176"/>
      <c r="N33" s="176"/>
      <c r="O33" s="110">
        <f t="shared" si="107"/>
        <v>10</v>
      </c>
      <c r="P33" s="50" t="str">
        <f t="shared" si="108"/>
        <v/>
      </c>
      <c r="Q33" s="176"/>
      <c r="R33" s="50" t="str">
        <f t="shared" si="109"/>
        <v/>
      </c>
      <c r="S33" s="52"/>
      <c r="T33" s="52"/>
      <c r="U33" s="149">
        <f t="shared" si="110"/>
        <v>0</v>
      </c>
      <c r="V33" s="150">
        <f t="shared" si="111"/>
        <v>0</v>
      </c>
      <c r="W33" s="50"/>
      <c r="X33" s="49">
        <f>IF(ISNA(INDEX('Conversion Factors'!$B$6:$B$370,MATCH('July 1 - July 15'!$Z$30:$Z$36,'Conversion Factors'!$A$6:$A$370,0))),"",INDEX('Conversion Factors'!$B$6:$B$370,MATCH('July 1 - July 15'!$Z$30:$Z$36,'Conversion Factors'!$A$6:$A$370,0)))</f>
        <v>7.8789999999999996</v>
      </c>
      <c r="Z33" s="17">
        <f t="shared" si="83"/>
        <v>44391</v>
      </c>
      <c r="AA33" s="57" t="str">
        <f t="shared" si="84"/>
        <v/>
      </c>
      <c r="AB33" s="57" t="str">
        <f t="shared" si="85"/>
        <v/>
      </c>
      <c r="AG33" s="1"/>
      <c r="AH33" s="71">
        <f t="shared" si="86"/>
        <v>15</v>
      </c>
      <c r="AI33" s="68">
        <f>IF(AH33&gt;$AI$12,AH33-($AI$12+AI32+AI31+AI30+AI29),0)</f>
        <v>0</v>
      </c>
      <c r="AJ33" s="145" t="b">
        <f t="shared" si="87"/>
        <v>0</v>
      </c>
      <c r="AK33" s="151" t="b">
        <f t="shared" si="112"/>
        <v>0</v>
      </c>
      <c r="AM33" s="147">
        <f t="shared" si="88"/>
        <v>0</v>
      </c>
      <c r="AO33" s="162">
        <f t="shared" si="89"/>
        <v>0</v>
      </c>
      <c r="AP33" s="162">
        <f t="shared" si="90"/>
        <v>0</v>
      </c>
      <c r="AQ33" s="153">
        <f t="shared" si="91"/>
        <v>0</v>
      </c>
      <c r="AR33" s="162">
        <f t="shared" si="92"/>
        <v>0</v>
      </c>
      <c r="AS33" s="154">
        <f t="shared" si="93"/>
        <v>0</v>
      </c>
      <c r="AT33" s="154">
        <f t="shared" si="113"/>
        <v>35</v>
      </c>
      <c r="AU33" s="155">
        <f t="shared" si="114"/>
        <v>0</v>
      </c>
      <c r="AV33" s="156">
        <f t="shared" si="94"/>
        <v>0</v>
      </c>
      <c r="AW33" s="157">
        <f t="shared" si="115"/>
        <v>0</v>
      </c>
      <c r="AY33" s="157">
        <f t="shared" si="95"/>
        <v>0</v>
      </c>
      <c r="AZ33" s="152">
        <f t="shared" si="96"/>
        <v>0</v>
      </c>
      <c r="BA33" s="152">
        <f t="shared" si="97"/>
        <v>0</v>
      </c>
      <c r="BB33" s="158">
        <f t="shared" si="98"/>
        <v>0</v>
      </c>
      <c r="BC33" s="152">
        <f t="shared" si="99"/>
        <v>0</v>
      </c>
      <c r="BD33" s="154">
        <f t="shared" si="100"/>
        <v>0</v>
      </c>
      <c r="BE33" s="154">
        <f t="shared" si="118"/>
        <v>35</v>
      </c>
      <c r="BF33" s="159">
        <f t="shared" si="116"/>
        <v>0</v>
      </c>
      <c r="BG33" s="160"/>
      <c r="BH33" s="160">
        <f t="shared" ref="BH33:BH37" si="119">IF(AND(G33&gt;0,E33&gt;0),1,0)</f>
        <v>0</v>
      </c>
      <c r="BI33" s="161">
        <f t="shared" si="101"/>
        <v>25</v>
      </c>
      <c r="BJ33" s="161">
        <f t="shared" si="102"/>
        <v>0</v>
      </c>
      <c r="BK33" s="161">
        <f t="shared" si="103"/>
        <v>0</v>
      </c>
      <c r="BL33" s="161">
        <f>SUM(E30:E33)</f>
        <v>15</v>
      </c>
      <c r="BM33" s="160">
        <f t="shared" si="117"/>
        <v>0</v>
      </c>
      <c r="BN33" s="161">
        <f t="shared" ref="BN33:BN36" si="120">IF(AND(BM33=1,J33&gt;8),K33,(IF(AND(BM33=1,J33&gt;0),J33,0)))</f>
        <v>0</v>
      </c>
      <c r="BO33" s="161">
        <f t="shared" ref="BO33:BO36" si="121">IF(AND(BM33=1,40-BL32&gt;0,40-BL32&lt;8),40-BL32,IF(AND(J33&lt;K33),J33,K33))</f>
        <v>0</v>
      </c>
      <c r="BP33" s="161">
        <f t="shared" si="105"/>
        <v>0</v>
      </c>
      <c r="BQ33" s="160"/>
    </row>
    <row r="34" spans="1:69" ht="15" customHeight="1">
      <c r="A34" s="225">
        <f t="shared" si="106"/>
        <v>44392</v>
      </c>
      <c r="B34" s="226"/>
      <c r="C34" s="227"/>
      <c r="D34" s="32" t="s">
        <v>27</v>
      </c>
      <c r="E34" s="176">
        <v>10</v>
      </c>
      <c r="F34" s="176"/>
      <c r="G34" s="177"/>
      <c r="H34" s="176"/>
      <c r="I34" s="176"/>
      <c r="J34" s="178"/>
      <c r="K34" s="178"/>
      <c r="L34" s="179"/>
      <c r="M34" s="176"/>
      <c r="N34" s="176"/>
      <c r="O34" s="110">
        <f t="shared" si="107"/>
        <v>10</v>
      </c>
      <c r="P34" s="50" t="str">
        <f t="shared" si="108"/>
        <v/>
      </c>
      <c r="Q34" s="52"/>
      <c r="R34" s="50" t="str">
        <f t="shared" si="109"/>
        <v/>
      </c>
      <c r="S34" s="52"/>
      <c r="T34" s="52"/>
      <c r="U34" s="149">
        <f t="shared" si="110"/>
        <v>0</v>
      </c>
      <c r="V34" s="150">
        <f t="shared" si="111"/>
        <v>0</v>
      </c>
      <c r="W34" s="50"/>
      <c r="X34" s="49">
        <f>IF(ISNA(INDEX('Conversion Factors'!$B$6:$B$370,MATCH('July 1 - July 15'!$Z$30:$Z$36,'Conversion Factors'!$A$6:$A$370,0))),"",INDEX('Conversion Factors'!$B$6:$B$370,MATCH('July 1 - July 15'!$Z$30:$Z$36,'Conversion Factors'!$A$6:$A$370,0)))</f>
        <v>7.8789999999999996</v>
      </c>
      <c r="Z34" s="17">
        <f t="shared" si="83"/>
        <v>44392</v>
      </c>
      <c r="AA34" s="57" t="str">
        <f t="shared" si="84"/>
        <v/>
      </c>
      <c r="AB34" s="57" t="str">
        <f t="shared" si="85"/>
        <v/>
      </c>
      <c r="AH34" s="71">
        <f t="shared" si="86"/>
        <v>25</v>
      </c>
      <c r="AI34" s="68">
        <f>IF(AH34&gt;$AI$12,AH34-($AI$12+AI33+AI32+AI31+AI30+AI29),0)</f>
        <v>0</v>
      </c>
      <c r="AJ34" s="145" t="b">
        <f t="shared" si="87"/>
        <v>0</v>
      </c>
      <c r="AK34" s="151" t="b">
        <f t="shared" si="112"/>
        <v>0</v>
      </c>
      <c r="AM34" s="147">
        <f t="shared" si="88"/>
        <v>0</v>
      </c>
      <c r="AO34" s="162">
        <f t="shared" si="89"/>
        <v>0</v>
      </c>
      <c r="AP34" s="162">
        <f t="shared" si="90"/>
        <v>0</v>
      </c>
      <c r="AQ34" s="153">
        <f t="shared" si="91"/>
        <v>0</v>
      </c>
      <c r="AR34" s="162">
        <f t="shared" si="92"/>
        <v>0</v>
      </c>
      <c r="AS34" s="154">
        <f t="shared" si="93"/>
        <v>0</v>
      </c>
      <c r="AT34" s="154">
        <f>IF(AND(AH33&lt;=40),40-AH33,0)</f>
        <v>25</v>
      </c>
      <c r="AU34" s="155">
        <f t="shared" si="114"/>
        <v>0</v>
      </c>
      <c r="AV34" s="156">
        <f t="shared" si="94"/>
        <v>0</v>
      </c>
      <c r="AW34" s="157">
        <f t="shared" si="115"/>
        <v>0</v>
      </c>
      <c r="AY34" s="157">
        <f t="shared" si="95"/>
        <v>0</v>
      </c>
      <c r="AZ34" s="152">
        <f t="shared" si="96"/>
        <v>0</v>
      </c>
      <c r="BA34" s="152">
        <f t="shared" si="97"/>
        <v>0</v>
      </c>
      <c r="BB34" s="158">
        <f t="shared" si="98"/>
        <v>0</v>
      </c>
      <c r="BC34" s="152">
        <f t="shared" si="99"/>
        <v>0</v>
      </c>
      <c r="BD34" s="154">
        <f t="shared" si="100"/>
        <v>0</v>
      </c>
      <c r="BE34" s="154">
        <f t="shared" si="118"/>
        <v>25</v>
      </c>
      <c r="BF34" s="159">
        <f t="shared" si="116"/>
        <v>0</v>
      </c>
      <c r="BG34" s="160"/>
      <c r="BH34" s="160">
        <f t="shared" si="119"/>
        <v>0</v>
      </c>
      <c r="BI34" s="161">
        <f t="shared" si="101"/>
        <v>15</v>
      </c>
      <c r="BJ34" s="161">
        <f t="shared" si="102"/>
        <v>0</v>
      </c>
      <c r="BK34" s="161">
        <f t="shared" si="103"/>
        <v>0</v>
      </c>
      <c r="BL34" s="161">
        <f>SUM(E30:E34)</f>
        <v>25</v>
      </c>
      <c r="BM34" s="160">
        <f t="shared" si="117"/>
        <v>0</v>
      </c>
      <c r="BN34" s="161">
        <f t="shared" si="120"/>
        <v>0</v>
      </c>
      <c r="BO34" s="161">
        <f t="shared" si="121"/>
        <v>0</v>
      </c>
      <c r="BP34" s="161">
        <f t="shared" si="105"/>
        <v>0</v>
      </c>
      <c r="BQ34" s="160"/>
    </row>
    <row r="35" spans="1:69" ht="15" customHeight="1">
      <c r="A35" s="225" t="str">
        <f t="shared" si="106"/>
        <v/>
      </c>
      <c r="B35" s="226"/>
      <c r="C35" s="227"/>
      <c r="D35" s="32" t="s">
        <v>28</v>
      </c>
      <c r="E35" s="188"/>
      <c r="F35" s="188"/>
      <c r="G35" s="189"/>
      <c r="H35" s="188"/>
      <c r="I35" s="188"/>
      <c r="J35" s="190"/>
      <c r="K35" s="190"/>
      <c r="L35" s="191"/>
      <c r="M35" s="188"/>
      <c r="N35" s="188"/>
      <c r="O35" s="110">
        <f t="shared" si="107"/>
        <v>0</v>
      </c>
      <c r="P35" s="50" t="str">
        <f t="shared" si="108"/>
        <v/>
      </c>
      <c r="Q35" s="52"/>
      <c r="R35" s="50" t="str">
        <f t="shared" si="109"/>
        <v/>
      </c>
      <c r="S35" s="52"/>
      <c r="T35" s="52"/>
      <c r="U35" s="149">
        <f t="shared" si="110"/>
        <v>0</v>
      </c>
      <c r="V35" s="150">
        <f t="shared" si="111"/>
        <v>0</v>
      </c>
      <c r="W35" s="50"/>
      <c r="X35" s="49" t="str">
        <f>IF(ISNA(INDEX('Conversion Factors'!$B$6:$B$370,MATCH('July 1 - July 15'!$Z$30:$Z$36,'Conversion Factors'!$A$6:$A$370,0))),"",INDEX('Conversion Factors'!$B$6:$B$370,MATCH('July 1 - July 15'!$Z$30:$Z$36,'Conversion Factors'!$A$6:$A$370,0)))</f>
        <v/>
      </c>
      <c r="Z35" s="17" t="str">
        <f t="shared" si="83"/>
        <v/>
      </c>
      <c r="AA35" s="57" t="str">
        <f t="shared" si="84"/>
        <v/>
      </c>
      <c r="AB35" s="57" t="str">
        <f t="shared" si="85"/>
        <v/>
      </c>
      <c r="AH35" s="71">
        <f t="shared" si="86"/>
        <v>25</v>
      </c>
      <c r="AI35" s="68">
        <f>IF(AH35&gt;$AI$12,AH35-($AI$12+AI34+AI33+AI32+AI31+AI30+AI29),0)</f>
        <v>0</v>
      </c>
      <c r="AJ35" s="145" t="b">
        <f t="shared" si="87"/>
        <v>0</v>
      </c>
      <c r="AK35" s="151" t="b">
        <f t="shared" si="112"/>
        <v>0</v>
      </c>
      <c r="AM35" s="147">
        <f t="shared" si="88"/>
        <v>0</v>
      </c>
      <c r="AO35" s="162">
        <f t="shared" si="89"/>
        <v>0</v>
      </c>
      <c r="AP35" s="162">
        <f t="shared" si="90"/>
        <v>0</v>
      </c>
      <c r="AQ35" s="153">
        <f t="shared" si="91"/>
        <v>0</v>
      </c>
      <c r="AR35" s="162">
        <f t="shared" si="92"/>
        <v>0</v>
      </c>
      <c r="AS35" s="154">
        <f t="shared" si="93"/>
        <v>0</v>
      </c>
      <c r="AT35" s="154">
        <f t="shared" ref="AT35:AT36" si="122">IF(AND(AH34&lt;=40),40-AH34,0)</f>
        <v>15</v>
      </c>
      <c r="AU35" s="155">
        <f t="shared" si="114"/>
        <v>0</v>
      </c>
      <c r="AV35" s="156">
        <f t="shared" si="94"/>
        <v>0</v>
      </c>
      <c r="AW35" s="157">
        <f t="shared" si="115"/>
        <v>0</v>
      </c>
      <c r="AY35" s="157">
        <f t="shared" si="95"/>
        <v>0</v>
      </c>
      <c r="AZ35" s="152">
        <f t="shared" si="96"/>
        <v>0</v>
      </c>
      <c r="BA35" s="152">
        <f t="shared" si="97"/>
        <v>0</v>
      </c>
      <c r="BB35" s="158">
        <f t="shared" si="98"/>
        <v>0</v>
      </c>
      <c r="BC35" s="152">
        <f t="shared" si="99"/>
        <v>0</v>
      </c>
      <c r="BD35" s="154">
        <f t="shared" si="100"/>
        <v>0</v>
      </c>
      <c r="BE35" s="154">
        <f t="shared" si="118"/>
        <v>15</v>
      </c>
      <c r="BF35" s="159">
        <f t="shared" si="116"/>
        <v>0</v>
      </c>
      <c r="BG35" s="160"/>
      <c r="BH35" s="160">
        <f t="shared" si="119"/>
        <v>0</v>
      </c>
      <c r="BI35" s="161">
        <f t="shared" si="101"/>
        <v>15</v>
      </c>
      <c r="BJ35" s="161">
        <f t="shared" si="102"/>
        <v>0</v>
      </c>
      <c r="BK35" s="161">
        <f t="shared" si="103"/>
        <v>0</v>
      </c>
      <c r="BL35" s="161">
        <f>SUM(E30:E35)</f>
        <v>25</v>
      </c>
      <c r="BM35" s="160">
        <f t="shared" si="117"/>
        <v>0</v>
      </c>
      <c r="BN35" s="161">
        <f t="shared" si="120"/>
        <v>0</v>
      </c>
      <c r="BO35" s="161">
        <f t="shared" si="121"/>
        <v>0</v>
      </c>
      <c r="BP35" s="161">
        <f>IF(AND(BM35=1,BL35&gt;40,J35&lt;=K35),J35-BO35,IF(AND(BM35=1,BL35&gt;0,J35&gt;K35),K35-BO35,0))</f>
        <v>0</v>
      </c>
      <c r="BQ35" s="160"/>
    </row>
    <row r="36" spans="1:69" ht="15" customHeight="1" thickBot="1">
      <c r="A36" s="225" t="b">
        <f t="shared" si="106"/>
        <v>0</v>
      </c>
      <c r="B36" s="226"/>
      <c r="C36" s="227"/>
      <c r="D36" s="32" t="s">
        <v>29</v>
      </c>
      <c r="E36" s="188"/>
      <c r="F36" s="188"/>
      <c r="G36" s="189"/>
      <c r="H36" s="188"/>
      <c r="I36" s="188"/>
      <c r="J36" s="190"/>
      <c r="K36" s="190"/>
      <c r="L36" s="191"/>
      <c r="M36" s="188"/>
      <c r="N36" s="188"/>
      <c r="O36" s="110">
        <f t="shared" si="107"/>
        <v>0</v>
      </c>
      <c r="P36" s="50" t="str">
        <f t="shared" si="108"/>
        <v/>
      </c>
      <c r="Q36" s="52"/>
      <c r="R36" s="50" t="str">
        <f t="shared" si="109"/>
        <v/>
      </c>
      <c r="S36" s="52"/>
      <c r="T36" s="52"/>
      <c r="U36" s="149">
        <f t="shared" si="110"/>
        <v>0</v>
      </c>
      <c r="V36" s="150">
        <f t="shared" si="111"/>
        <v>0</v>
      </c>
      <c r="W36" s="50"/>
      <c r="X36" s="49" t="str">
        <f>IF(ISNA(INDEX('Conversion Factors'!$B$6:$B$370,MATCH('July 1 - July 15'!$Z$30:$Z$36,'Conversion Factors'!$A$6:$A$370,0))),"",INDEX('Conversion Factors'!$B$6:$B$370,MATCH('July 1 - July 15'!$Z$30:$Z$36,'Conversion Factors'!$A$6:$A$370,0)))</f>
        <v/>
      </c>
      <c r="Z36" s="17" t="b">
        <f t="shared" si="83"/>
        <v>0</v>
      </c>
      <c r="AA36" s="57" t="str">
        <f t="shared" si="84"/>
        <v/>
      </c>
      <c r="AB36" s="57" t="str">
        <f t="shared" si="85"/>
        <v/>
      </c>
      <c r="AH36" s="71">
        <f t="shared" si="86"/>
        <v>25</v>
      </c>
      <c r="AI36" s="68">
        <f>IF(AH36&gt;$AI$12,AH36-($AI$12+AI35+AI34+AI33+AI32+AI31+AI30+AI29),0)</f>
        <v>0</v>
      </c>
      <c r="AJ36" s="145" t="b">
        <f t="shared" si="87"/>
        <v>0</v>
      </c>
      <c r="AK36" s="151" t="b">
        <f t="shared" si="112"/>
        <v>0</v>
      </c>
      <c r="AM36" s="147">
        <f t="shared" si="88"/>
        <v>0</v>
      </c>
      <c r="AO36" s="163">
        <f t="shared" si="89"/>
        <v>0</v>
      </c>
      <c r="AP36" s="163">
        <f t="shared" si="90"/>
        <v>0</v>
      </c>
      <c r="AQ36" s="153">
        <f t="shared" si="91"/>
        <v>0</v>
      </c>
      <c r="AR36" s="163">
        <f t="shared" si="92"/>
        <v>0</v>
      </c>
      <c r="AS36" s="154">
        <f t="shared" si="93"/>
        <v>0</v>
      </c>
      <c r="AT36" s="154">
        <f t="shared" si="122"/>
        <v>15</v>
      </c>
      <c r="AU36" s="155">
        <f t="shared" si="114"/>
        <v>0</v>
      </c>
      <c r="AV36" s="156">
        <f t="shared" si="94"/>
        <v>0</v>
      </c>
      <c r="AW36" s="157">
        <f t="shared" si="115"/>
        <v>0</v>
      </c>
      <c r="AY36" s="157">
        <f t="shared" si="95"/>
        <v>0</v>
      </c>
      <c r="AZ36" s="152">
        <f t="shared" si="96"/>
        <v>0</v>
      </c>
      <c r="BA36" s="152">
        <f t="shared" si="97"/>
        <v>0</v>
      </c>
      <c r="BB36" s="158">
        <f t="shared" si="98"/>
        <v>0</v>
      </c>
      <c r="BC36" s="152">
        <f t="shared" si="99"/>
        <v>0</v>
      </c>
      <c r="BD36" s="154">
        <f t="shared" si="100"/>
        <v>0</v>
      </c>
      <c r="BE36" s="154">
        <f t="shared" si="118"/>
        <v>15</v>
      </c>
      <c r="BF36" s="159">
        <f t="shared" si="116"/>
        <v>0</v>
      </c>
      <c r="BG36" s="160"/>
      <c r="BH36" s="160">
        <f t="shared" si="119"/>
        <v>0</v>
      </c>
      <c r="BI36" s="161">
        <f t="shared" si="101"/>
        <v>15</v>
      </c>
      <c r="BJ36" s="161">
        <f t="shared" si="102"/>
        <v>0</v>
      </c>
      <c r="BK36" s="161">
        <f t="shared" si="103"/>
        <v>0</v>
      </c>
      <c r="BL36" s="161">
        <f>SUM(E30:E36)</f>
        <v>25</v>
      </c>
      <c r="BM36" s="160">
        <f t="shared" si="117"/>
        <v>0</v>
      </c>
      <c r="BN36" s="161">
        <f t="shared" si="120"/>
        <v>0</v>
      </c>
      <c r="BO36" s="161">
        <f t="shared" si="121"/>
        <v>0</v>
      </c>
      <c r="BP36" s="161">
        <f>IF(AND(BM36=1,BL36&gt;40,J36&lt;=K36),J36-BO36,IF(AND(BM36=1,BL36&gt;0,J36&gt;K36),K36-BO36,0))</f>
        <v>0</v>
      </c>
      <c r="BQ36" s="160"/>
    </row>
    <row r="37" spans="1:69" ht="15" customHeight="1" thickTop="1" thickBot="1">
      <c r="A37" s="228" t="s">
        <v>31</v>
      </c>
      <c r="B37" s="229"/>
      <c r="C37" s="230"/>
      <c r="D37" s="48"/>
      <c r="E37" s="34">
        <f t="shared" ref="E37:N37" si="123">SUM(E30:E36)</f>
        <v>25</v>
      </c>
      <c r="F37" s="34">
        <f t="shared" si="123"/>
        <v>0</v>
      </c>
      <c r="G37" s="76">
        <f t="shared" si="123"/>
        <v>0</v>
      </c>
      <c r="H37" s="34">
        <f t="shared" si="123"/>
        <v>0</v>
      </c>
      <c r="I37" s="34">
        <f t="shared" si="123"/>
        <v>0</v>
      </c>
      <c r="J37" s="74"/>
      <c r="K37" s="74">
        <f t="shared" si="123"/>
        <v>0</v>
      </c>
      <c r="L37" s="34">
        <f t="shared" si="123"/>
        <v>0</v>
      </c>
      <c r="M37" s="34">
        <f t="shared" si="123"/>
        <v>0</v>
      </c>
      <c r="N37" s="34">
        <f t="shared" si="123"/>
        <v>0</v>
      </c>
      <c r="O37" s="34">
        <f>SUM(O30:O36)</f>
        <v>25</v>
      </c>
      <c r="P37" s="89">
        <f>-SUM(P30:P36)</f>
        <v>0</v>
      </c>
      <c r="Q37" s="34">
        <f>SUM(Q30:Q36)</f>
        <v>10</v>
      </c>
      <c r="R37" s="46">
        <f>SUM(R30:R36)</f>
        <v>9.848749999999999</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9"/>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110"/>
        <v>0</v>
      </c>
      <c r="V38" s="150">
        <f>IF(BK38&gt;0,BK38,0)</f>
        <v>0</v>
      </c>
      <c r="W38" s="50"/>
      <c r="X38" s="49" t="str">
        <f>IF(ISNA(INDEX('Conversion Factors'!$B$6:$B$370,MATCH('July 1 - July 15'!$Z$38:$Z$44,'Conversion Factors'!$A$6:$A$370,0))),"",INDEX('Conversion Factors'!$B$6:$B$370,MATCH('July 1 - July 15'!$Z$38:$Z$44,'Conversion Factors'!$A$6:$A$370,0)))</f>
        <v/>
      </c>
      <c r="Z38" s="17" t="b">
        <f t="shared" ref="Z38:Z44" si="124">A38</f>
        <v>0</v>
      </c>
      <c r="AA38" s="57" t="str">
        <f t="shared" ref="AA38:AA44" si="125">IF(AND(ISNUMBER(N38),ISNUMBER($Z$12)),N38/$Z$12,"")</f>
        <v/>
      </c>
      <c r="AB38" s="57" t="str">
        <f t="shared" ref="AB38:AB44" si="126">IF(AND(ISNUMBER(Q38),ISNUMBER($Z$12)),Q38/$Z$12,"")</f>
        <v/>
      </c>
      <c r="AC38" s="58"/>
      <c r="AD38" s="59"/>
      <c r="AE38" s="58"/>
      <c r="AF38" s="58"/>
      <c r="AG38" s="64"/>
      <c r="AH38" s="71">
        <f t="shared" ref="AH38:AH44" si="127">E38+AH37</f>
        <v>0</v>
      </c>
      <c r="AI38" s="68">
        <f>IF(AH38&gt;$AI$12,AH38-($AI$12+AI37),0)</f>
        <v>0</v>
      </c>
      <c r="AJ38" s="145" t="b">
        <f t="shared" ref="AJ38:AJ44" si="128">IF(AND(AZ38&gt;0,AZ38),IF(BA38&gt;0,BA38,IF(BB38&gt;0,BB38,IF(BC38&gt;0,BC38,IF(BF38&gt;0,BF38,"")))))</f>
        <v>0</v>
      </c>
      <c r="AK38" s="151" t="b">
        <f>IF(AND(AO38&gt;0,AO38),IF(AP38&gt;0,AP38,IF(AQ38&gt;0,AQ38,IF(AR38&gt;0,AR38,IF(AU38&gt;0,AU38,"")))))</f>
        <v>0</v>
      </c>
      <c r="AM38" s="147">
        <f t="shared" ref="AM38:AM44" si="129">J38</f>
        <v>0</v>
      </c>
      <c r="AO38" s="152">
        <f t="shared" ref="AO38:AO44" si="130">IF(G38=0,0,"")</f>
        <v>0</v>
      </c>
      <c r="AP38" s="152">
        <f t="shared" ref="AP38:AP44" si="131">IF(AND(AH38&lt;=40,E38=G38),G38,0)</f>
        <v>0</v>
      </c>
      <c r="AQ38" s="153">
        <f t="shared" ref="AQ38:AQ44" si="132">IF(AND(AH38&lt;=40,E38&gt;=G38,G38&gt;0),O38-E38,0)</f>
        <v>0</v>
      </c>
      <c r="AR38" s="152">
        <f t="shared" ref="AR38:AR44" si="133">IF(AND(AH38&lt;=40,E38&lt;G38),O38-G38,0)</f>
        <v>0</v>
      </c>
      <c r="AS38" s="154">
        <f t="shared" ref="AS38:AS44" si="134">IF(AND(G38=0),G38,IF(AND(G38&gt;0,AI38&gt;0,G38=AT38),AT38,IF(AND(G38&gt;0,AI38&gt;0,G38-AT38),AT38,0)))</f>
        <v>0</v>
      </c>
      <c r="AT38" s="154"/>
      <c r="AU38" s="155">
        <f>AS38</f>
        <v>0</v>
      </c>
      <c r="AV38" s="156">
        <f t="shared" ref="AV38:AV44" si="135">IF(AND(AH37+AU38=40,AI38&gt;0,AI38&gt;AU38),AI38-AU38,IF(AND(AH37+AU38=40,AI38&gt;0,AI38&lt;AU38,AU38+AI38=G38),AI38,IF(AND(AH37&gt;40,AH38&gt;40,G38=AI38),AI38,0)))</f>
        <v>0</v>
      </c>
      <c r="AW38" s="157">
        <f>AV38</f>
        <v>0</v>
      </c>
      <c r="AY38" s="157">
        <f t="shared" ref="AY38:AY44" si="136">IF(AND(J38&gt;0,AI38&gt;=J38,BB38=0),O38-AI38,IF(AND(J38&gt;0,AI38&gt;0,BB38&lt;=AI38),AI38-BB38,IF(AND(J38&gt;0,AI38&gt;0,BB38&gt;AI38),J38-BB38,0)))</f>
        <v>0</v>
      </c>
      <c r="AZ38" s="152">
        <f t="shared" ref="AZ38:AZ44" si="137">IF(J38=0,0,"")</f>
        <v>0</v>
      </c>
      <c r="BA38" s="152">
        <f t="shared" ref="BA38:BA44" si="138">IF(AND(AH38&lt;=40,E38=J38),J38,0)</f>
        <v>0</v>
      </c>
      <c r="BB38" s="158">
        <f t="shared" ref="BB38:BB44" si="139">IF(AND(AZ38=0),AZ38,IF(AND(AH38&gt;40,E38&gt;=J38),BE38,IF(AND(AH38&lt;=40,E38&gt;J38),J38,0)))</f>
        <v>0</v>
      </c>
      <c r="BC38" s="152">
        <f t="shared" ref="BC38:BC44" si="140">IF(AND(AH38&lt;=40,E38&lt;J38),O38-J38,0)</f>
        <v>0</v>
      </c>
      <c r="BD38" s="154">
        <f t="shared" ref="BD38:BD44" si="141">IF(AND(J38=0),J38,IF(AND(J38&gt;0,AI38&gt;0,J38=BC38),BC38,IF(AND(J38&gt;0,AI38&gt;0,J38-BC38),BC38,0)))</f>
        <v>0</v>
      </c>
      <c r="BE38" s="154"/>
      <c r="BF38" s="159">
        <f>BD38</f>
        <v>0</v>
      </c>
      <c r="BG38" s="160"/>
      <c r="BH38" s="160">
        <f>IF(AND(G38&gt;0,E38&gt;0),1,0)</f>
        <v>0</v>
      </c>
      <c r="BI38" s="161">
        <f t="shared" ref="BI38:BI44" si="142">40-AH38</f>
        <v>40</v>
      </c>
      <c r="BJ38" s="161">
        <f t="shared" ref="BJ38:BJ44" si="143">IF(AND(BH38=1,40-BL37&gt;0,40-BL37&lt;8),40-BL37,IF(AND(E38&lt;G38),E38,G38))</f>
        <v>0</v>
      </c>
      <c r="BK38" s="161">
        <f t="shared" ref="BK38:BK44" si="144">IF(AND(BH38=1,BL38&gt;40,E38&lt;G38),E38-BJ38,(IF(AND(BH38=1,BL38&gt;0,E38&gt;=G38),G38-BJ38,0)))</f>
        <v>0</v>
      </c>
      <c r="BL38" s="161">
        <f>E38</f>
        <v>0</v>
      </c>
      <c r="BM38" s="160">
        <f>IF(AND(K38&gt;0,E38&gt;0),1,0)</f>
        <v>0</v>
      </c>
      <c r="BN38" s="161">
        <f>IF(AND(BM38=1,J38&gt;8),K38,(IF(AND(BM38=1,J38&gt;0),J38,0)))</f>
        <v>0</v>
      </c>
      <c r="BO38" s="161">
        <f t="shared" ref="BO38:BO39" si="145">IF(AND(BM38=1,40-BL37&gt;0,40-BL37&lt;8),40-BL37,IF(AND(J38&lt;K38),J38,K38))</f>
        <v>0</v>
      </c>
      <c r="BP38" s="161">
        <f t="shared" ref="BP38:BP42" si="146">IF(AND(BM38=1,BL38&gt;40,J38&lt;=K38),J38-BO38,IF(AND(BM38=1,BL38&gt;0,J38&gt;K38),K38-BO38,0))</f>
        <v>0</v>
      </c>
      <c r="BQ38" s="160"/>
    </row>
    <row r="39" spans="1:69" ht="15" customHeight="1">
      <c r="A39" s="225" t="b">
        <f t="shared" ref="A39:A44" si="147">IF(A38&lt;$O$7,A38+1,IF(A38=$O$7,""))</f>
        <v>0</v>
      </c>
      <c r="B39" s="226"/>
      <c r="C39" s="227"/>
      <c r="D39" s="32" t="s">
        <v>24</v>
      </c>
      <c r="E39" s="52"/>
      <c r="F39" s="52"/>
      <c r="G39" s="77"/>
      <c r="H39" s="52">
        <v>0</v>
      </c>
      <c r="I39" s="52"/>
      <c r="J39" s="108"/>
      <c r="K39" s="108"/>
      <c r="L39" s="109"/>
      <c r="M39" s="52"/>
      <c r="N39" s="52"/>
      <c r="O39" s="110">
        <f>SUM(E39:N39)-J39</f>
        <v>0</v>
      </c>
      <c r="P39" s="50" t="str">
        <f t="shared" ref="P39:P44" si="148">IF(AND(ISNUMBER(AA39),ISNUMBER(X39)),AA39*X39,"")</f>
        <v/>
      </c>
      <c r="Q39" s="52"/>
      <c r="R39" s="50" t="str">
        <f t="shared" ref="R39:R44" si="149">IF(AND(ISNUMBER(AB39),ISNUMBER(X39)),AB39*X39,"")</f>
        <v/>
      </c>
      <c r="S39" s="52"/>
      <c r="T39" s="52"/>
      <c r="U39" s="149">
        <f t="shared" si="110"/>
        <v>0</v>
      </c>
      <c r="V39" s="150">
        <f t="shared" ref="V39:V44" si="150">IF(BK39&gt;0,BK39,0)</f>
        <v>0</v>
      </c>
      <c r="W39" s="50"/>
      <c r="X39" s="49" t="str">
        <f>IF(ISNA(INDEX('Conversion Factors'!$B$6:$B$370,MATCH('July 1 - July 15'!$Z$38:$Z$44,'Conversion Factors'!$A$6:$A$370,0))),"",INDEX('Conversion Factors'!$B$6:$B$370,MATCH('July 1 - July 15'!$Z$38:$Z$44,'Conversion Factors'!$A$6:$A$370,0)))</f>
        <v/>
      </c>
      <c r="Z39" s="17" t="b">
        <f t="shared" si="124"/>
        <v>0</v>
      </c>
      <c r="AA39" s="57" t="str">
        <f t="shared" si="125"/>
        <v/>
      </c>
      <c r="AB39" s="57" t="str">
        <f t="shared" si="126"/>
        <v/>
      </c>
      <c r="AH39" s="71">
        <f t="shared" si="127"/>
        <v>0</v>
      </c>
      <c r="AI39" s="68">
        <f>IF(AH39&gt;$AI$12,AH39-($AI$12+AI38+AI37),0)</f>
        <v>0</v>
      </c>
      <c r="AJ39" s="145" t="b">
        <f t="shared" si="128"/>
        <v>0</v>
      </c>
      <c r="AK39" s="151" t="b">
        <f t="shared" ref="AK39:AK44" si="151">IF(AND(AO39&gt;0,AO39),IF(AP39&gt;0,AP39,IF(AQ39&gt;0,AQ39,IF(AR39&gt;0,AR39,IF(AU39&gt;0,AU39,0)))))</f>
        <v>0</v>
      </c>
      <c r="AM39" s="147">
        <f t="shared" si="129"/>
        <v>0</v>
      </c>
      <c r="AO39" s="162">
        <f t="shared" si="130"/>
        <v>0</v>
      </c>
      <c r="AP39" s="162">
        <f t="shared" si="131"/>
        <v>0</v>
      </c>
      <c r="AQ39" s="153">
        <f t="shared" si="132"/>
        <v>0</v>
      </c>
      <c r="AR39" s="162">
        <f t="shared" si="133"/>
        <v>0</v>
      </c>
      <c r="AS39" s="154">
        <f t="shared" si="134"/>
        <v>0</v>
      </c>
      <c r="AT39" s="154">
        <f t="shared" ref="AT39:AT41" si="152">IF(AND(AH38&lt;=40),40-AH38,0)</f>
        <v>40</v>
      </c>
      <c r="AU39" s="155">
        <f t="shared" ref="AU39:AU44" si="153">AS39</f>
        <v>0</v>
      </c>
      <c r="AV39" s="156">
        <f t="shared" si="135"/>
        <v>0</v>
      </c>
      <c r="AW39" s="157">
        <f t="shared" ref="AW39:AW44" si="154">AV39</f>
        <v>0</v>
      </c>
      <c r="AY39" s="157">
        <f t="shared" si="136"/>
        <v>0</v>
      </c>
      <c r="AZ39" s="152">
        <f t="shared" si="137"/>
        <v>0</v>
      </c>
      <c r="BA39" s="152">
        <f t="shared" si="138"/>
        <v>0</v>
      </c>
      <c r="BB39" s="158">
        <f t="shared" si="139"/>
        <v>0</v>
      </c>
      <c r="BC39" s="152">
        <f t="shared" si="140"/>
        <v>0</v>
      </c>
      <c r="BD39" s="154">
        <f t="shared" si="141"/>
        <v>0</v>
      </c>
      <c r="BE39" s="154">
        <f>IF(AND(AH38&lt;=40),40-AH38,0)</f>
        <v>40</v>
      </c>
      <c r="BF39" s="159">
        <f t="shared" ref="BF39:BF44" si="155">BD39</f>
        <v>0</v>
      </c>
      <c r="BG39" s="160"/>
      <c r="BH39" s="160">
        <f>IF(AND(G39&gt;0,E39&gt;0),1,0)</f>
        <v>0</v>
      </c>
      <c r="BI39" s="161">
        <f t="shared" si="142"/>
        <v>40</v>
      </c>
      <c r="BJ39" s="161">
        <f t="shared" si="143"/>
        <v>0</v>
      </c>
      <c r="BK39" s="161">
        <f t="shared" si="144"/>
        <v>0</v>
      </c>
      <c r="BL39" s="161">
        <f>SUM(E38:E39)</f>
        <v>0</v>
      </c>
      <c r="BM39" s="160">
        <f t="shared" ref="BM39:BM44" si="156">IF(AND(K39&gt;0,E39&gt;0),1,0)</f>
        <v>0</v>
      </c>
      <c r="BN39" s="161">
        <f>IF(AND(BM39=1,J39&gt;8),K39,(IF(AND(BM39=1,J39&gt;0),J39,0)))</f>
        <v>0</v>
      </c>
      <c r="BO39" s="161">
        <f t="shared" si="145"/>
        <v>0</v>
      </c>
      <c r="BP39" s="161">
        <f t="shared" si="146"/>
        <v>0</v>
      </c>
      <c r="BQ39" s="160"/>
    </row>
    <row r="40" spans="1:69" ht="15" customHeight="1">
      <c r="A40" s="225" t="b">
        <f t="shared" si="147"/>
        <v>0</v>
      </c>
      <c r="B40" s="226"/>
      <c r="C40" s="227"/>
      <c r="D40" s="32" t="s">
        <v>25</v>
      </c>
      <c r="E40" s="52"/>
      <c r="F40" s="52"/>
      <c r="G40" s="77"/>
      <c r="H40" s="52"/>
      <c r="I40" s="52"/>
      <c r="J40" s="108">
        <v>0</v>
      </c>
      <c r="K40" s="108">
        <v>0</v>
      </c>
      <c r="L40" s="109"/>
      <c r="M40" s="52"/>
      <c r="N40" s="52"/>
      <c r="O40" s="110">
        <f t="shared" ref="O40:O43" si="157">SUM(E40:N40)-J40</f>
        <v>0</v>
      </c>
      <c r="P40" s="50" t="str">
        <f t="shared" si="148"/>
        <v/>
      </c>
      <c r="Q40" s="52"/>
      <c r="R40" s="50" t="str">
        <f t="shared" si="149"/>
        <v/>
      </c>
      <c r="S40" s="52"/>
      <c r="T40" s="52"/>
      <c r="U40" s="149">
        <f t="shared" si="110"/>
        <v>0</v>
      </c>
      <c r="V40" s="150">
        <f t="shared" si="150"/>
        <v>0</v>
      </c>
      <c r="W40" s="50"/>
      <c r="X40" s="49" t="str">
        <f>IF(ISNA(INDEX('Conversion Factors'!$B$6:$B$370,MATCH('July 1 - July 15'!$Z$38:$Z$44,'Conversion Factors'!$A$6:$A$370,0))),"",INDEX('Conversion Factors'!$B$6:$B$370,MATCH('July 1 - July 15'!$Z$38:$Z$44,'Conversion Factors'!$A$6:$A$370,0)))</f>
        <v/>
      </c>
      <c r="Z40" s="17" t="b">
        <f t="shared" si="124"/>
        <v>0</v>
      </c>
      <c r="AA40" s="57" t="str">
        <f t="shared" si="125"/>
        <v/>
      </c>
      <c r="AB40" s="57" t="str">
        <f t="shared" si="126"/>
        <v/>
      </c>
      <c r="AG40" s="1"/>
      <c r="AH40" s="71">
        <f t="shared" si="127"/>
        <v>0</v>
      </c>
      <c r="AI40" s="68">
        <f>IF(AH40&gt;$AI$12,AH40-($AI$12+AI39+AI38+AI37),0)</f>
        <v>0</v>
      </c>
      <c r="AJ40" s="145" t="b">
        <f t="shared" si="128"/>
        <v>0</v>
      </c>
      <c r="AK40" s="151" t="b">
        <f t="shared" si="151"/>
        <v>0</v>
      </c>
      <c r="AM40" s="147">
        <f t="shared" si="129"/>
        <v>0</v>
      </c>
      <c r="AO40" s="162">
        <f t="shared" si="130"/>
        <v>0</v>
      </c>
      <c r="AP40" s="162">
        <f t="shared" si="131"/>
        <v>0</v>
      </c>
      <c r="AQ40" s="153">
        <f t="shared" si="132"/>
        <v>0</v>
      </c>
      <c r="AR40" s="162">
        <f t="shared" si="133"/>
        <v>0</v>
      </c>
      <c r="AS40" s="154">
        <f t="shared" si="134"/>
        <v>0</v>
      </c>
      <c r="AT40" s="154">
        <f t="shared" si="152"/>
        <v>40</v>
      </c>
      <c r="AU40" s="155">
        <f t="shared" si="153"/>
        <v>0</v>
      </c>
      <c r="AV40" s="156">
        <f t="shared" si="135"/>
        <v>0</v>
      </c>
      <c r="AW40" s="157">
        <f t="shared" si="154"/>
        <v>0</v>
      </c>
      <c r="AY40" s="157">
        <f t="shared" si="136"/>
        <v>0</v>
      </c>
      <c r="AZ40" s="152">
        <f t="shared" si="137"/>
        <v>0</v>
      </c>
      <c r="BA40" s="152">
        <f t="shared" si="138"/>
        <v>0</v>
      </c>
      <c r="BB40" s="158">
        <f t="shared" si="139"/>
        <v>0</v>
      </c>
      <c r="BC40" s="152">
        <f t="shared" si="140"/>
        <v>0</v>
      </c>
      <c r="BD40" s="154">
        <f t="shared" si="141"/>
        <v>0</v>
      </c>
      <c r="BE40" s="154">
        <f t="shared" ref="BE40:BE44" si="158">IF(AND(AH39&lt;=40),40-AH39,0)</f>
        <v>40</v>
      </c>
      <c r="BF40" s="159">
        <f t="shared" si="155"/>
        <v>0</v>
      </c>
      <c r="BG40" s="160"/>
      <c r="BH40" s="160">
        <f>IF(AND(G40&gt;0,E40&gt;0),1,0)</f>
        <v>0</v>
      </c>
      <c r="BI40" s="161">
        <f t="shared" si="142"/>
        <v>40</v>
      </c>
      <c r="BJ40" s="161">
        <f t="shared" si="143"/>
        <v>0</v>
      </c>
      <c r="BK40" s="161">
        <f t="shared" si="144"/>
        <v>0</v>
      </c>
      <c r="BL40" s="161">
        <f>SUM(E38:E40)</f>
        <v>0</v>
      </c>
      <c r="BM40" s="160">
        <f t="shared" si="156"/>
        <v>0</v>
      </c>
      <c r="BN40" s="161">
        <f>IF(AND(BM40=1,J40&gt;8),K40,(IF(AND(BM40=1,J40&gt;0),J40,0)))</f>
        <v>0</v>
      </c>
      <c r="BO40" s="161">
        <f>IF(AND(BM40=1,40-BL39&gt;0,40-BL39&lt;8),40-BL39,IF(AND(J40&lt;K40),J40,K40))</f>
        <v>0</v>
      </c>
      <c r="BP40" s="161">
        <f t="shared" si="146"/>
        <v>0</v>
      </c>
      <c r="BQ40" s="160"/>
    </row>
    <row r="41" spans="1:69" ht="15" customHeight="1">
      <c r="A41" s="225" t="b">
        <f t="shared" si="147"/>
        <v>0</v>
      </c>
      <c r="B41" s="226"/>
      <c r="C41" s="227"/>
      <c r="D41" s="32" t="s">
        <v>26</v>
      </c>
      <c r="E41" s="52"/>
      <c r="F41" s="52"/>
      <c r="G41" s="77"/>
      <c r="H41" s="52"/>
      <c r="I41" s="52"/>
      <c r="J41" s="108"/>
      <c r="K41" s="108"/>
      <c r="L41" s="109"/>
      <c r="M41" s="52"/>
      <c r="N41" s="52"/>
      <c r="O41" s="110">
        <f t="shared" si="157"/>
        <v>0</v>
      </c>
      <c r="P41" s="50" t="str">
        <f t="shared" si="148"/>
        <v/>
      </c>
      <c r="Q41" s="52"/>
      <c r="R41" s="50" t="str">
        <f t="shared" si="149"/>
        <v/>
      </c>
      <c r="S41" s="52"/>
      <c r="T41" s="52"/>
      <c r="U41" s="149">
        <f t="shared" si="110"/>
        <v>0</v>
      </c>
      <c r="V41" s="150">
        <f t="shared" si="150"/>
        <v>0</v>
      </c>
      <c r="W41" s="50"/>
      <c r="X41" s="49" t="str">
        <f>IF(ISNA(INDEX('Conversion Factors'!$B$6:$B$370,MATCH('July 1 - July 15'!$Z$38:$Z$44,'Conversion Factors'!$A$6:$A$370,0))),"",INDEX('Conversion Factors'!$B$6:$B$370,MATCH('July 1 - July 15'!$Z$38:$Z$44,'Conversion Factors'!$A$6:$A$370,0)))</f>
        <v/>
      </c>
      <c r="Z41" s="17" t="b">
        <f t="shared" si="124"/>
        <v>0</v>
      </c>
      <c r="AA41" s="57" t="str">
        <f t="shared" si="125"/>
        <v/>
      </c>
      <c r="AB41" s="57" t="str">
        <f t="shared" si="126"/>
        <v/>
      </c>
      <c r="AG41" s="1"/>
      <c r="AH41" s="71">
        <f t="shared" si="127"/>
        <v>0</v>
      </c>
      <c r="AI41" s="68">
        <f>IF(AH41&gt;$AI$12,AH41-($AI$12+AI40+AI39+AI38+AI37),0)</f>
        <v>0</v>
      </c>
      <c r="AJ41" s="145" t="b">
        <f t="shared" si="128"/>
        <v>0</v>
      </c>
      <c r="AK41" s="151" t="b">
        <f t="shared" si="151"/>
        <v>0</v>
      </c>
      <c r="AM41" s="147">
        <f t="shared" si="129"/>
        <v>0</v>
      </c>
      <c r="AO41" s="162">
        <f t="shared" si="130"/>
        <v>0</v>
      </c>
      <c r="AP41" s="162">
        <f t="shared" si="131"/>
        <v>0</v>
      </c>
      <c r="AQ41" s="153">
        <f t="shared" si="132"/>
        <v>0</v>
      </c>
      <c r="AR41" s="162">
        <f t="shared" si="133"/>
        <v>0</v>
      </c>
      <c r="AS41" s="154">
        <f t="shared" si="134"/>
        <v>0</v>
      </c>
      <c r="AT41" s="154">
        <f t="shared" si="152"/>
        <v>40</v>
      </c>
      <c r="AU41" s="155">
        <f t="shared" si="153"/>
        <v>0</v>
      </c>
      <c r="AV41" s="156">
        <f t="shared" si="135"/>
        <v>0</v>
      </c>
      <c r="AW41" s="157">
        <f t="shared" si="154"/>
        <v>0</v>
      </c>
      <c r="AY41" s="157">
        <f t="shared" si="136"/>
        <v>0</v>
      </c>
      <c r="AZ41" s="152">
        <f t="shared" si="137"/>
        <v>0</v>
      </c>
      <c r="BA41" s="152">
        <f t="shared" si="138"/>
        <v>0</v>
      </c>
      <c r="BB41" s="158">
        <f t="shared" si="139"/>
        <v>0</v>
      </c>
      <c r="BC41" s="152">
        <f t="shared" si="140"/>
        <v>0</v>
      </c>
      <c r="BD41" s="154">
        <f t="shared" si="141"/>
        <v>0</v>
      </c>
      <c r="BE41" s="154">
        <f t="shared" si="158"/>
        <v>40</v>
      </c>
      <c r="BF41" s="159">
        <f t="shared" si="155"/>
        <v>0</v>
      </c>
      <c r="BG41" s="160"/>
      <c r="BH41" s="160">
        <f t="shared" ref="BH41:BH44" si="159">IF(AND(G41&gt;0,E41&gt;0),1,0)</f>
        <v>0</v>
      </c>
      <c r="BI41" s="161">
        <f t="shared" si="142"/>
        <v>40</v>
      </c>
      <c r="BJ41" s="161">
        <f t="shared" si="143"/>
        <v>0</v>
      </c>
      <c r="BK41" s="161">
        <f t="shared" si="144"/>
        <v>0</v>
      </c>
      <c r="BL41" s="161">
        <f>SUM(E38:E41)</f>
        <v>0</v>
      </c>
      <c r="BM41" s="160">
        <f t="shared" si="156"/>
        <v>0</v>
      </c>
      <c r="BN41" s="161">
        <f t="shared" ref="BN41:BN44" si="160">IF(AND(BM41=1,J41&gt;8),K41,(IF(AND(BM41=1,J41&gt;0),J41,0)))</f>
        <v>0</v>
      </c>
      <c r="BO41" s="161">
        <f t="shared" ref="BO41:BO44" si="161">IF(AND(BM41=1,40-BL40&gt;0,40-BL40&lt;8),40-BL40,IF(AND(J41&lt;K41),J41,K41))</f>
        <v>0</v>
      </c>
      <c r="BP41" s="161">
        <f t="shared" si="146"/>
        <v>0</v>
      </c>
      <c r="BQ41" s="160"/>
    </row>
    <row r="42" spans="1:69" ht="15" customHeight="1">
      <c r="A42" s="225" t="b">
        <f t="shared" si="147"/>
        <v>0</v>
      </c>
      <c r="B42" s="226"/>
      <c r="C42" s="227"/>
      <c r="D42" s="32" t="s">
        <v>27</v>
      </c>
      <c r="E42" s="52"/>
      <c r="F42" s="52"/>
      <c r="G42" s="77"/>
      <c r="H42" s="52"/>
      <c r="I42" s="52"/>
      <c r="J42" s="108"/>
      <c r="K42" s="108"/>
      <c r="L42" s="109"/>
      <c r="M42" s="52"/>
      <c r="N42" s="52"/>
      <c r="O42" s="110">
        <f t="shared" si="157"/>
        <v>0</v>
      </c>
      <c r="P42" s="50" t="str">
        <f t="shared" si="148"/>
        <v/>
      </c>
      <c r="Q42" s="52"/>
      <c r="R42" s="50" t="str">
        <f t="shared" si="149"/>
        <v/>
      </c>
      <c r="S42" s="52"/>
      <c r="T42" s="52"/>
      <c r="U42" s="149">
        <f t="shared" si="110"/>
        <v>0</v>
      </c>
      <c r="V42" s="150">
        <f t="shared" si="150"/>
        <v>0</v>
      </c>
      <c r="W42" s="50"/>
      <c r="X42" s="49" t="str">
        <f>IF(ISNA(INDEX('Conversion Factors'!$B$6:$B$370,MATCH('July 1 - July 15'!$Z$38:$Z$44,'Conversion Factors'!$A$6:$A$370,0))),"",INDEX('Conversion Factors'!$B$6:$B$370,MATCH('July 1 - July 15'!$Z$38:$Z$44,'Conversion Factors'!$A$6:$A$370,0)))</f>
        <v/>
      </c>
      <c r="Z42" s="17" t="b">
        <f t="shared" si="124"/>
        <v>0</v>
      </c>
      <c r="AA42" s="57" t="str">
        <f t="shared" si="125"/>
        <v/>
      </c>
      <c r="AB42" s="57" t="str">
        <f t="shared" si="126"/>
        <v/>
      </c>
      <c r="AH42" s="71">
        <f t="shared" si="127"/>
        <v>0</v>
      </c>
      <c r="AI42" s="68">
        <f>IF(AH42&gt;$AI$12,AH42-($AI$12+AI41+AI40+AI39+AI38+AI37),0)</f>
        <v>0</v>
      </c>
      <c r="AJ42" s="145" t="b">
        <f t="shared" si="128"/>
        <v>0</v>
      </c>
      <c r="AK42" s="151" t="b">
        <f t="shared" si="151"/>
        <v>0</v>
      </c>
      <c r="AM42" s="147">
        <f t="shared" si="129"/>
        <v>0</v>
      </c>
      <c r="AO42" s="162">
        <f t="shared" si="130"/>
        <v>0</v>
      </c>
      <c r="AP42" s="162">
        <f t="shared" si="131"/>
        <v>0</v>
      </c>
      <c r="AQ42" s="153">
        <f t="shared" si="132"/>
        <v>0</v>
      </c>
      <c r="AR42" s="162">
        <f t="shared" si="133"/>
        <v>0</v>
      </c>
      <c r="AS42" s="154">
        <f t="shared" si="134"/>
        <v>0</v>
      </c>
      <c r="AT42" s="154">
        <f>IF(AND(AH41&lt;=40),40-AH41,0)</f>
        <v>40</v>
      </c>
      <c r="AU42" s="155">
        <f t="shared" si="153"/>
        <v>0</v>
      </c>
      <c r="AV42" s="156">
        <f t="shared" si="135"/>
        <v>0</v>
      </c>
      <c r="AW42" s="157">
        <f t="shared" si="154"/>
        <v>0</v>
      </c>
      <c r="AY42" s="157">
        <f t="shared" si="136"/>
        <v>0</v>
      </c>
      <c r="AZ42" s="152">
        <f t="shared" si="137"/>
        <v>0</v>
      </c>
      <c r="BA42" s="152">
        <f t="shared" si="138"/>
        <v>0</v>
      </c>
      <c r="BB42" s="158">
        <f t="shared" si="139"/>
        <v>0</v>
      </c>
      <c r="BC42" s="152">
        <f t="shared" si="140"/>
        <v>0</v>
      </c>
      <c r="BD42" s="154">
        <f t="shared" si="141"/>
        <v>0</v>
      </c>
      <c r="BE42" s="154">
        <f t="shared" si="158"/>
        <v>40</v>
      </c>
      <c r="BF42" s="159">
        <f t="shared" si="155"/>
        <v>0</v>
      </c>
      <c r="BG42" s="160"/>
      <c r="BH42" s="160">
        <f t="shared" si="159"/>
        <v>0</v>
      </c>
      <c r="BI42" s="161">
        <f t="shared" si="142"/>
        <v>40</v>
      </c>
      <c r="BJ42" s="161">
        <f t="shared" si="143"/>
        <v>0</v>
      </c>
      <c r="BK42" s="161">
        <f t="shared" si="144"/>
        <v>0</v>
      </c>
      <c r="BL42" s="161">
        <f>SUM(E38:E42)</f>
        <v>0</v>
      </c>
      <c r="BM42" s="160">
        <f t="shared" si="156"/>
        <v>0</v>
      </c>
      <c r="BN42" s="161">
        <f t="shared" si="160"/>
        <v>0</v>
      </c>
      <c r="BO42" s="161">
        <f t="shared" si="161"/>
        <v>0</v>
      </c>
      <c r="BP42" s="161">
        <f t="shared" si="146"/>
        <v>0</v>
      </c>
      <c r="BQ42" s="160"/>
    </row>
    <row r="43" spans="1:69" ht="15" customHeight="1">
      <c r="A43" s="225" t="b">
        <f t="shared" si="147"/>
        <v>0</v>
      </c>
      <c r="B43" s="226"/>
      <c r="C43" s="227"/>
      <c r="D43" s="32" t="s">
        <v>28</v>
      </c>
      <c r="E43" s="52"/>
      <c r="F43" s="52"/>
      <c r="G43" s="77"/>
      <c r="H43" s="52"/>
      <c r="I43" s="52"/>
      <c r="J43" s="108"/>
      <c r="K43" s="108"/>
      <c r="L43" s="109"/>
      <c r="M43" s="52"/>
      <c r="N43" s="52"/>
      <c r="O43" s="110">
        <f t="shared" si="157"/>
        <v>0</v>
      </c>
      <c r="P43" s="50" t="str">
        <f t="shared" si="148"/>
        <v/>
      </c>
      <c r="Q43" s="52"/>
      <c r="R43" s="50" t="str">
        <f t="shared" si="149"/>
        <v/>
      </c>
      <c r="S43" s="52"/>
      <c r="T43" s="52"/>
      <c r="U43" s="149">
        <f t="shared" si="110"/>
        <v>0</v>
      </c>
      <c r="V43" s="150">
        <f t="shared" si="150"/>
        <v>0</v>
      </c>
      <c r="W43" s="50"/>
      <c r="X43" s="49" t="str">
        <f>IF(ISNA(INDEX('Conversion Factors'!$B$6:$B$370,MATCH('July 1 - July 15'!$Z$38:$Z$44,'Conversion Factors'!$A$6:$A$370,0))),"",INDEX('Conversion Factors'!$B$6:$B$370,MATCH('July 1 - July 15'!$Z$38:$Z$44,'Conversion Factors'!$A$6:$A$370,0)))</f>
        <v/>
      </c>
      <c r="Z43" s="17" t="b">
        <f t="shared" si="124"/>
        <v>0</v>
      </c>
      <c r="AA43" s="57" t="str">
        <f t="shared" si="125"/>
        <v/>
      </c>
      <c r="AB43" s="57" t="str">
        <f t="shared" si="126"/>
        <v/>
      </c>
      <c r="AH43" s="71">
        <f t="shared" si="127"/>
        <v>0</v>
      </c>
      <c r="AI43" s="68">
        <f>IF(AH43&gt;$AI$12,AH43-($AI$12+AI42+AI41+AI40+AI39+AI38+AI37),0)</f>
        <v>0</v>
      </c>
      <c r="AJ43" s="145" t="b">
        <f t="shared" si="128"/>
        <v>0</v>
      </c>
      <c r="AK43" s="151" t="b">
        <f t="shared" si="151"/>
        <v>0</v>
      </c>
      <c r="AM43" s="147">
        <f t="shared" si="129"/>
        <v>0</v>
      </c>
      <c r="AO43" s="162">
        <f t="shared" si="130"/>
        <v>0</v>
      </c>
      <c r="AP43" s="162">
        <f t="shared" si="131"/>
        <v>0</v>
      </c>
      <c r="AQ43" s="153">
        <f t="shared" si="132"/>
        <v>0</v>
      </c>
      <c r="AR43" s="162">
        <f t="shared" si="133"/>
        <v>0</v>
      </c>
      <c r="AS43" s="154">
        <f t="shared" si="134"/>
        <v>0</v>
      </c>
      <c r="AT43" s="154">
        <f t="shared" ref="AT43:AT44" si="162">IF(AND(AH42&lt;=40),40-AH42,0)</f>
        <v>40</v>
      </c>
      <c r="AU43" s="155">
        <f t="shared" si="153"/>
        <v>0</v>
      </c>
      <c r="AV43" s="156">
        <f t="shared" si="135"/>
        <v>0</v>
      </c>
      <c r="AW43" s="157">
        <f t="shared" si="154"/>
        <v>0</v>
      </c>
      <c r="AY43" s="157">
        <f t="shared" si="136"/>
        <v>0</v>
      </c>
      <c r="AZ43" s="152">
        <f t="shared" si="137"/>
        <v>0</v>
      </c>
      <c r="BA43" s="152">
        <f t="shared" si="138"/>
        <v>0</v>
      </c>
      <c r="BB43" s="158">
        <f t="shared" si="139"/>
        <v>0</v>
      </c>
      <c r="BC43" s="152">
        <f t="shared" si="140"/>
        <v>0</v>
      </c>
      <c r="BD43" s="154">
        <f t="shared" si="141"/>
        <v>0</v>
      </c>
      <c r="BE43" s="154">
        <f t="shared" si="158"/>
        <v>40</v>
      </c>
      <c r="BF43" s="159">
        <f t="shared" si="155"/>
        <v>0</v>
      </c>
      <c r="BG43" s="160"/>
      <c r="BH43" s="160">
        <f t="shared" si="159"/>
        <v>0</v>
      </c>
      <c r="BI43" s="161">
        <f t="shared" si="142"/>
        <v>40</v>
      </c>
      <c r="BJ43" s="161">
        <f t="shared" si="143"/>
        <v>0</v>
      </c>
      <c r="BK43" s="161">
        <f t="shared" si="144"/>
        <v>0</v>
      </c>
      <c r="BL43" s="161">
        <f>SUM(E38:E43)</f>
        <v>0</v>
      </c>
      <c r="BM43" s="160">
        <f t="shared" si="156"/>
        <v>0</v>
      </c>
      <c r="BN43" s="161">
        <f t="shared" si="160"/>
        <v>0</v>
      </c>
      <c r="BO43" s="161">
        <f t="shared" si="161"/>
        <v>0</v>
      </c>
      <c r="BP43" s="161">
        <f>IF(AND(BM43=1,BL43&gt;40,J43&lt;=K43),J43-BO43,IF(AND(BM43=1,BL43&gt;0,J43&gt;K43),K43-BO43,0))</f>
        <v>0</v>
      </c>
      <c r="BQ43" s="160"/>
    </row>
    <row r="44" spans="1:69" ht="15" customHeight="1" thickBot="1">
      <c r="A44" s="231" t="b">
        <f t="shared" si="147"/>
        <v>0</v>
      </c>
      <c r="B44" s="232"/>
      <c r="C44" s="233"/>
      <c r="D44" s="32" t="s">
        <v>29</v>
      </c>
      <c r="E44" s="52"/>
      <c r="F44" s="52"/>
      <c r="G44" s="77"/>
      <c r="H44" s="52"/>
      <c r="I44" s="52"/>
      <c r="J44" s="108"/>
      <c r="K44" s="108"/>
      <c r="L44" s="109"/>
      <c r="M44" s="52"/>
      <c r="N44" s="52"/>
      <c r="O44" s="110">
        <f>SUM(E44:N44)-J44</f>
        <v>0</v>
      </c>
      <c r="P44" s="50" t="str">
        <f t="shared" si="148"/>
        <v/>
      </c>
      <c r="Q44" s="52"/>
      <c r="R44" s="50" t="str">
        <f t="shared" si="149"/>
        <v/>
      </c>
      <c r="S44" s="52"/>
      <c r="T44" s="52"/>
      <c r="U44" s="149">
        <f t="shared" si="110"/>
        <v>0</v>
      </c>
      <c r="V44" s="150">
        <f t="shared" si="150"/>
        <v>0</v>
      </c>
      <c r="W44" s="50"/>
      <c r="X44" s="49" t="str">
        <f>IF(ISNA(INDEX('Conversion Factors'!$B$6:$B$370,MATCH('July 1 - July 15'!$Z$38:$Z$44,'Conversion Factors'!$A$6:$A$370,0))),"",INDEX('Conversion Factors'!$B$6:$B$370,MATCH('July 1 - July 15'!$Z$38:$Z$44,'Conversion Factors'!$A$6:$A$370,0)))</f>
        <v/>
      </c>
      <c r="Z44" s="17" t="b">
        <f t="shared" si="124"/>
        <v>0</v>
      </c>
      <c r="AA44" s="57" t="str">
        <f t="shared" si="125"/>
        <v/>
      </c>
      <c r="AB44" s="57" t="str">
        <f t="shared" si="126"/>
        <v/>
      </c>
      <c r="AH44" s="71">
        <f t="shared" si="127"/>
        <v>0</v>
      </c>
      <c r="AI44" s="68">
        <f>IF(AH44&gt;$AI$12,AH44-($AI$12+AI43+AI42+AI41+AI40+AI39+AI38+AI37),0)</f>
        <v>0</v>
      </c>
      <c r="AJ44" s="145" t="b">
        <f t="shared" si="128"/>
        <v>0</v>
      </c>
      <c r="AK44" s="151" t="b">
        <f t="shared" si="151"/>
        <v>0</v>
      </c>
      <c r="AM44" s="147">
        <f t="shared" si="129"/>
        <v>0</v>
      </c>
      <c r="AO44" s="163">
        <f t="shared" si="130"/>
        <v>0</v>
      </c>
      <c r="AP44" s="163">
        <f t="shared" si="131"/>
        <v>0</v>
      </c>
      <c r="AQ44" s="153">
        <f t="shared" si="132"/>
        <v>0</v>
      </c>
      <c r="AR44" s="163">
        <f t="shared" si="133"/>
        <v>0</v>
      </c>
      <c r="AS44" s="154">
        <f t="shared" si="134"/>
        <v>0</v>
      </c>
      <c r="AT44" s="154">
        <f t="shared" si="162"/>
        <v>40</v>
      </c>
      <c r="AU44" s="155">
        <f t="shared" si="153"/>
        <v>0</v>
      </c>
      <c r="AV44" s="156">
        <f t="shared" si="135"/>
        <v>0</v>
      </c>
      <c r="AW44" s="157">
        <f t="shared" si="154"/>
        <v>0</v>
      </c>
      <c r="AY44" s="157">
        <f t="shared" si="136"/>
        <v>0</v>
      </c>
      <c r="AZ44" s="152">
        <f t="shared" si="137"/>
        <v>0</v>
      </c>
      <c r="BA44" s="152">
        <f t="shared" si="138"/>
        <v>0</v>
      </c>
      <c r="BB44" s="158">
        <f t="shared" si="139"/>
        <v>0</v>
      </c>
      <c r="BC44" s="152">
        <f t="shared" si="140"/>
        <v>0</v>
      </c>
      <c r="BD44" s="154">
        <f t="shared" si="141"/>
        <v>0</v>
      </c>
      <c r="BE44" s="154">
        <f t="shared" si="158"/>
        <v>40</v>
      </c>
      <c r="BF44" s="159">
        <f t="shared" si="155"/>
        <v>0</v>
      </c>
      <c r="BG44" s="160"/>
      <c r="BH44" s="160">
        <f t="shared" si="159"/>
        <v>0</v>
      </c>
      <c r="BI44" s="161">
        <f t="shared" si="142"/>
        <v>40</v>
      </c>
      <c r="BJ44" s="161">
        <f t="shared" si="143"/>
        <v>0</v>
      </c>
      <c r="BK44" s="161">
        <f t="shared" si="144"/>
        <v>0</v>
      </c>
      <c r="BL44" s="161">
        <f>SUM(E38:E44)</f>
        <v>0</v>
      </c>
      <c r="BM44" s="160">
        <f t="shared" si="156"/>
        <v>0</v>
      </c>
      <c r="BN44" s="161">
        <f t="shared" si="160"/>
        <v>0</v>
      </c>
      <c r="BO44" s="161">
        <f t="shared" si="161"/>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3">SUM(F38:F44)</f>
        <v>0</v>
      </c>
      <c r="G45" s="76">
        <f t="shared" si="163"/>
        <v>0</v>
      </c>
      <c r="H45" s="34">
        <f t="shared" si="163"/>
        <v>0</v>
      </c>
      <c r="I45" s="34">
        <f t="shared" si="163"/>
        <v>0</v>
      </c>
      <c r="J45" s="74"/>
      <c r="K45" s="74">
        <f t="shared" si="163"/>
        <v>0</v>
      </c>
      <c r="L45" s="34">
        <f t="shared" si="163"/>
        <v>0</v>
      </c>
      <c r="M45" s="34">
        <f t="shared" si="163"/>
        <v>0</v>
      </c>
      <c r="N45" s="34">
        <f t="shared" si="163"/>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88</v>
      </c>
      <c r="P46" s="90">
        <f t="shared" ref="P46:X46" si="164">(P21+P29+P37+P45)-P13</f>
        <v>-3.9394999999999998</v>
      </c>
      <c r="Q46" s="34">
        <f t="shared" si="164"/>
        <v>10</v>
      </c>
      <c r="R46" s="78">
        <f t="shared" si="164"/>
        <v>9.848749999999999</v>
      </c>
      <c r="S46" s="34">
        <f t="shared" si="164"/>
        <v>0</v>
      </c>
      <c r="T46" s="34">
        <f t="shared" si="164"/>
        <v>0</v>
      </c>
      <c r="U46" s="164">
        <f t="shared" si="164"/>
        <v>3</v>
      </c>
      <c r="V46" s="165">
        <f t="shared" si="164"/>
        <v>0</v>
      </c>
      <c r="W46" s="78">
        <f t="shared" si="164"/>
        <v>0</v>
      </c>
      <c r="X46" s="34">
        <f t="shared" si="164"/>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426" priority="44" operator="equal">
      <formula>FALSE</formula>
    </cfRule>
  </conditionalFormatting>
  <conditionalFormatting sqref="A22:C22">
    <cfRule type="cellIs" dxfId="425" priority="43" operator="equal">
      <formula>FALSE</formula>
    </cfRule>
  </conditionalFormatting>
  <conditionalFormatting sqref="D22:D28">
    <cfRule type="cellIs" dxfId="424" priority="42" operator="equal">
      <formula>FALSE</formula>
    </cfRule>
  </conditionalFormatting>
  <conditionalFormatting sqref="Z22:Z28">
    <cfRule type="cellIs" dxfId="423" priority="41" operator="equal">
      <formula>FALSE</formula>
    </cfRule>
  </conditionalFormatting>
  <conditionalFormatting sqref="Z30:Z36">
    <cfRule type="cellIs" dxfId="422" priority="40" operator="equal">
      <formula>FALSE</formula>
    </cfRule>
  </conditionalFormatting>
  <conditionalFormatting sqref="X21 X29 X37">
    <cfRule type="containsErrors" dxfId="421" priority="39">
      <formula>ISERROR(X21)</formula>
    </cfRule>
  </conditionalFormatting>
  <conditionalFormatting sqref="Z39:Z44">
    <cfRule type="cellIs" dxfId="420" priority="37" operator="equal">
      <formula>FALSE</formula>
    </cfRule>
  </conditionalFormatting>
  <conditionalFormatting sqref="Z38">
    <cfRule type="cellIs" dxfId="419" priority="38" operator="equal">
      <formula>FALSE</formula>
    </cfRule>
  </conditionalFormatting>
  <conditionalFormatting sqref="W11:X11">
    <cfRule type="cellIs" dxfId="418" priority="36" operator="equal">
      <formula>"Please Select"</formula>
    </cfRule>
  </conditionalFormatting>
  <conditionalFormatting sqref="E11:F11">
    <cfRule type="containsBlanks" dxfId="417" priority="35">
      <formula>LEN(TRIM(E11))=0</formula>
    </cfRule>
  </conditionalFormatting>
  <conditionalFormatting sqref="U14:U46">
    <cfRule type="cellIs" dxfId="416" priority="29" operator="equal">
      <formula>FALSE</formula>
    </cfRule>
  </conditionalFormatting>
  <conditionalFormatting sqref="P26">
    <cfRule type="cellIs" dxfId="415" priority="28" operator="lessThan">
      <formula>$BQ$21</formula>
    </cfRule>
  </conditionalFormatting>
  <conditionalFormatting sqref="X14:X20">
    <cfRule type="containsErrors" dxfId="414" priority="7">
      <formula>ISERROR(X14)</formula>
    </cfRule>
  </conditionalFormatting>
  <conditionalFormatting sqref="X30:X36">
    <cfRule type="containsErrors" dxfId="413" priority="4">
      <formula>ISERROR(X30)</formula>
    </cfRule>
  </conditionalFormatting>
  <conditionalFormatting sqref="X38:X44">
    <cfRule type="containsErrors" dxfId="412" priority="3">
      <formula>ISERROR(X38)</formula>
    </cfRule>
  </conditionalFormatting>
  <conditionalFormatting sqref="X22">
    <cfRule type="containsErrors" dxfId="411" priority="2">
      <formula>ISERROR(X22)</formula>
    </cfRule>
  </conditionalFormatting>
  <conditionalFormatting sqref="X23:X28">
    <cfRule type="containsErrors" dxfId="410"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EEC988CC-0B65-4B57-9FD3-D4EAB49C2D3B}">
      <formula1>$AD$6:$AD$8</formula1>
    </dataValidation>
    <dataValidation allowBlank="1" showInputMessage="1" showErrorMessage="1" promptTitle="Hours Per Week" prompt="Please enter the number of hours you are scheduled to work each week.  (Example:  40)_x000a_" sqref="E11:F11" xr:uid="{7E4B0EDA-903D-4EAB-8D20-2FC7AD6E1026}"/>
    <dataValidation allowBlank="1" showInputMessage="1" showErrorMessage="1" prompt="Enter your MSU ID into this field and it will populate to all the other time re[prts in this workbook." sqref="C6:H6" xr:uid="{E4638D78-E193-40A7-AE31-8C87138FF4C8}"/>
    <dataValidation allowBlank="1" showInputMessage="1" showErrorMessage="1" prompt="Enter your Name into this field and it will populate to all the other time reports in this workbook." sqref="C7:H7" xr:uid="{91FD1F8D-3C82-411F-9FB5-AA2FA333C362}"/>
    <dataValidation allowBlank="1" showInputMessage="1" showErrorMessage="1" prompt="Enter your Department Name into this field and it will populate to all the other time reports in this workbook." sqref="C8:H8" xr:uid="{5B555F86-74C2-4DB9-8F97-E690C7FCB371}"/>
  </dataValidations>
  <hyperlinks>
    <hyperlink ref="O49" r:id="rId1" xr:uid="{623FFA98-EC24-411D-AE1E-640B8366BC61}"/>
    <hyperlink ref="O48:W48" r:id="rId2" display="Leave/Leave Without Pay Policy" xr:uid="{ADB4EDA1-A655-4DEA-8D21-F01679378318}"/>
    <hyperlink ref="O50:W50" r:id="rId3" display="Time Sheet Definitions/Policies" xr:uid="{DC906D4B-14BC-49AA-B5BB-A35CD5631859}"/>
    <hyperlink ref="O49:T49" r:id="rId4" display="Overtime/Compensatory Time" xr:uid="{0B60A585-500E-48B0-AAC5-EF4CFB63E5A8}"/>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F2640-3667-43EE-BE27-F4D4770C5403}">
  <sheetPr codeName="Sheet8">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AA26" sqref="AA2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3" width="10.6640625" style="1" customWidth="1"/>
    <col min="74"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Notes'!$A$3</f>
        <v>44393</v>
      </c>
      <c r="P6" s="265"/>
      <c r="Q6" s="265"/>
      <c r="R6" s="265"/>
      <c r="S6" s="265"/>
      <c r="T6" s="265"/>
      <c r="U6" s="53"/>
      <c r="V6" s="53"/>
      <c r="W6" s="24"/>
      <c r="X6" s="30"/>
      <c r="Z6" s="4" t="str">
        <f>TEXT(O6,"dddd")</f>
        <v>Friday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Notes'!$B$3</f>
        <v>44408</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Notes'!$C$3</f>
        <v>14</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8</v>
      </c>
      <c r="F11" s="253"/>
      <c r="G11" s="254" t="s">
        <v>69</v>
      </c>
      <c r="H11" s="255"/>
      <c r="I11" s="255"/>
      <c r="J11" s="255"/>
      <c r="K11" s="255"/>
      <c r="L11" s="255"/>
      <c r="M11" s="255"/>
      <c r="N11" s="255"/>
      <c r="O11" s="255"/>
      <c r="P11" s="255"/>
      <c r="Q11" s="255"/>
      <c r="R11" s="256"/>
      <c r="S11" s="257" t="s">
        <v>67</v>
      </c>
      <c r="T11" s="258"/>
      <c r="U11" s="258"/>
      <c r="V11" s="259"/>
      <c r="W11" s="260" t="s">
        <v>48</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SUM(E14:E18)</f>
        <v>25</v>
      </c>
      <c r="F13" s="86">
        <f t="shared" ref="F13:N13" si="0">SUM(F14:F18)</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25</v>
      </c>
      <c r="P13" s="103"/>
      <c r="Q13" s="102"/>
      <c r="R13" s="103"/>
      <c r="S13" s="102"/>
      <c r="T13" s="86"/>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'July 1 - July 15'!E30</f>
        <v>0</v>
      </c>
      <c r="F14" s="182">
        <f>'July 1 - July 15'!F30</f>
        <v>0</v>
      </c>
      <c r="G14" s="184">
        <f>'July 1 - July 15'!G30</f>
        <v>0</v>
      </c>
      <c r="H14" s="182">
        <f>'July 1 - July 15'!H30</f>
        <v>0</v>
      </c>
      <c r="I14" s="182">
        <f>'July 1 - July 15'!I30</f>
        <v>0</v>
      </c>
      <c r="J14" s="185">
        <f>'July 1 - July 15'!J30</f>
        <v>0</v>
      </c>
      <c r="K14" s="185">
        <f>'July 1 - July 15'!K30</f>
        <v>0</v>
      </c>
      <c r="L14" s="186">
        <f>'July 1 - July 15'!L30</f>
        <v>0</v>
      </c>
      <c r="M14" s="182">
        <f>'July 1 - July 15'!M30</f>
        <v>0</v>
      </c>
      <c r="N14" s="182">
        <f>'July 1 - July 15'!N30</f>
        <v>0</v>
      </c>
      <c r="O14" s="183">
        <f>SUM(E14:N14)-J14</f>
        <v>0</v>
      </c>
      <c r="P14" s="50" t="str">
        <f>IF(AND(ISNUMBER(AA14),ISNUMBER(X14)),AA14*X14,"")</f>
        <v/>
      </c>
      <c r="Q14" s="52"/>
      <c r="R14" s="50" t="str">
        <f>IF(AND(ISNUMBER(AB14),ISNUMBER(X14)),AB14*X14,"")</f>
        <v/>
      </c>
      <c r="S14" s="52"/>
      <c r="T14" s="52"/>
      <c r="U14" s="149">
        <f>IF(BJ14&gt;0,BJ14,BN14)</f>
        <v>0</v>
      </c>
      <c r="V14" s="150">
        <f>IF(BK14&gt;0,BK14,0)</f>
        <v>0</v>
      </c>
      <c r="W14" s="50"/>
      <c r="X14" s="49" t="str">
        <f>IF(ISNA(INDEX('Conversion Factors'!$B$6:$B$371,MATCH('July 16 - July 31'!$Z$14:$Z$20,'Conversion Factors'!$A$6:$A$371,0))),"",INDEX('Conversion Factors'!$B$6:$B$371,MATCH('July 16 - July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'July 1 - July 15'!E31</f>
        <v>0</v>
      </c>
      <c r="F15" s="182">
        <f>'July 1 - July 15'!F31</f>
        <v>0</v>
      </c>
      <c r="G15" s="184">
        <f>'July 1 - July 15'!G31</f>
        <v>0</v>
      </c>
      <c r="H15" s="182">
        <f>'July 1 - July 15'!H31</f>
        <v>0</v>
      </c>
      <c r="I15" s="182">
        <f>'July 1 - July 15'!I31</f>
        <v>0</v>
      </c>
      <c r="J15" s="185">
        <f>'July 1 - July 15'!J31</f>
        <v>0</v>
      </c>
      <c r="K15" s="185">
        <f>'July 1 - July 15'!K31</f>
        <v>0</v>
      </c>
      <c r="L15" s="186">
        <f>'July 1 - July 15'!L31</f>
        <v>0</v>
      </c>
      <c r="M15" s="182">
        <f>'July 1 - July 15'!M31</f>
        <v>0</v>
      </c>
      <c r="N15" s="182">
        <f>'July 1 - July 15'!N31</f>
        <v>0</v>
      </c>
      <c r="O15" s="183">
        <f>SUM(E15:N15)-J15</f>
        <v>0</v>
      </c>
      <c r="P15" s="50" t="str">
        <f t="shared" ref="P15:P20" si="23">IF(AND(ISNUMBER(AA15),ISNUMBER(X15)),AA15*X15,"")</f>
        <v/>
      </c>
      <c r="Q15" s="52"/>
      <c r="R15" s="50" t="str">
        <f t="shared" ref="R15:R20" si="24">IF(AND(ISNUMBER(AB15),ISNUMBER(X15)),AB15*X15,"")</f>
        <v/>
      </c>
      <c r="S15" s="52"/>
      <c r="T15" s="52"/>
      <c r="U15" s="149">
        <f>IF(BJ15&gt;0,BJ15,BN15)</f>
        <v>0</v>
      </c>
      <c r="V15" s="150">
        <f t="shared" ref="V15:V20" si="25">IF(BK15&gt;0,BK15,0)</f>
        <v>0</v>
      </c>
      <c r="W15" s="50"/>
      <c r="X15" s="49" t="str">
        <f>IF(ISNA(INDEX('Conversion Factors'!$B$6:$B$371,MATCH('July 16 - July 31'!$Z$14:$Z$20,'Conversion Factors'!$A$6:$A$371,0))),"",INDEX('Conversion Factors'!$B$6:$B$371,MATCH('July 16 - July 31'!$Z$14:$Z$20,'Conversion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'July 1 - July 15'!E32</f>
        <v>5</v>
      </c>
      <c r="F16" s="182">
        <f>'July 1 - July 15'!F32</f>
        <v>0</v>
      </c>
      <c r="G16" s="184">
        <f>'July 1 - July 15'!G32</f>
        <v>0</v>
      </c>
      <c r="H16" s="182">
        <f>'July 1 - July 15'!H32</f>
        <v>0</v>
      </c>
      <c r="I16" s="182">
        <f>'July 1 - July 15'!I32</f>
        <v>0</v>
      </c>
      <c r="J16" s="185">
        <f>'July 1 - July 15'!J32</f>
        <v>0</v>
      </c>
      <c r="K16" s="185">
        <f>'July 1 - July 15'!K32</f>
        <v>0</v>
      </c>
      <c r="L16" s="186">
        <f>'July 1 - July 15'!L32</f>
        <v>0</v>
      </c>
      <c r="M16" s="182">
        <f>'July 1 - July 15'!M32</f>
        <v>0</v>
      </c>
      <c r="N16" s="182">
        <f>'July 1 - July 15'!N32</f>
        <v>0</v>
      </c>
      <c r="O16" s="183">
        <f t="shared" ref="O16:O19" si="34">SUM(E16:N16)-J16</f>
        <v>5</v>
      </c>
      <c r="P16" s="50" t="str">
        <f t="shared" si="23"/>
        <v/>
      </c>
      <c r="Q16" s="52"/>
      <c r="R16" s="50" t="str">
        <f t="shared" si="24"/>
        <v/>
      </c>
      <c r="S16" s="52"/>
      <c r="T16" s="52"/>
      <c r="U16" s="149">
        <f t="shared" ref="U16:U20" si="35">IF(BJ16&gt;0,BJ16,BN16)</f>
        <v>0</v>
      </c>
      <c r="V16" s="150">
        <f t="shared" si="25"/>
        <v>0</v>
      </c>
      <c r="W16" s="50"/>
      <c r="X16" s="49" t="str">
        <f>IF(ISNA(INDEX('Conversion Factors'!$B$6:$B$371,MATCH('July 16 - July 31'!$Z$14:$Z$20,'Conversion Factors'!$A$6:$A$371,0))),"",INDEX('Conversion Factors'!$B$6:$B$371,MATCH('July 16 - July 31'!$Z$14:$Z$20,'Conversion Factors'!$A$6:$A$371,0)))</f>
        <v/>
      </c>
      <c r="Z16" s="18" t="b">
        <f t="shared" si="1"/>
        <v>0</v>
      </c>
      <c r="AA16" s="57">
        <f t="shared" si="2"/>
        <v>0</v>
      </c>
      <c r="AB16" s="57" t="str">
        <f t="shared" si="3"/>
        <v/>
      </c>
      <c r="AG16" s="1"/>
      <c r="AH16" s="71">
        <f t="shared" si="26"/>
        <v>5</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35</v>
      </c>
      <c r="BJ16" s="161">
        <f t="shared" si="18"/>
        <v>0</v>
      </c>
      <c r="BK16" s="161">
        <f t="shared" si="19"/>
        <v>0</v>
      </c>
      <c r="BL16" s="161">
        <f>SUM(E14:E16)</f>
        <v>5</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'July 1 - July 15'!E33</f>
        <v>10</v>
      </c>
      <c r="F17" s="182">
        <f>'July 1 - July 15'!F33</f>
        <v>0</v>
      </c>
      <c r="G17" s="184">
        <f>'July 1 - July 15'!G33</f>
        <v>0</v>
      </c>
      <c r="H17" s="182">
        <f>'July 1 - July 15'!H33</f>
        <v>0</v>
      </c>
      <c r="I17" s="182">
        <f>'July 1 - July 15'!I33</f>
        <v>0</v>
      </c>
      <c r="J17" s="185">
        <f>'July 1 - July 15'!J33</f>
        <v>0</v>
      </c>
      <c r="K17" s="185">
        <f>'July 1 - July 15'!K33</f>
        <v>0</v>
      </c>
      <c r="L17" s="186">
        <f>'July 1 - July 15'!L33</f>
        <v>0</v>
      </c>
      <c r="M17" s="182">
        <f>'July 1 - July 15'!M33</f>
        <v>0</v>
      </c>
      <c r="N17" s="182">
        <f>'July 1 - July 15'!N33</f>
        <v>0</v>
      </c>
      <c r="O17" s="183">
        <f t="shared" si="34"/>
        <v>10</v>
      </c>
      <c r="P17" s="50" t="str">
        <f t="shared" si="23"/>
        <v/>
      </c>
      <c r="Q17" s="52"/>
      <c r="R17" s="50" t="str">
        <f t="shared" si="24"/>
        <v/>
      </c>
      <c r="S17" s="52"/>
      <c r="T17" s="52"/>
      <c r="U17" s="149">
        <f t="shared" si="35"/>
        <v>0</v>
      </c>
      <c r="V17" s="150">
        <f t="shared" si="25"/>
        <v>0</v>
      </c>
      <c r="W17" s="50"/>
      <c r="X17" s="49" t="str">
        <f>IF(ISNA(INDEX('Conversion Factors'!$B$6:$B$371,MATCH('July 16 - July 31'!$Z$14:$Z$20,'Conversion Factors'!$A$6:$A$371,0))),"",INDEX('Conversion Factors'!$B$6:$B$371,MATCH('July 16 - July 31'!$Z$14:$Z$20,'Conversion Factors'!$A$6:$A$371,0)))</f>
        <v/>
      </c>
      <c r="Z17" s="18" t="b">
        <f t="shared" si="1"/>
        <v>0</v>
      </c>
      <c r="AA17" s="57">
        <f t="shared" si="2"/>
        <v>0</v>
      </c>
      <c r="AB17" s="57" t="str">
        <f t="shared" si="3"/>
        <v/>
      </c>
      <c r="AG17" s="1"/>
      <c r="AH17" s="71">
        <f t="shared" si="26"/>
        <v>15</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35</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35</v>
      </c>
      <c r="BF17" s="159">
        <f t="shared" si="32"/>
        <v>0</v>
      </c>
      <c r="BG17" s="160"/>
      <c r="BH17" s="160">
        <f t="shared" si="37"/>
        <v>0</v>
      </c>
      <c r="BI17" s="161">
        <f t="shared" si="17"/>
        <v>25</v>
      </c>
      <c r="BJ17" s="161">
        <f t="shared" si="18"/>
        <v>0</v>
      </c>
      <c r="BK17" s="161">
        <f t="shared" si="19"/>
        <v>0</v>
      </c>
      <c r="BL17" s="161">
        <f>SUM(E14:E17)</f>
        <v>15</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'July 1 - July 15'!E34</f>
        <v>10</v>
      </c>
      <c r="F18" s="182">
        <f>'July 1 - July 15'!F34</f>
        <v>0</v>
      </c>
      <c r="G18" s="184">
        <f>'July 1 - July 15'!G34</f>
        <v>0</v>
      </c>
      <c r="H18" s="182">
        <f>'July 1 - July 15'!H34</f>
        <v>0</v>
      </c>
      <c r="I18" s="182">
        <f>'July 1 - July 15'!I34</f>
        <v>0</v>
      </c>
      <c r="J18" s="185">
        <f>'July 1 - July 15'!J34</f>
        <v>0</v>
      </c>
      <c r="K18" s="185">
        <f>'July 1 - July 15'!K34</f>
        <v>0</v>
      </c>
      <c r="L18" s="186">
        <f>'July 1 - July 15'!L34</f>
        <v>0</v>
      </c>
      <c r="M18" s="182">
        <f>'July 1 - July 15'!M34</f>
        <v>0</v>
      </c>
      <c r="N18" s="182">
        <f>'July 1 - July 15'!N34</f>
        <v>0</v>
      </c>
      <c r="O18" s="183">
        <f t="shared" si="34"/>
        <v>10</v>
      </c>
      <c r="P18" s="50" t="str">
        <f t="shared" si="23"/>
        <v/>
      </c>
      <c r="Q18" s="51"/>
      <c r="R18" s="50" t="str">
        <f t="shared" si="24"/>
        <v/>
      </c>
      <c r="S18" s="52"/>
      <c r="T18" s="52"/>
      <c r="U18" s="149">
        <f t="shared" si="35"/>
        <v>0</v>
      </c>
      <c r="V18" s="150">
        <f t="shared" si="25"/>
        <v>0</v>
      </c>
      <c r="W18" s="50"/>
      <c r="X18" s="49" t="str">
        <f>IF(ISNA(INDEX('Conversion Factors'!$B$6:$B$371,MATCH('July 16 - July 31'!$Z$14:$Z$20,'Conversion Factors'!$A$6:$A$371,0))),"",INDEX('Conversion Factors'!$B$6:$B$371,MATCH('July 16 - July 31'!$Z$14:$Z$20,'Conversion Factors'!$A$6:$A$371,0)))</f>
        <v/>
      </c>
      <c r="Z18" s="18" t="b">
        <f t="shared" si="1"/>
        <v>0</v>
      </c>
      <c r="AA18" s="57">
        <f t="shared" si="2"/>
        <v>0</v>
      </c>
      <c r="AB18" s="57" t="str">
        <f t="shared" si="3"/>
        <v/>
      </c>
      <c r="AH18" s="71">
        <f t="shared" si="26"/>
        <v>25</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25</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25</v>
      </c>
      <c r="BF18" s="159">
        <f t="shared" si="32"/>
        <v>0</v>
      </c>
      <c r="BG18" s="160"/>
      <c r="BH18" s="160">
        <f t="shared" si="37"/>
        <v>0</v>
      </c>
      <c r="BI18" s="161">
        <f t="shared" si="17"/>
        <v>15</v>
      </c>
      <c r="BJ18" s="161">
        <f t="shared" si="18"/>
        <v>0</v>
      </c>
      <c r="BK18" s="161">
        <f t="shared" si="19"/>
        <v>0</v>
      </c>
      <c r="BL18" s="161">
        <f>SUM(E14:E18)</f>
        <v>25</v>
      </c>
      <c r="BM18" s="160">
        <f t="shared" si="33"/>
        <v>0</v>
      </c>
      <c r="BN18" s="161">
        <f t="shared" si="38"/>
        <v>0</v>
      </c>
      <c r="BO18" s="161">
        <f t="shared" si="39"/>
        <v>0</v>
      </c>
      <c r="BP18" s="161">
        <f t="shared" si="21"/>
        <v>0</v>
      </c>
      <c r="BQ18" s="160"/>
    </row>
    <row r="19" spans="1:69" ht="15" customHeight="1">
      <c r="A19" s="237">
        <f t="shared" si="22"/>
        <v>44393</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Factors'!$B$6:$B$371,MATCH('July 16 - July 31'!$Z$14:$Z$20,'Conversion Factors'!$A$6:$A$371,0))),"",INDEX('Conversion Factors'!$B$6:$B$371,MATCH('July 16 - July 31'!$Z$14:$Z$20,'Conversion Factors'!$A$6:$A$371,0)))</f>
        <v>7.8789999999999996</v>
      </c>
      <c r="Z19" s="18">
        <f t="shared" si="1"/>
        <v>44393</v>
      </c>
      <c r="AA19" s="57" t="str">
        <f t="shared" si="2"/>
        <v/>
      </c>
      <c r="AB19" s="57" t="str">
        <f t="shared" si="3"/>
        <v/>
      </c>
      <c r="AH19" s="71">
        <f t="shared" si="26"/>
        <v>25</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15</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15</v>
      </c>
      <c r="BF19" s="159">
        <f t="shared" si="32"/>
        <v>0</v>
      </c>
      <c r="BG19" s="160"/>
      <c r="BH19" s="160">
        <f t="shared" si="37"/>
        <v>0</v>
      </c>
      <c r="BI19" s="161">
        <f t="shared" si="17"/>
        <v>15</v>
      </c>
      <c r="BJ19" s="161">
        <f>IF(AND(BH19=1,40-BL18&gt;0,40-BL18&lt;8),40-BL18,IF(AND(E19&lt;G19),E19,G19))</f>
        <v>0</v>
      </c>
      <c r="BK19" s="161">
        <f t="shared" si="19"/>
        <v>0</v>
      </c>
      <c r="BL19" s="161">
        <f>SUM(E14:E19)</f>
        <v>25</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44394</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Factors'!$B$6:$B$371,MATCH('July 16 - July 31'!$Z$14:$Z$20,'Conversion Factors'!$A$6:$A$371,0))),"",INDEX('Conversion Factors'!$B$6:$B$371,MATCH('July 16 - July 31'!$Z$14:$Z$20,'Conversion Factors'!$A$6:$A$371,0)))</f>
        <v>7.8789999999999996</v>
      </c>
      <c r="Z20" s="18">
        <f t="shared" si="1"/>
        <v>44394</v>
      </c>
      <c r="AA20" s="57" t="str">
        <f t="shared" si="2"/>
        <v/>
      </c>
      <c r="AB20" s="57" t="str">
        <f t="shared" si="3"/>
        <v/>
      </c>
      <c r="AH20" s="71">
        <f t="shared" si="26"/>
        <v>25</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15</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15</v>
      </c>
      <c r="BF20" s="159">
        <f t="shared" si="32"/>
        <v>0</v>
      </c>
      <c r="BG20" s="160"/>
      <c r="BH20" s="160">
        <f t="shared" si="37"/>
        <v>0</v>
      </c>
      <c r="BI20" s="161">
        <f t="shared" si="17"/>
        <v>15</v>
      </c>
      <c r="BJ20" s="161">
        <f t="shared" si="18"/>
        <v>0</v>
      </c>
      <c r="BK20" s="161">
        <f t="shared" si="19"/>
        <v>0</v>
      </c>
      <c r="BL20" s="161">
        <f>SUM(E14:E20)</f>
        <v>25</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25</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25</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17</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17</v>
      </c>
      <c r="AE21" s="166">
        <f>AD21-U21-V21</f>
        <v>17</v>
      </c>
      <c r="AF21" s="79" t="str">
        <f>$W$11</f>
        <v>Yes</v>
      </c>
      <c r="AG21" s="82">
        <f>$E$11</f>
        <v>8</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8</v>
      </c>
    </row>
    <row r="22" spans="1:69" ht="15" customHeight="1" thickTop="1">
      <c r="A22" s="237">
        <f>IF(A20=0,"",IF(A20&lt;$O$7,A20+1,IF(A20=$O$7,"")))</f>
        <v>44395</v>
      </c>
      <c r="B22" s="238"/>
      <c r="C22" s="239"/>
      <c r="D22" s="32" t="s">
        <v>23</v>
      </c>
      <c r="E22" s="51"/>
      <c r="F22" s="51"/>
      <c r="G22" s="112"/>
      <c r="H22" s="51"/>
      <c r="I22" s="51"/>
      <c r="J22" s="113"/>
      <c r="K22" s="113"/>
      <c r="L22" s="114"/>
      <c r="M22" s="51"/>
      <c r="N22" s="52"/>
      <c r="O22" s="110">
        <f>SUM(E22:N22)-J22</f>
        <v>0</v>
      </c>
      <c r="P22" s="50" t="str">
        <f>IF(AND(ISNUMBER(AA22),ISNUMBER(X22)),AA22*X22,"")</f>
        <v/>
      </c>
      <c r="Q22" s="52"/>
      <c r="R22" s="50" t="str">
        <f>IF(AND(ISNUMBER(AB22),ISNUMBER(X22)),AB22*X22,"")</f>
        <v/>
      </c>
      <c r="S22" s="52"/>
      <c r="T22" s="52"/>
      <c r="U22" s="149">
        <f>IF(BJ22&gt;0,BJ22,BN22)</f>
        <v>0</v>
      </c>
      <c r="V22" s="150">
        <f>IF(BK22&gt;0,BK22,0)</f>
        <v>0</v>
      </c>
      <c r="W22" s="50"/>
      <c r="X22" s="49">
        <f>IF(ISNA(INDEX('Conversion Factors'!$B$6:$B$371,MATCH('July 16 - July 31'!$Z$22:$Z$28,'Conversion Factors'!$A$6:$A$371,0))),"",INDEX('Conversion Factors'!$B$6:$B$371,MATCH('July 16 - July 31'!$Z$22:$Z$28,'Conversion Factors'!$A$6:$A$371,0)))</f>
        <v>7.8789999999999996</v>
      </c>
      <c r="Z22" s="17">
        <f t="shared" ref="Z22:Z28" si="42">A22</f>
        <v>44395</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44396</v>
      </c>
      <c r="B23" s="226"/>
      <c r="C23" s="227"/>
      <c r="D23" s="32" t="s">
        <v>24</v>
      </c>
      <c r="E23" s="51"/>
      <c r="F23" s="51"/>
      <c r="G23" s="112"/>
      <c r="H23" s="51"/>
      <c r="I23" s="51"/>
      <c r="J23" s="113"/>
      <c r="K23" s="113"/>
      <c r="L23" s="114"/>
      <c r="M23" s="51"/>
      <c r="N23" s="51"/>
      <c r="O23" s="110">
        <f>SUM(E23:N23)-J23</f>
        <v>0</v>
      </c>
      <c r="P23" s="50" t="str">
        <f t="shared" ref="P23:P28" si="65">IF(AND(ISNUMBER(AA23),ISNUMBER(X23)),AA23*X23,"")</f>
        <v/>
      </c>
      <c r="Q23" s="51"/>
      <c r="R23" s="50" t="str">
        <f t="shared" ref="R23:R28" si="66">IF(AND(ISNUMBER(AB23),ISNUMBER(X23)),AB23*X23,"")</f>
        <v/>
      </c>
      <c r="S23" s="52"/>
      <c r="T23" s="52"/>
      <c r="U23" s="149">
        <f>IF(BJ23&gt;0,BJ23,BN23)</f>
        <v>0</v>
      </c>
      <c r="V23" s="150">
        <f t="shared" ref="V23:V28" si="67">IF(BK23&gt;0,BK23,0)</f>
        <v>0</v>
      </c>
      <c r="W23" s="50"/>
      <c r="X23" s="49">
        <f>IF(ISNA(INDEX('Conversion Factors'!$B$6:$B$371,MATCH('July 16 - July 31'!$Z$22:$Z$28,'Conversion Factors'!$A$6:$A$371,0))),"",INDEX('Conversion Factors'!$B$6:$B$371,MATCH('July 16 - July 31'!$Z$22:$Z$28,'Conversion Factors'!$A$6:$A$371,0)))</f>
        <v>7.8789999999999996</v>
      </c>
      <c r="Z23" s="17">
        <f t="shared" si="42"/>
        <v>44396</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44397</v>
      </c>
      <c r="B24" s="226"/>
      <c r="C24" s="227"/>
      <c r="D24" s="32" t="s">
        <v>25</v>
      </c>
      <c r="E24" s="51"/>
      <c r="F24" s="51"/>
      <c r="G24" s="112"/>
      <c r="H24" s="51"/>
      <c r="I24" s="51"/>
      <c r="J24" s="113"/>
      <c r="K24" s="113"/>
      <c r="L24" s="114"/>
      <c r="M24" s="51"/>
      <c r="N24" s="51"/>
      <c r="O24" s="110">
        <f t="shared" ref="O24:O27" si="74">SUM(E24:N24)-J24</f>
        <v>0</v>
      </c>
      <c r="P24" s="50" t="str">
        <f t="shared" si="65"/>
        <v/>
      </c>
      <c r="Q24" s="51"/>
      <c r="R24" s="50" t="str">
        <f t="shared" si="66"/>
        <v/>
      </c>
      <c r="S24" s="52"/>
      <c r="T24" s="52"/>
      <c r="U24" s="149">
        <f t="shared" ref="U24:U28" si="75">IF(BJ24&gt;0,BJ24,BN24)</f>
        <v>0</v>
      </c>
      <c r="V24" s="150">
        <f t="shared" si="67"/>
        <v>0</v>
      </c>
      <c r="W24" s="50"/>
      <c r="X24" s="49">
        <f>IF(ISNA(INDEX('Conversion Factors'!$B$6:$B$371,MATCH('July 16 - July 31'!$Z$22:$Z$28,'Conversion Factors'!$A$6:$A$371,0))),"",INDEX('Conversion Factors'!$B$6:$B$371,MATCH('July 16 - July 31'!$Z$22:$Z$28,'Conversion Factors'!$A$6:$A$371,0)))</f>
        <v>7.8789999999999996</v>
      </c>
      <c r="Z24" s="17">
        <f t="shared" si="42"/>
        <v>44397</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6">IF(AND(AH23&lt;=40),40-AH23,0)</f>
        <v>40</v>
      </c>
      <c r="BF24" s="159">
        <f t="shared" si="72"/>
        <v>0</v>
      </c>
      <c r="BG24" s="160"/>
      <c r="BH24" s="160">
        <f t="shared" ref="BH24:BH28" si="77">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44398</v>
      </c>
      <c r="B25" s="226"/>
      <c r="C25" s="227"/>
      <c r="D25" s="32" t="s">
        <v>26</v>
      </c>
      <c r="E25" s="51"/>
      <c r="F25" s="51"/>
      <c r="G25" s="112"/>
      <c r="H25" s="51"/>
      <c r="I25" s="51"/>
      <c r="J25" s="113"/>
      <c r="K25" s="113"/>
      <c r="L25" s="114"/>
      <c r="M25" s="51"/>
      <c r="N25" s="51"/>
      <c r="O25" s="110">
        <f t="shared" si="74"/>
        <v>0</v>
      </c>
      <c r="P25" s="50" t="str">
        <f t="shared" si="65"/>
        <v/>
      </c>
      <c r="Q25" s="51"/>
      <c r="R25" s="50" t="str">
        <f t="shared" si="66"/>
        <v/>
      </c>
      <c r="S25" s="52"/>
      <c r="T25" s="52"/>
      <c r="U25" s="149">
        <f t="shared" si="75"/>
        <v>0</v>
      </c>
      <c r="V25" s="150">
        <f t="shared" si="67"/>
        <v>0</v>
      </c>
      <c r="W25" s="50"/>
      <c r="X25" s="49">
        <f>IF(ISNA(INDEX('Conversion Factors'!$B$6:$B$371,MATCH('July 16 - July 31'!$Z$22:$Z$28,'Conversion Factors'!$A$6:$A$371,0))),"",INDEX('Conversion Factors'!$B$6:$B$371,MATCH('July 16 - July 31'!$Z$22:$Z$28,'Conversion Factors'!$A$6:$A$371,0)))</f>
        <v>7.8789999999999996</v>
      </c>
      <c r="Z25" s="17">
        <f t="shared" si="42"/>
        <v>44398</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6"/>
        <v>40</v>
      </c>
      <c r="BF25" s="159">
        <f t="shared" si="72"/>
        <v>0</v>
      </c>
      <c r="BG25" s="160"/>
      <c r="BH25" s="160">
        <f t="shared" si="77"/>
        <v>0</v>
      </c>
      <c r="BI25" s="161">
        <f t="shared" si="59"/>
        <v>40</v>
      </c>
      <c r="BJ25" s="161">
        <f t="shared" si="60"/>
        <v>0</v>
      </c>
      <c r="BK25" s="161">
        <f t="shared" si="61"/>
        <v>0</v>
      </c>
      <c r="BL25" s="161">
        <f>SUM(E22:E25)</f>
        <v>0</v>
      </c>
      <c r="BM25" s="160">
        <f t="shared" si="73"/>
        <v>0</v>
      </c>
      <c r="BN25" s="161">
        <f t="shared" ref="BN25:BN28" si="78">IF(AND(BM25=1,J25&gt;8),K25,(IF(AND(BM25=1,J25&gt;0),J25,0)))</f>
        <v>0</v>
      </c>
      <c r="BO25" s="161">
        <f t="shared" ref="BO25:BO28" si="79">IF(AND(BM25=1,40-BL24&gt;0,40-BL24&lt;8),40-BL24,IF(AND(J25&lt;K25),J25,K25))</f>
        <v>0</v>
      </c>
      <c r="BP25" s="161">
        <f t="shared" si="63"/>
        <v>0</v>
      </c>
      <c r="BQ25" s="160"/>
    </row>
    <row r="26" spans="1:69" ht="15" customHeight="1">
      <c r="A26" s="225">
        <f t="shared" si="64"/>
        <v>44399</v>
      </c>
      <c r="B26" s="226"/>
      <c r="C26" s="227"/>
      <c r="D26" s="32" t="s">
        <v>27</v>
      </c>
      <c r="E26" s="51"/>
      <c r="F26" s="51"/>
      <c r="G26" s="112"/>
      <c r="H26" s="51"/>
      <c r="I26" s="51"/>
      <c r="J26" s="113"/>
      <c r="K26" s="113"/>
      <c r="L26" s="114"/>
      <c r="M26" s="51"/>
      <c r="N26" s="51"/>
      <c r="O26" s="110">
        <f t="shared" si="74"/>
        <v>0</v>
      </c>
      <c r="P26" s="50" t="str">
        <f t="shared" si="65"/>
        <v/>
      </c>
      <c r="Q26" s="51"/>
      <c r="R26" s="50" t="str">
        <f t="shared" si="66"/>
        <v/>
      </c>
      <c r="S26" s="52"/>
      <c r="T26" s="52"/>
      <c r="U26" s="149">
        <f t="shared" si="75"/>
        <v>0</v>
      </c>
      <c r="V26" s="150">
        <f t="shared" si="67"/>
        <v>0</v>
      </c>
      <c r="W26" s="50"/>
      <c r="X26" s="49">
        <f>IF(ISNA(INDEX('Conversion Factors'!$B$6:$B$371,MATCH('July 16 - July 31'!$Z$22:$Z$28,'Conversion Factors'!$A$6:$A$371,0))),"",INDEX('Conversion Factors'!$B$6:$B$371,MATCH('July 16 - July 31'!$Z$22:$Z$28,'Conversion Factors'!$A$6:$A$371,0)))</f>
        <v>7.8789999999999996</v>
      </c>
      <c r="Z26" s="17">
        <f t="shared" si="42"/>
        <v>44399</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6"/>
        <v>40</v>
      </c>
      <c r="BF26" s="159">
        <f t="shared" si="72"/>
        <v>0</v>
      </c>
      <c r="BG26" s="160"/>
      <c r="BH26" s="160">
        <f t="shared" si="77"/>
        <v>0</v>
      </c>
      <c r="BI26" s="161">
        <f t="shared" si="59"/>
        <v>40</v>
      </c>
      <c r="BJ26" s="161">
        <f t="shared" si="60"/>
        <v>0</v>
      </c>
      <c r="BK26" s="161">
        <f t="shared" si="61"/>
        <v>0</v>
      </c>
      <c r="BL26" s="161">
        <f>SUM(E22:E26)</f>
        <v>0</v>
      </c>
      <c r="BM26" s="160">
        <f t="shared" si="73"/>
        <v>0</v>
      </c>
      <c r="BN26" s="161">
        <f t="shared" si="78"/>
        <v>0</v>
      </c>
      <c r="BO26" s="161">
        <f t="shared" si="79"/>
        <v>0</v>
      </c>
      <c r="BP26" s="161">
        <f t="shared" si="63"/>
        <v>0</v>
      </c>
      <c r="BQ26" s="160"/>
    </row>
    <row r="27" spans="1:69" ht="15" customHeight="1">
      <c r="A27" s="225">
        <f t="shared" si="64"/>
        <v>44400</v>
      </c>
      <c r="B27" s="226"/>
      <c r="C27" s="227"/>
      <c r="D27" s="32" t="s">
        <v>28</v>
      </c>
      <c r="E27" s="51"/>
      <c r="F27" s="51"/>
      <c r="G27" s="112"/>
      <c r="H27" s="51"/>
      <c r="I27" s="51"/>
      <c r="J27" s="113"/>
      <c r="K27" s="113"/>
      <c r="L27" s="114"/>
      <c r="M27" s="51"/>
      <c r="N27" s="51"/>
      <c r="O27" s="110">
        <f t="shared" si="74"/>
        <v>0</v>
      </c>
      <c r="P27" s="50" t="str">
        <f t="shared" si="65"/>
        <v/>
      </c>
      <c r="Q27" s="51"/>
      <c r="R27" s="50" t="str">
        <f t="shared" si="66"/>
        <v/>
      </c>
      <c r="S27" s="52"/>
      <c r="T27" s="52"/>
      <c r="U27" s="149">
        <f t="shared" si="75"/>
        <v>0</v>
      </c>
      <c r="V27" s="150">
        <f t="shared" si="67"/>
        <v>0</v>
      </c>
      <c r="W27" s="50"/>
      <c r="X27" s="49">
        <f>IF(ISNA(INDEX('Conversion Factors'!$B$6:$B$371,MATCH('July 16 - July 31'!$Z$22:$Z$28,'Conversion Factors'!$A$6:$A$371,0))),"",INDEX('Conversion Factors'!$B$6:$B$371,MATCH('July 16 - July 31'!$Z$22:$Z$28,'Conversion Factors'!$A$6:$A$371,0)))</f>
        <v>7.8789999999999996</v>
      </c>
      <c r="Z27" s="17">
        <f t="shared" si="42"/>
        <v>44400</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80">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6"/>
        <v>40</v>
      </c>
      <c r="BF27" s="159">
        <f t="shared" si="72"/>
        <v>0</v>
      </c>
      <c r="BG27" s="160"/>
      <c r="BH27" s="160">
        <f t="shared" si="77"/>
        <v>0</v>
      </c>
      <c r="BI27" s="161">
        <f t="shared" si="59"/>
        <v>40</v>
      </c>
      <c r="BJ27" s="161">
        <f t="shared" si="60"/>
        <v>0</v>
      </c>
      <c r="BK27" s="161">
        <f t="shared" si="61"/>
        <v>0</v>
      </c>
      <c r="BL27" s="161">
        <f>SUM(E22:E27)</f>
        <v>0</v>
      </c>
      <c r="BM27" s="160">
        <f t="shared" si="73"/>
        <v>0</v>
      </c>
      <c r="BN27" s="161">
        <f t="shared" si="78"/>
        <v>0</v>
      </c>
      <c r="BO27" s="161">
        <f t="shared" si="79"/>
        <v>0</v>
      </c>
      <c r="BP27" s="161">
        <f>IF(AND(BM27=1,BL27&gt;40,J27&lt;=K27),J27-BO27,IF(AND(BM27=1,BL27&gt;0,J27&gt;K27),K27-BO27,0))</f>
        <v>0</v>
      </c>
      <c r="BQ27" s="160"/>
    </row>
    <row r="28" spans="1:69" ht="15" customHeight="1" thickBot="1">
      <c r="A28" s="225">
        <f t="shared" si="64"/>
        <v>44401</v>
      </c>
      <c r="B28" s="226"/>
      <c r="C28" s="227"/>
      <c r="D28" s="32" t="s">
        <v>29</v>
      </c>
      <c r="E28" s="51"/>
      <c r="F28" s="51"/>
      <c r="G28" s="112"/>
      <c r="H28" s="51"/>
      <c r="I28" s="51"/>
      <c r="J28" s="113"/>
      <c r="K28" s="113"/>
      <c r="L28" s="114"/>
      <c r="M28" s="51"/>
      <c r="N28" s="52"/>
      <c r="O28" s="110">
        <f>SUM(E28:N28)-J28</f>
        <v>0</v>
      </c>
      <c r="P28" s="50" t="str">
        <f t="shared" si="65"/>
        <v/>
      </c>
      <c r="Q28" s="52"/>
      <c r="R28" s="50" t="str">
        <f t="shared" si="66"/>
        <v/>
      </c>
      <c r="S28" s="52"/>
      <c r="T28" s="52"/>
      <c r="U28" s="149">
        <f t="shared" si="75"/>
        <v>0</v>
      </c>
      <c r="V28" s="150">
        <f t="shared" si="67"/>
        <v>0</v>
      </c>
      <c r="W28" s="50"/>
      <c r="X28" s="49">
        <f>IF(ISNA(INDEX('Conversion Factors'!$B$6:$B$371,MATCH('July 16 - July 31'!$Z$22:$Z$28,'Conversion Factors'!$A$6:$A$371,0))),"",INDEX('Conversion Factors'!$B$6:$B$371,MATCH('July 16 - July 31'!$Z$22:$Z$28,'Conversion Factors'!$A$6:$A$371,0)))</f>
        <v>7.8789999999999996</v>
      </c>
      <c r="Z28" s="17">
        <f t="shared" si="42"/>
        <v>44401</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80"/>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6"/>
        <v>40</v>
      </c>
      <c r="BF28" s="159">
        <f t="shared" si="72"/>
        <v>0</v>
      </c>
      <c r="BG28" s="160"/>
      <c r="BH28" s="160">
        <f t="shared" si="77"/>
        <v>0</v>
      </c>
      <c r="BI28" s="161">
        <f t="shared" si="59"/>
        <v>40</v>
      </c>
      <c r="BJ28" s="161">
        <f t="shared" si="60"/>
        <v>0</v>
      </c>
      <c r="BK28" s="161">
        <f t="shared" si="61"/>
        <v>0</v>
      </c>
      <c r="BL28" s="161">
        <f>SUM(E22:E28)</f>
        <v>0</v>
      </c>
      <c r="BM28" s="160">
        <f t="shared" si="73"/>
        <v>0</v>
      </c>
      <c r="BN28" s="161">
        <f t="shared" si="78"/>
        <v>0</v>
      </c>
      <c r="BO28" s="161">
        <f t="shared" si="79"/>
        <v>0</v>
      </c>
      <c r="BP28" s="161">
        <f>IF(AND(BM28=1,BL28&gt;40,J28&lt;=K28),J28-BO28,IF(AND(BM28=1,BL28&gt;0,J28&gt;K28),K28-BO28,0))</f>
        <v>0</v>
      </c>
      <c r="BQ28" s="160"/>
    </row>
    <row r="29" spans="1:69" ht="15" customHeight="1" thickTop="1" thickBot="1">
      <c r="A29" s="228" t="s">
        <v>30</v>
      </c>
      <c r="B29" s="229"/>
      <c r="C29" s="230"/>
      <c r="D29" s="33"/>
      <c r="E29" s="34">
        <f t="shared" ref="E29:N29" si="81">SUM(E22:E28)</f>
        <v>0</v>
      </c>
      <c r="F29" s="34">
        <f t="shared" si="81"/>
        <v>0</v>
      </c>
      <c r="G29" s="76">
        <f t="shared" si="81"/>
        <v>0</v>
      </c>
      <c r="H29" s="34">
        <f t="shared" si="81"/>
        <v>0</v>
      </c>
      <c r="I29" s="34">
        <f t="shared" si="81"/>
        <v>0</v>
      </c>
      <c r="J29" s="74"/>
      <c r="K29" s="74">
        <f t="shared" si="81"/>
        <v>0</v>
      </c>
      <c r="L29" s="34">
        <f t="shared" si="81"/>
        <v>0</v>
      </c>
      <c r="M29" s="34">
        <f t="shared" si="81"/>
        <v>0</v>
      </c>
      <c r="N29" s="34">
        <f t="shared" si="81"/>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8</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8</v>
      </c>
    </row>
    <row r="30" spans="1:69" ht="15" customHeight="1" thickTop="1">
      <c r="A30" s="225">
        <f>IF(A28&lt;$O$7,A28+1,IF(A28=$O$7,""))</f>
        <v>44402</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IF(BJ30&gt;0,BJ30,BN30)</f>
        <v>0</v>
      </c>
      <c r="V30" s="150">
        <f>IF(BK30&gt;0,BK30,0)</f>
        <v>0</v>
      </c>
      <c r="W30" s="50"/>
      <c r="X30" s="49">
        <f>IF(ISNA(INDEX('Conversion Factors'!$B$6:$B$370,MATCH('July 16 - July 31'!$Z$30:$Z$36,'Conversion Factors'!$A$6:$A$370,0))),"",INDEX('Conversion Factors'!$B$6:$B$370,MATCH('July 16 - July 31'!$Z$30:$Z$36,'Conversion Factors'!$A$6:$A$370,0)))</f>
        <v>7.8789999999999996</v>
      </c>
      <c r="Z30" s="17">
        <f t="shared" ref="Z30:Z36" si="82">A30</f>
        <v>44402</v>
      </c>
      <c r="AA30" s="57" t="str">
        <f t="shared" ref="AA30:AA36" si="83">IF(AND(ISNUMBER(N30),ISNUMBER($Z$12)),N30/$Z$12,"")</f>
        <v/>
      </c>
      <c r="AB30" s="57" t="str">
        <f t="shared" ref="AB30:AB36" si="84">IF(AND(ISNUMBER(Q30),ISNUMBER($Z$12)),Q30/$Z$12,"")</f>
        <v/>
      </c>
      <c r="AC30" s="58"/>
      <c r="AD30" s="59"/>
      <c r="AE30" s="58"/>
      <c r="AF30" s="58"/>
      <c r="AG30" s="64"/>
      <c r="AH30" s="71">
        <f t="shared" ref="AH30:AH36" si="85">E30+AH29</f>
        <v>0</v>
      </c>
      <c r="AI30" s="68">
        <f>IF(AH30&gt;$AI$12,AH30-($AI$12+AI29),0)</f>
        <v>0</v>
      </c>
      <c r="AJ30" s="145" t="b">
        <f t="shared" ref="AJ30:AJ36" si="86">IF(AND(AZ30&gt;0,AZ30),IF(BA30&gt;0,BA30,IF(BB30&gt;0,BB30,IF(BC30&gt;0,BC30,IF(BF30&gt;0,BF30,"")))))</f>
        <v>0</v>
      </c>
      <c r="AK30" s="151" t="b">
        <f>IF(AND(AO30&gt;0,AO30),IF(AP30&gt;0,AP30,IF(AQ30&gt;0,AQ30,IF(AR30&gt;0,AR30,IF(AU30&gt;0,AU30,"")))))</f>
        <v>0</v>
      </c>
      <c r="AM30" s="147">
        <f t="shared" ref="AM30:AM36" si="87">J30</f>
        <v>0</v>
      </c>
      <c r="AO30" s="152">
        <f t="shared" ref="AO30:AO36" si="88">IF(G30=0,0,"")</f>
        <v>0</v>
      </c>
      <c r="AP30" s="152">
        <f t="shared" ref="AP30:AP36" si="89">IF(AND(AH30&lt;=40,E30=G30),G30,0)</f>
        <v>0</v>
      </c>
      <c r="AQ30" s="153">
        <f t="shared" ref="AQ30:AQ36" si="90">IF(AND(AH30&lt;=40,E30&gt;=G30,G30&gt;0),O30-E30,0)</f>
        <v>0</v>
      </c>
      <c r="AR30" s="152">
        <f t="shared" ref="AR30:AR36" si="91">IF(AND(AH30&lt;=40,E30&lt;G30),O30-G30,0)</f>
        <v>0</v>
      </c>
      <c r="AS30" s="154">
        <f t="shared" ref="AS30:AS36" si="92">IF(AND(G30=0),G30,IF(AND(G30&gt;0,AI30&gt;0,G30=AT30),AT30,IF(AND(G30&gt;0,AI30&gt;0,G30-AT30),AT30,0)))</f>
        <v>0</v>
      </c>
      <c r="AT30" s="154"/>
      <c r="AU30" s="155">
        <f>AS30</f>
        <v>0</v>
      </c>
      <c r="AV30" s="156">
        <f t="shared" ref="AV30:AV36" si="93">IF(AND(AH29+AU30=40,AI30&gt;0,AI30&gt;AU30),AI30-AU30,IF(AND(AH29+AU30=40,AI30&gt;0,AI30&lt;AU30,AU30+AI30=G30),AI30,IF(AND(AH29&gt;40,AH30&gt;40,G30=AI30),AI30,0)))</f>
        <v>0</v>
      </c>
      <c r="AW30" s="157">
        <f>AV30</f>
        <v>0</v>
      </c>
      <c r="AY30" s="157">
        <f t="shared" ref="AY30:AY36" si="94">IF(AND(J30&gt;0,AI30&gt;=J30,BB30=0),O30-AI30,IF(AND(J30&gt;0,AI30&gt;0,BB30&lt;=AI30),AI30-BB30,IF(AND(J30&gt;0,AI30&gt;0,BB30&gt;AI30),J30-BB30,0)))</f>
        <v>0</v>
      </c>
      <c r="AZ30" s="152">
        <f t="shared" ref="AZ30:AZ36" si="95">IF(J30=0,0,"")</f>
        <v>0</v>
      </c>
      <c r="BA30" s="152">
        <f t="shared" ref="BA30:BA36" si="96">IF(AND(AH30&lt;=40,E30=J30),J30,0)</f>
        <v>0</v>
      </c>
      <c r="BB30" s="158">
        <f t="shared" ref="BB30:BB36" si="97">IF(AND(AZ30=0),AZ30,IF(AND(AH30&gt;40,E30&gt;=J30),BE30,IF(AND(AH30&lt;=40,E30&gt;J30),J30,0)))</f>
        <v>0</v>
      </c>
      <c r="BC30" s="152">
        <f t="shared" ref="BC30:BC36" si="98">IF(AND(AH30&lt;=40,E30&lt;J30),O30-J30,0)</f>
        <v>0</v>
      </c>
      <c r="BD30" s="154">
        <f t="shared" ref="BD30:BD36" si="99">IF(AND(J30=0),J30,IF(AND(J30&gt;0,AI30&gt;0,J30=BC30),BC30,IF(AND(J30&gt;0,AI30&gt;0,J30-BC30),BC30,0)))</f>
        <v>0</v>
      </c>
      <c r="BE30" s="154"/>
      <c r="BF30" s="159">
        <f>BD30</f>
        <v>0</v>
      </c>
      <c r="BG30" s="160"/>
      <c r="BH30" s="160">
        <f>IF(AND(G30&gt;0,E30&gt;0),1,0)</f>
        <v>0</v>
      </c>
      <c r="BI30" s="161">
        <f t="shared" ref="BI30:BI36" si="100">40-AH30</f>
        <v>40</v>
      </c>
      <c r="BJ30" s="161">
        <f t="shared" ref="BJ30:BJ36" si="101">IF(AND(BH30=1,40-BL29&gt;0,40-BL29&lt;8),40-BL29,IF(AND(E30&lt;G30),E30,G30))</f>
        <v>0</v>
      </c>
      <c r="BK30" s="161">
        <f t="shared" ref="BK30:BK36" si="102">IF(AND(BH30=1,BL30&gt;40,E30&lt;G30),E30-BJ30,(IF(AND(BH30=1,BL30&gt;0,E30&gt;=G30),G30-BJ30,0)))</f>
        <v>0</v>
      </c>
      <c r="BL30" s="161">
        <f>E30</f>
        <v>0</v>
      </c>
      <c r="BM30" s="160">
        <f>IF(AND(K30&gt;0,E30&gt;0),1,0)</f>
        <v>0</v>
      </c>
      <c r="BN30" s="161">
        <f>IF(AND(BM30=1,J30&gt;8),K30,(IF(AND(BM30=1,J30&gt;0),J30,0)))</f>
        <v>0</v>
      </c>
      <c r="BO30" s="161">
        <f t="shared" ref="BO30:BO31" si="103">IF(AND(BM30=1,40-BL29&gt;0,40-BL29&lt;8),40-BL29,IF(AND(J30&lt;K30),J30,K30))</f>
        <v>0</v>
      </c>
      <c r="BP30" s="161">
        <f t="shared" ref="BP30:BP34" si="104">IF(AND(BM30=1,BL30&gt;40,J30&lt;=K30),J30-BO30,IF(AND(BM30=1,BL30&gt;0,J30&gt;K30),K30-BO30,0))</f>
        <v>0</v>
      </c>
      <c r="BQ30" s="160"/>
    </row>
    <row r="31" spans="1:69" ht="15" customHeight="1">
      <c r="A31" s="225">
        <f t="shared" ref="A31:A36" si="105">IF(A30&lt;$O$7,A30+1,IF(A30=$O$7,""))</f>
        <v>44403</v>
      </c>
      <c r="B31" s="226"/>
      <c r="C31" s="227"/>
      <c r="D31" s="32" t="s">
        <v>24</v>
      </c>
      <c r="E31" s="176"/>
      <c r="F31" s="176"/>
      <c r="G31" s="177"/>
      <c r="H31" s="176"/>
      <c r="I31" s="176"/>
      <c r="J31" s="178"/>
      <c r="K31" s="178"/>
      <c r="L31" s="179"/>
      <c r="M31" s="176"/>
      <c r="N31" s="176"/>
      <c r="O31" s="110">
        <f t="shared" ref="O31:O36" si="106">SUM(E31:N31)-J31</f>
        <v>0</v>
      </c>
      <c r="P31" s="50" t="str">
        <f t="shared" ref="P31:P36" si="107">IF(AND(ISNUMBER(AA31),ISNUMBER(X31)),AA31*X31,"")</f>
        <v/>
      </c>
      <c r="Q31" s="51"/>
      <c r="R31" s="50" t="str">
        <f t="shared" ref="R31:R36" si="108">IF(AND(ISNUMBER(AB31),ISNUMBER(X31)),AB31*X31,"")</f>
        <v/>
      </c>
      <c r="S31" s="52"/>
      <c r="T31" s="52"/>
      <c r="U31" s="149">
        <f>IF(BJ31&gt;0,BJ31,BN31)</f>
        <v>0</v>
      </c>
      <c r="V31" s="150">
        <f t="shared" ref="V31:V36" si="109">IF(BK31&gt;0,BK31,0)</f>
        <v>0</v>
      </c>
      <c r="W31" s="50"/>
      <c r="X31" s="49">
        <f>IF(ISNA(INDEX('Conversion Factors'!$B$6:$B$370,MATCH('July 16 - July 31'!$Z$30:$Z$36,'Conversion Factors'!$A$6:$A$370,0))),"",INDEX('Conversion Factors'!$B$6:$B$370,MATCH('July 16 - July 31'!$Z$30:$Z$36,'Conversion Factors'!$A$6:$A$370,0)))</f>
        <v>7.8789999999999996</v>
      </c>
      <c r="Z31" s="17">
        <f t="shared" si="82"/>
        <v>44403</v>
      </c>
      <c r="AA31" s="57" t="str">
        <f t="shared" si="83"/>
        <v/>
      </c>
      <c r="AB31" s="57" t="str">
        <f t="shared" si="84"/>
        <v/>
      </c>
      <c r="AH31" s="71">
        <f t="shared" si="85"/>
        <v>0</v>
      </c>
      <c r="AI31" s="68">
        <f>IF(AH31&gt;$AI$12,AH31-($AI$12+AI30+AI29),0)</f>
        <v>0</v>
      </c>
      <c r="AJ31" s="145" t="b">
        <f t="shared" si="86"/>
        <v>0</v>
      </c>
      <c r="AK31" s="151" t="b">
        <f t="shared" ref="AK31:AK36" si="110">IF(AND(AO31&gt;0,AO31),IF(AP31&gt;0,AP31,IF(AQ31&gt;0,AQ31,IF(AR31&gt;0,AR31,IF(AU31&gt;0,AU31,0)))))</f>
        <v>0</v>
      </c>
      <c r="AM31" s="147">
        <f t="shared" si="87"/>
        <v>0</v>
      </c>
      <c r="AO31" s="162">
        <f t="shared" si="88"/>
        <v>0</v>
      </c>
      <c r="AP31" s="162">
        <f t="shared" si="89"/>
        <v>0</v>
      </c>
      <c r="AQ31" s="153">
        <f t="shared" si="90"/>
        <v>0</v>
      </c>
      <c r="AR31" s="162">
        <f t="shared" si="91"/>
        <v>0</v>
      </c>
      <c r="AS31" s="154">
        <f t="shared" si="92"/>
        <v>0</v>
      </c>
      <c r="AT31" s="154">
        <f t="shared" ref="AT31:AT33" si="111">IF(AND(AH30&lt;=40),40-AH30,0)</f>
        <v>40</v>
      </c>
      <c r="AU31" s="155">
        <f t="shared" ref="AU31:AU36" si="112">AS31</f>
        <v>0</v>
      </c>
      <c r="AV31" s="156">
        <f t="shared" si="93"/>
        <v>0</v>
      </c>
      <c r="AW31" s="157">
        <f t="shared" ref="AW31:AW36" si="113">AV31</f>
        <v>0</v>
      </c>
      <c r="AY31" s="157">
        <f t="shared" si="94"/>
        <v>0</v>
      </c>
      <c r="AZ31" s="152">
        <f t="shared" si="95"/>
        <v>0</v>
      </c>
      <c r="BA31" s="152">
        <f t="shared" si="96"/>
        <v>0</v>
      </c>
      <c r="BB31" s="158">
        <f t="shared" si="97"/>
        <v>0</v>
      </c>
      <c r="BC31" s="152">
        <f t="shared" si="98"/>
        <v>0</v>
      </c>
      <c r="BD31" s="154">
        <f t="shared" si="99"/>
        <v>0</v>
      </c>
      <c r="BE31" s="154">
        <f>IF(AND(AH30&lt;=40),40-AH30,0)</f>
        <v>40</v>
      </c>
      <c r="BF31" s="159">
        <f t="shared" ref="BF31:BF36" si="114">BD31</f>
        <v>0</v>
      </c>
      <c r="BG31" s="160"/>
      <c r="BH31" s="160">
        <f>IF(AND(G31&gt;0,E31&gt;0),1,0)</f>
        <v>0</v>
      </c>
      <c r="BI31" s="161">
        <f t="shared" si="100"/>
        <v>40</v>
      </c>
      <c r="BJ31" s="161">
        <f t="shared" si="101"/>
        <v>0</v>
      </c>
      <c r="BK31" s="161">
        <f t="shared" si="102"/>
        <v>0</v>
      </c>
      <c r="BL31" s="161">
        <f>SUM(E30:E31)</f>
        <v>0</v>
      </c>
      <c r="BM31" s="160">
        <f t="shared" ref="BM31:BM36" si="115">IF(AND(K31&gt;0,E31&gt;0),1,0)</f>
        <v>0</v>
      </c>
      <c r="BN31" s="161">
        <f>IF(AND(BM31=1,J31&gt;8),K31,(IF(AND(BM31=1,J31&gt;0),J31,0)))</f>
        <v>0</v>
      </c>
      <c r="BO31" s="161">
        <f t="shared" si="103"/>
        <v>0</v>
      </c>
      <c r="BP31" s="161">
        <f t="shared" si="104"/>
        <v>0</v>
      </c>
      <c r="BQ31" s="160"/>
    </row>
    <row r="32" spans="1:69" ht="15" customHeight="1">
      <c r="A32" s="225">
        <f t="shared" si="105"/>
        <v>44404</v>
      </c>
      <c r="B32" s="226"/>
      <c r="C32" s="227"/>
      <c r="D32" s="32" t="s">
        <v>25</v>
      </c>
      <c r="E32" s="176"/>
      <c r="F32" s="176"/>
      <c r="G32" s="177"/>
      <c r="H32" s="176"/>
      <c r="I32" s="176"/>
      <c r="J32" s="178"/>
      <c r="K32" s="178"/>
      <c r="L32" s="179"/>
      <c r="M32" s="176"/>
      <c r="N32" s="176"/>
      <c r="O32" s="110">
        <f t="shared" si="106"/>
        <v>0</v>
      </c>
      <c r="P32" s="50" t="str">
        <f t="shared" si="107"/>
        <v/>
      </c>
      <c r="Q32" s="51"/>
      <c r="R32" s="50" t="str">
        <f t="shared" si="108"/>
        <v/>
      </c>
      <c r="S32" s="52"/>
      <c r="T32" s="52"/>
      <c r="U32" s="149">
        <f t="shared" ref="U32:U44" si="116">IF(BJ32&gt;0,BJ32,BN32)</f>
        <v>0</v>
      </c>
      <c r="V32" s="150">
        <f t="shared" si="109"/>
        <v>0</v>
      </c>
      <c r="W32" s="50"/>
      <c r="X32" s="49">
        <f>IF(ISNA(INDEX('Conversion Factors'!$B$6:$B$370,MATCH('July 16 - July 31'!$Z$30:$Z$36,'Conversion Factors'!$A$6:$A$370,0))),"",INDEX('Conversion Factors'!$B$6:$B$370,MATCH('July 16 - July 31'!$Z$30:$Z$36,'Conversion Factors'!$A$6:$A$370,0)))</f>
        <v>7.8789999999999996</v>
      </c>
      <c r="Z32" s="17">
        <f t="shared" si="82"/>
        <v>44404</v>
      </c>
      <c r="AA32" s="57" t="str">
        <f t="shared" si="83"/>
        <v/>
      </c>
      <c r="AB32" s="57" t="str">
        <f t="shared" si="84"/>
        <v/>
      </c>
      <c r="AG32" s="1"/>
      <c r="AH32" s="71">
        <f t="shared" si="85"/>
        <v>0</v>
      </c>
      <c r="AI32" s="68">
        <f>IF(AH32&gt;$AI$12,AH32-($AI$12+AI31+AI30+AI29),0)</f>
        <v>0</v>
      </c>
      <c r="AJ32" s="145" t="b">
        <f t="shared" si="86"/>
        <v>0</v>
      </c>
      <c r="AK32" s="151" t="b">
        <f t="shared" si="110"/>
        <v>0</v>
      </c>
      <c r="AM32" s="147">
        <f t="shared" si="87"/>
        <v>0</v>
      </c>
      <c r="AO32" s="162">
        <f t="shared" si="88"/>
        <v>0</v>
      </c>
      <c r="AP32" s="162">
        <f t="shared" si="89"/>
        <v>0</v>
      </c>
      <c r="AQ32" s="153">
        <f t="shared" si="90"/>
        <v>0</v>
      </c>
      <c r="AR32" s="162">
        <f t="shared" si="91"/>
        <v>0</v>
      </c>
      <c r="AS32" s="154">
        <f t="shared" si="92"/>
        <v>0</v>
      </c>
      <c r="AT32" s="154">
        <f t="shared" si="111"/>
        <v>40</v>
      </c>
      <c r="AU32" s="155">
        <f t="shared" si="112"/>
        <v>0</v>
      </c>
      <c r="AV32" s="156">
        <f t="shared" si="93"/>
        <v>0</v>
      </c>
      <c r="AW32" s="157">
        <f t="shared" si="113"/>
        <v>0</v>
      </c>
      <c r="AY32" s="157">
        <f t="shared" si="94"/>
        <v>0</v>
      </c>
      <c r="AZ32" s="152">
        <f t="shared" si="95"/>
        <v>0</v>
      </c>
      <c r="BA32" s="152">
        <f t="shared" si="96"/>
        <v>0</v>
      </c>
      <c r="BB32" s="158">
        <f t="shared" si="97"/>
        <v>0</v>
      </c>
      <c r="BC32" s="152">
        <f t="shared" si="98"/>
        <v>0</v>
      </c>
      <c r="BD32" s="154">
        <f t="shared" si="99"/>
        <v>0</v>
      </c>
      <c r="BE32" s="154">
        <f t="shared" ref="BE32:BE36" si="117">IF(AND(AH31&lt;=40),40-AH31,0)</f>
        <v>40</v>
      </c>
      <c r="BF32" s="159">
        <f t="shared" si="114"/>
        <v>0</v>
      </c>
      <c r="BG32" s="160"/>
      <c r="BH32" s="160">
        <f>IF(AND(G32&gt;0,E32&gt;0),1,0)</f>
        <v>0</v>
      </c>
      <c r="BI32" s="161">
        <f t="shared" si="100"/>
        <v>40</v>
      </c>
      <c r="BJ32" s="161">
        <f t="shared" si="101"/>
        <v>0</v>
      </c>
      <c r="BK32" s="161">
        <f t="shared" si="102"/>
        <v>0</v>
      </c>
      <c r="BL32" s="161">
        <f>SUM(E30:E32)</f>
        <v>0</v>
      </c>
      <c r="BM32" s="160">
        <f t="shared" si="115"/>
        <v>0</v>
      </c>
      <c r="BN32" s="161">
        <f>IF(AND(BM32=1,J32&gt;8),K32,(IF(AND(BM32=1,J32&gt;0),J32,0)))</f>
        <v>0</v>
      </c>
      <c r="BO32" s="161">
        <f>IF(AND(BM32=1,40-BL31&gt;0,40-BL31&lt;8),40-BL31,IF(AND(J32&lt;K32),J32,K32))</f>
        <v>0</v>
      </c>
      <c r="BP32" s="161">
        <f t="shared" si="104"/>
        <v>0</v>
      </c>
      <c r="BQ32" s="160"/>
    </row>
    <row r="33" spans="1:69" ht="15" customHeight="1">
      <c r="A33" s="225">
        <f t="shared" si="105"/>
        <v>44405</v>
      </c>
      <c r="B33" s="226"/>
      <c r="C33" s="227"/>
      <c r="D33" s="32" t="s">
        <v>26</v>
      </c>
      <c r="E33" s="176"/>
      <c r="F33" s="176"/>
      <c r="G33" s="177"/>
      <c r="H33" s="176"/>
      <c r="I33" s="176"/>
      <c r="J33" s="178"/>
      <c r="K33" s="178"/>
      <c r="L33" s="179"/>
      <c r="M33" s="176"/>
      <c r="N33" s="176"/>
      <c r="O33" s="110">
        <f t="shared" si="106"/>
        <v>0</v>
      </c>
      <c r="P33" s="50" t="str">
        <f t="shared" si="107"/>
        <v/>
      </c>
      <c r="Q33" s="51"/>
      <c r="R33" s="50" t="str">
        <f t="shared" si="108"/>
        <v/>
      </c>
      <c r="S33" s="52"/>
      <c r="T33" s="52"/>
      <c r="U33" s="149">
        <f t="shared" si="116"/>
        <v>0</v>
      </c>
      <c r="V33" s="150">
        <f t="shared" si="109"/>
        <v>0</v>
      </c>
      <c r="W33" s="50"/>
      <c r="X33" s="49">
        <f>IF(ISNA(INDEX('Conversion Factors'!$B$6:$B$370,MATCH('July 16 - July 31'!$Z$30:$Z$36,'Conversion Factors'!$A$6:$A$370,0))),"",INDEX('Conversion Factors'!$B$6:$B$370,MATCH('July 16 - July 31'!$Z$30:$Z$36,'Conversion Factors'!$A$6:$A$370,0)))</f>
        <v>7.8789999999999996</v>
      </c>
      <c r="Z33" s="17">
        <f t="shared" si="82"/>
        <v>44405</v>
      </c>
      <c r="AA33" s="57" t="str">
        <f t="shared" si="83"/>
        <v/>
      </c>
      <c r="AB33" s="57" t="str">
        <f t="shared" si="84"/>
        <v/>
      </c>
      <c r="AG33" s="1"/>
      <c r="AH33" s="71">
        <f t="shared" si="85"/>
        <v>0</v>
      </c>
      <c r="AI33" s="68">
        <f>IF(AH33&gt;$AI$12,AH33-($AI$12+AI32+AI31+AI30+AI29),0)</f>
        <v>0</v>
      </c>
      <c r="AJ33" s="145" t="b">
        <f t="shared" si="86"/>
        <v>0</v>
      </c>
      <c r="AK33" s="151" t="b">
        <f t="shared" si="110"/>
        <v>0</v>
      </c>
      <c r="AM33" s="147">
        <f t="shared" si="87"/>
        <v>0</v>
      </c>
      <c r="AO33" s="162">
        <f t="shared" si="88"/>
        <v>0</v>
      </c>
      <c r="AP33" s="162">
        <f t="shared" si="89"/>
        <v>0</v>
      </c>
      <c r="AQ33" s="153">
        <f t="shared" si="90"/>
        <v>0</v>
      </c>
      <c r="AR33" s="162">
        <f t="shared" si="91"/>
        <v>0</v>
      </c>
      <c r="AS33" s="154">
        <f t="shared" si="92"/>
        <v>0</v>
      </c>
      <c r="AT33" s="154">
        <f t="shared" si="111"/>
        <v>40</v>
      </c>
      <c r="AU33" s="155">
        <f t="shared" si="112"/>
        <v>0</v>
      </c>
      <c r="AV33" s="156">
        <f t="shared" si="93"/>
        <v>0</v>
      </c>
      <c r="AW33" s="157">
        <f t="shared" si="113"/>
        <v>0</v>
      </c>
      <c r="AY33" s="157">
        <f t="shared" si="94"/>
        <v>0</v>
      </c>
      <c r="AZ33" s="152">
        <f t="shared" si="95"/>
        <v>0</v>
      </c>
      <c r="BA33" s="152">
        <f t="shared" si="96"/>
        <v>0</v>
      </c>
      <c r="BB33" s="158">
        <f t="shared" si="97"/>
        <v>0</v>
      </c>
      <c r="BC33" s="152">
        <f t="shared" si="98"/>
        <v>0</v>
      </c>
      <c r="BD33" s="154">
        <f t="shared" si="99"/>
        <v>0</v>
      </c>
      <c r="BE33" s="154">
        <f t="shared" si="117"/>
        <v>40</v>
      </c>
      <c r="BF33" s="159">
        <f t="shared" si="114"/>
        <v>0</v>
      </c>
      <c r="BG33" s="160"/>
      <c r="BH33" s="160">
        <f t="shared" ref="BH33:BH37" si="118">IF(AND(G33&gt;0,E33&gt;0),1,0)</f>
        <v>0</v>
      </c>
      <c r="BI33" s="161">
        <f t="shared" si="100"/>
        <v>40</v>
      </c>
      <c r="BJ33" s="161">
        <f t="shared" si="101"/>
        <v>0</v>
      </c>
      <c r="BK33" s="161">
        <f t="shared" si="102"/>
        <v>0</v>
      </c>
      <c r="BL33" s="161">
        <f>SUM(E30:E33)</f>
        <v>0</v>
      </c>
      <c r="BM33" s="160">
        <f t="shared" si="115"/>
        <v>0</v>
      </c>
      <c r="BN33" s="161">
        <f t="shared" ref="BN33:BN36" si="119">IF(AND(BM33=1,J33&gt;8),K33,(IF(AND(BM33=1,J33&gt;0),J33,0)))</f>
        <v>0</v>
      </c>
      <c r="BO33" s="161">
        <f t="shared" ref="BO33:BO36" si="120">IF(AND(BM33=1,40-BL32&gt;0,40-BL32&lt;8),40-BL32,IF(AND(J33&lt;K33),J33,K33))</f>
        <v>0</v>
      </c>
      <c r="BP33" s="161">
        <f t="shared" si="104"/>
        <v>0</v>
      </c>
      <c r="BQ33" s="160"/>
    </row>
    <row r="34" spans="1:69" ht="15" customHeight="1">
      <c r="A34" s="225">
        <f t="shared" si="105"/>
        <v>44406</v>
      </c>
      <c r="B34" s="226"/>
      <c r="C34" s="227"/>
      <c r="D34" s="32" t="s">
        <v>27</v>
      </c>
      <c r="E34" s="176"/>
      <c r="F34" s="176"/>
      <c r="G34" s="177"/>
      <c r="H34" s="176"/>
      <c r="I34" s="176"/>
      <c r="J34" s="178"/>
      <c r="K34" s="178"/>
      <c r="L34" s="179"/>
      <c r="M34" s="176"/>
      <c r="N34" s="176"/>
      <c r="O34" s="110">
        <f t="shared" si="106"/>
        <v>0</v>
      </c>
      <c r="P34" s="50" t="str">
        <f t="shared" si="107"/>
        <v/>
      </c>
      <c r="Q34" s="52"/>
      <c r="R34" s="50" t="str">
        <f t="shared" si="108"/>
        <v/>
      </c>
      <c r="S34" s="52"/>
      <c r="T34" s="52"/>
      <c r="U34" s="149">
        <f t="shared" si="116"/>
        <v>0</v>
      </c>
      <c r="V34" s="150">
        <f t="shared" si="109"/>
        <v>0</v>
      </c>
      <c r="W34" s="50"/>
      <c r="X34" s="49">
        <f>IF(ISNA(INDEX('Conversion Factors'!$B$6:$B$370,MATCH('July 16 - July 31'!$Z$30:$Z$36,'Conversion Factors'!$A$6:$A$370,0))),"",INDEX('Conversion Factors'!$B$6:$B$370,MATCH('July 16 - July 31'!$Z$30:$Z$36,'Conversion Factors'!$A$6:$A$370,0)))</f>
        <v>7.8789999999999996</v>
      </c>
      <c r="Z34" s="17">
        <f t="shared" si="82"/>
        <v>44406</v>
      </c>
      <c r="AA34" s="57" t="str">
        <f t="shared" si="83"/>
        <v/>
      </c>
      <c r="AB34" s="57" t="str">
        <f t="shared" si="84"/>
        <v/>
      </c>
      <c r="AH34" s="71">
        <f t="shared" si="85"/>
        <v>0</v>
      </c>
      <c r="AI34" s="68">
        <f>IF(AH34&gt;$AI$12,AH34-($AI$12+AI33+AI32+AI31+AI30+AI29),0)</f>
        <v>0</v>
      </c>
      <c r="AJ34" s="145" t="b">
        <f t="shared" si="86"/>
        <v>0</v>
      </c>
      <c r="AK34" s="151" t="b">
        <f t="shared" si="110"/>
        <v>0</v>
      </c>
      <c r="AM34" s="147">
        <f t="shared" si="87"/>
        <v>0</v>
      </c>
      <c r="AO34" s="162">
        <f t="shared" si="88"/>
        <v>0</v>
      </c>
      <c r="AP34" s="162">
        <f t="shared" si="89"/>
        <v>0</v>
      </c>
      <c r="AQ34" s="153">
        <f t="shared" si="90"/>
        <v>0</v>
      </c>
      <c r="AR34" s="162">
        <f t="shared" si="91"/>
        <v>0</v>
      </c>
      <c r="AS34" s="154">
        <f t="shared" si="92"/>
        <v>0</v>
      </c>
      <c r="AT34" s="154">
        <f>IF(AND(AH33&lt;=40),40-AH33,0)</f>
        <v>40</v>
      </c>
      <c r="AU34" s="155">
        <f t="shared" si="112"/>
        <v>0</v>
      </c>
      <c r="AV34" s="156">
        <f t="shared" si="93"/>
        <v>0</v>
      </c>
      <c r="AW34" s="157">
        <f t="shared" si="113"/>
        <v>0</v>
      </c>
      <c r="AY34" s="157">
        <f t="shared" si="94"/>
        <v>0</v>
      </c>
      <c r="AZ34" s="152">
        <f t="shared" si="95"/>
        <v>0</v>
      </c>
      <c r="BA34" s="152">
        <f t="shared" si="96"/>
        <v>0</v>
      </c>
      <c r="BB34" s="158">
        <f t="shared" si="97"/>
        <v>0</v>
      </c>
      <c r="BC34" s="152">
        <f t="shared" si="98"/>
        <v>0</v>
      </c>
      <c r="BD34" s="154">
        <f t="shared" si="99"/>
        <v>0</v>
      </c>
      <c r="BE34" s="154">
        <f t="shared" si="117"/>
        <v>40</v>
      </c>
      <c r="BF34" s="159">
        <f t="shared" si="114"/>
        <v>0</v>
      </c>
      <c r="BG34" s="160"/>
      <c r="BH34" s="160">
        <f t="shared" si="118"/>
        <v>0</v>
      </c>
      <c r="BI34" s="161">
        <f t="shared" si="100"/>
        <v>40</v>
      </c>
      <c r="BJ34" s="161">
        <f t="shared" si="101"/>
        <v>0</v>
      </c>
      <c r="BK34" s="161">
        <f t="shared" si="102"/>
        <v>0</v>
      </c>
      <c r="BL34" s="161">
        <f>SUM(E30:E34)</f>
        <v>0</v>
      </c>
      <c r="BM34" s="160">
        <f t="shared" si="115"/>
        <v>0</v>
      </c>
      <c r="BN34" s="161">
        <f t="shared" si="119"/>
        <v>0</v>
      </c>
      <c r="BO34" s="161">
        <f t="shared" si="120"/>
        <v>0</v>
      </c>
      <c r="BP34" s="161">
        <f t="shared" si="104"/>
        <v>0</v>
      </c>
      <c r="BQ34" s="160"/>
    </row>
    <row r="35" spans="1:69" ht="15" customHeight="1">
      <c r="A35" s="225">
        <f t="shared" si="105"/>
        <v>44407</v>
      </c>
      <c r="B35" s="226"/>
      <c r="C35" s="227"/>
      <c r="D35" s="32" t="s">
        <v>28</v>
      </c>
      <c r="E35" s="176"/>
      <c r="F35" s="176"/>
      <c r="G35" s="177"/>
      <c r="H35" s="176"/>
      <c r="I35" s="176"/>
      <c r="J35" s="178"/>
      <c r="K35" s="178"/>
      <c r="L35" s="179"/>
      <c r="M35" s="176"/>
      <c r="N35" s="176"/>
      <c r="O35" s="110">
        <f t="shared" si="106"/>
        <v>0</v>
      </c>
      <c r="P35" s="50" t="str">
        <f t="shared" si="107"/>
        <v/>
      </c>
      <c r="Q35" s="52"/>
      <c r="R35" s="50" t="str">
        <f t="shared" si="108"/>
        <v/>
      </c>
      <c r="S35" s="52"/>
      <c r="T35" s="52"/>
      <c r="U35" s="149">
        <f t="shared" si="116"/>
        <v>0</v>
      </c>
      <c r="V35" s="150">
        <f t="shared" si="109"/>
        <v>0</v>
      </c>
      <c r="W35" s="50"/>
      <c r="X35" s="49">
        <f>IF(ISNA(INDEX('Conversion Factors'!$B$6:$B$370,MATCH('July 16 - July 31'!$Z$30:$Z$36,'Conversion Factors'!$A$6:$A$370,0))),"",INDEX('Conversion Factors'!$B$6:$B$370,MATCH('July 16 - July 31'!$Z$30:$Z$36,'Conversion Factors'!$A$6:$A$370,0)))</f>
        <v>7.8789999999999996</v>
      </c>
      <c r="Z35" s="17">
        <f t="shared" si="82"/>
        <v>44407</v>
      </c>
      <c r="AA35" s="57" t="str">
        <f t="shared" si="83"/>
        <v/>
      </c>
      <c r="AB35" s="57" t="str">
        <f t="shared" si="84"/>
        <v/>
      </c>
      <c r="AH35" s="71">
        <f t="shared" si="85"/>
        <v>0</v>
      </c>
      <c r="AI35" s="68">
        <f>IF(AH35&gt;$AI$12,AH35-($AI$12+AI34+AI33+AI32+AI31+AI30+AI29),0)</f>
        <v>0</v>
      </c>
      <c r="AJ35" s="145" t="b">
        <f t="shared" si="86"/>
        <v>0</v>
      </c>
      <c r="AK35" s="151" t="b">
        <f t="shared" si="110"/>
        <v>0</v>
      </c>
      <c r="AM35" s="147">
        <f t="shared" si="87"/>
        <v>0</v>
      </c>
      <c r="AO35" s="162">
        <f t="shared" si="88"/>
        <v>0</v>
      </c>
      <c r="AP35" s="162">
        <f t="shared" si="89"/>
        <v>0</v>
      </c>
      <c r="AQ35" s="153">
        <f t="shared" si="90"/>
        <v>0</v>
      </c>
      <c r="AR35" s="162">
        <f t="shared" si="91"/>
        <v>0</v>
      </c>
      <c r="AS35" s="154">
        <f t="shared" si="92"/>
        <v>0</v>
      </c>
      <c r="AT35" s="154">
        <f t="shared" ref="AT35:AT36" si="121">IF(AND(AH34&lt;=40),40-AH34,0)</f>
        <v>40</v>
      </c>
      <c r="AU35" s="155">
        <f t="shared" si="112"/>
        <v>0</v>
      </c>
      <c r="AV35" s="156">
        <f t="shared" si="93"/>
        <v>0</v>
      </c>
      <c r="AW35" s="157">
        <f t="shared" si="113"/>
        <v>0</v>
      </c>
      <c r="AY35" s="157">
        <f t="shared" si="94"/>
        <v>0</v>
      </c>
      <c r="AZ35" s="152">
        <f t="shared" si="95"/>
        <v>0</v>
      </c>
      <c r="BA35" s="152">
        <f t="shared" si="96"/>
        <v>0</v>
      </c>
      <c r="BB35" s="158">
        <f t="shared" si="97"/>
        <v>0</v>
      </c>
      <c r="BC35" s="152">
        <f t="shared" si="98"/>
        <v>0</v>
      </c>
      <c r="BD35" s="154">
        <f t="shared" si="99"/>
        <v>0</v>
      </c>
      <c r="BE35" s="154">
        <f t="shared" si="117"/>
        <v>40</v>
      </c>
      <c r="BF35" s="159">
        <f t="shared" si="114"/>
        <v>0</v>
      </c>
      <c r="BG35" s="160"/>
      <c r="BH35" s="160">
        <f t="shared" si="118"/>
        <v>0</v>
      </c>
      <c r="BI35" s="161">
        <f t="shared" si="100"/>
        <v>40</v>
      </c>
      <c r="BJ35" s="161">
        <f t="shared" si="101"/>
        <v>0</v>
      </c>
      <c r="BK35" s="161">
        <f t="shared" si="102"/>
        <v>0</v>
      </c>
      <c r="BL35" s="161">
        <f>SUM(E30:E35)</f>
        <v>0</v>
      </c>
      <c r="BM35" s="160">
        <f t="shared" si="115"/>
        <v>0</v>
      </c>
      <c r="BN35" s="161">
        <f t="shared" si="119"/>
        <v>0</v>
      </c>
      <c r="BO35" s="161">
        <f t="shared" si="120"/>
        <v>0</v>
      </c>
      <c r="BP35" s="161">
        <f>IF(AND(BM35=1,BL35&gt;40,J35&lt;=K35),J35-BO35,IF(AND(BM35=1,BL35&gt;0,J35&gt;K35),K35-BO35,0))</f>
        <v>0</v>
      </c>
      <c r="BQ35" s="160"/>
    </row>
    <row r="36" spans="1:69" ht="15" customHeight="1" thickBot="1">
      <c r="A36" s="266">
        <f t="shared" si="105"/>
        <v>44408</v>
      </c>
      <c r="B36" s="267"/>
      <c r="C36" s="268"/>
      <c r="D36" s="32" t="s">
        <v>29</v>
      </c>
      <c r="E36" s="176"/>
      <c r="F36" s="176"/>
      <c r="G36" s="177"/>
      <c r="H36" s="176"/>
      <c r="I36" s="176"/>
      <c r="J36" s="178"/>
      <c r="K36" s="178"/>
      <c r="L36" s="179"/>
      <c r="M36" s="176"/>
      <c r="N36" s="176"/>
      <c r="O36" s="192">
        <f t="shared" si="106"/>
        <v>0</v>
      </c>
      <c r="P36" s="193" t="str">
        <f t="shared" si="107"/>
        <v/>
      </c>
      <c r="Q36" s="188"/>
      <c r="R36" s="193" t="str">
        <f t="shared" si="108"/>
        <v/>
      </c>
      <c r="S36" s="188"/>
      <c r="T36" s="188"/>
      <c r="U36" s="194">
        <f t="shared" si="116"/>
        <v>0</v>
      </c>
      <c r="V36" s="195">
        <f t="shared" si="109"/>
        <v>0</v>
      </c>
      <c r="W36" s="193"/>
      <c r="X36" s="196">
        <f>IF(ISNA(INDEX('Conversion Factors'!$B$6:$B$370,MATCH('July 16 - July 31'!$Z$30:$Z$36,'Conversion Factors'!$A$6:$A$370,0))),"",INDEX('Conversion Factors'!$B$6:$B$370,MATCH('July 16 - July 31'!$Z$30:$Z$36,'Conversion Factors'!$A$6:$A$370,0)))</f>
        <v>7.8789999999999996</v>
      </c>
      <c r="Z36" s="17">
        <f t="shared" si="82"/>
        <v>44408</v>
      </c>
      <c r="AA36" s="57" t="str">
        <f t="shared" si="83"/>
        <v/>
      </c>
      <c r="AB36" s="57" t="str">
        <f t="shared" si="84"/>
        <v/>
      </c>
      <c r="AH36" s="71">
        <f t="shared" si="85"/>
        <v>0</v>
      </c>
      <c r="AI36" s="68">
        <f>IF(AH36&gt;$AI$12,AH36-($AI$12+AI35+AI34+AI33+AI32+AI31+AI30+AI29),0)</f>
        <v>0</v>
      </c>
      <c r="AJ36" s="145" t="b">
        <f t="shared" si="86"/>
        <v>0</v>
      </c>
      <c r="AK36" s="151" t="b">
        <f t="shared" si="110"/>
        <v>0</v>
      </c>
      <c r="AM36" s="147">
        <f t="shared" si="87"/>
        <v>0</v>
      </c>
      <c r="AO36" s="163">
        <f t="shared" si="88"/>
        <v>0</v>
      </c>
      <c r="AP36" s="163">
        <f t="shared" si="89"/>
        <v>0</v>
      </c>
      <c r="AQ36" s="153">
        <f t="shared" si="90"/>
        <v>0</v>
      </c>
      <c r="AR36" s="163">
        <f t="shared" si="91"/>
        <v>0</v>
      </c>
      <c r="AS36" s="154">
        <f t="shared" si="92"/>
        <v>0</v>
      </c>
      <c r="AT36" s="154">
        <f t="shared" si="121"/>
        <v>40</v>
      </c>
      <c r="AU36" s="155">
        <f t="shared" si="112"/>
        <v>0</v>
      </c>
      <c r="AV36" s="156">
        <f t="shared" si="93"/>
        <v>0</v>
      </c>
      <c r="AW36" s="157">
        <f t="shared" si="113"/>
        <v>0</v>
      </c>
      <c r="AY36" s="157">
        <f t="shared" si="94"/>
        <v>0</v>
      </c>
      <c r="AZ36" s="152">
        <f t="shared" si="95"/>
        <v>0</v>
      </c>
      <c r="BA36" s="152">
        <f t="shared" si="96"/>
        <v>0</v>
      </c>
      <c r="BB36" s="158">
        <f t="shared" si="97"/>
        <v>0</v>
      </c>
      <c r="BC36" s="152">
        <f t="shared" si="98"/>
        <v>0</v>
      </c>
      <c r="BD36" s="154">
        <f t="shared" si="99"/>
        <v>0</v>
      </c>
      <c r="BE36" s="154">
        <f t="shared" si="117"/>
        <v>40</v>
      </c>
      <c r="BF36" s="159">
        <f t="shared" si="114"/>
        <v>0</v>
      </c>
      <c r="BG36" s="160"/>
      <c r="BH36" s="160">
        <f t="shared" si="118"/>
        <v>0</v>
      </c>
      <c r="BI36" s="161">
        <f t="shared" si="100"/>
        <v>40</v>
      </c>
      <c r="BJ36" s="161">
        <f t="shared" si="101"/>
        <v>0</v>
      </c>
      <c r="BK36" s="161">
        <f t="shared" si="102"/>
        <v>0</v>
      </c>
      <c r="BL36" s="161">
        <f>SUM(E30:E36)</f>
        <v>0</v>
      </c>
      <c r="BM36" s="160">
        <f t="shared" si="115"/>
        <v>0</v>
      </c>
      <c r="BN36" s="161">
        <f t="shared" si="119"/>
        <v>0</v>
      </c>
      <c r="BO36" s="161">
        <f t="shared" si="120"/>
        <v>0</v>
      </c>
      <c r="BP36" s="161">
        <f>IF(AND(BM36=1,BL36&gt;40,J36&lt;=K36),J36-BO36,IF(AND(BM36=1,BL36&gt;0,J36&gt;K36),K36-BO36,0))</f>
        <v>0</v>
      </c>
      <c r="BQ36" s="160"/>
    </row>
    <row r="37" spans="1:69" ht="15" customHeight="1" thickTop="1" thickBot="1">
      <c r="A37" s="228" t="s">
        <v>31</v>
      </c>
      <c r="B37" s="229"/>
      <c r="C37" s="230"/>
      <c r="D37" s="48"/>
      <c r="E37" s="34">
        <f t="shared" ref="E37:N37" si="122">SUM(E30:E36)</f>
        <v>0</v>
      </c>
      <c r="F37" s="34">
        <f t="shared" si="122"/>
        <v>0</v>
      </c>
      <c r="G37" s="76">
        <f t="shared" si="122"/>
        <v>0</v>
      </c>
      <c r="H37" s="34">
        <f t="shared" si="122"/>
        <v>0</v>
      </c>
      <c r="I37" s="34">
        <f t="shared" si="122"/>
        <v>0</v>
      </c>
      <c r="J37" s="74"/>
      <c r="K37" s="74">
        <f t="shared" si="122"/>
        <v>0</v>
      </c>
      <c r="L37" s="34">
        <f t="shared" si="122"/>
        <v>0</v>
      </c>
      <c r="M37" s="34">
        <f t="shared" si="122"/>
        <v>0</v>
      </c>
      <c r="N37" s="34">
        <f t="shared" si="122"/>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8</v>
      </c>
      <c r="AH37" s="83"/>
      <c r="AI37" s="84">
        <f>IF(AH37&gt;$AI$12,-$AI$12,0)</f>
        <v>0</v>
      </c>
      <c r="AJ37" s="80"/>
      <c r="AK37" s="79"/>
      <c r="AL37" s="34">
        <f>IF(AF37="Yes",S37*1.5,0)</f>
        <v>0</v>
      </c>
      <c r="BG37" s="160"/>
      <c r="BH37" s="160">
        <f t="shared" si="118"/>
        <v>0</v>
      </c>
      <c r="BI37" s="161"/>
      <c r="BJ37" s="161"/>
      <c r="BK37" s="161"/>
      <c r="BL37" s="161"/>
      <c r="BM37" s="160"/>
      <c r="BN37" s="161"/>
      <c r="BO37" s="161"/>
      <c r="BP37" s="161">
        <f>SUM(BP30:BP36)</f>
        <v>0</v>
      </c>
      <c r="BQ37" s="161">
        <f>U37+E11</f>
        <v>8</v>
      </c>
    </row>
    <row r="38" spans="1:69" ht="15" customHeight="1" thickTop="1">
      <c r="A38" s="266" t="str">
        <f>IF(A36&lt;$O$7,A36+1,IF(A36=$O$7,""))</f>
        <v/>
      </c>
      <c r="B38" s="267"/>
      <c r="C38" s="268"/>
      <c r="D38" s="32" t="s">
        <v>23</v>
      </c>
      <c r="E38" s="188"/>
      <c r="F38" s="188"/>
      <c r="G38" s="189"/>
      <c r="H38" s="188"/>
      <c r="I38" s="188"/>
      <c r="J38" s="190"/>
      <c r="K38" s="190"/>
      <c r="L38" s="191"/>
      <c r="M38" s="188"/>
      <c r="N38" s="188"/>
      <c r="O38" s="192">
        <f>SUM(E38:N38)-J38</f>
        <v>0</v>
      </c>
      <c r="P38" s="193" t="str">
        <f>IF(AND(ISNUMBER(AA38),ISNUMBER(X38)),AA38*X38,"")</f>
        <v/>
      </c>
      <c r="Q38" s="188"/>
      <c r="R38" s="193" t="str">
        <f>IF(AND(ISNUMBER(AB38),ISNUMBER(X38)),AB38*X38,"")</f>
        <v/>
      </c>
      <c r="S38" s="188"/>
      <c r="T38" s="188"/>
      <c r="U38" s="194">
        <f t="shared" si="116"/>
        <v>0</v>
      </c>
      <c r="V38" s="195">
        <f>IF(BK38&gt;0,BK38,0)</f>
        <v>0</v>
      </c>
      <c r="W38" s="193"/>
      <c r="X38" s="196" t="str">
        <f>IF(ISNA(INDEX('Conversion Factors'!$B$6:$B$370,MATCH('July 16 - July 31'!$Z$38:$Z$44,'Conversion Factors'!$A$6:$A$370,0))),"",INDEX('Conversion Factors'!$B$6:$B$370,MATCH('July 16 - July 31'!$Z$38:$Z$44,'Conversion Factors'!$A$6:$A$370,0)))</f>
        <v/>
      </c>
      <c r="Z38" s="17" t="str">
        <f t="shared" ref="Z38:Z44" si="123">A38</f>
        <v/>
      </c>
      <c r="AA38" s="57" t="str">
        <f t="shared" ref="AA38:AA44" si="124">IF(AND(ISNUMBER(N38),ISNUMBER($Z$12)),N38/$Z$12,"")</f>
        <v/>
      </c>
      <c r="AB38" s="57" t="str">
        <f t="shared" ref="AB38:AB44" si="125">IF(AND(ISNUMBER(Q38),ISNUMBER($Z$12)),Q38/$Z$12,"")</f>
        <v/>
      </c>
      <c r="AC38" s="58"/>
      <c r="AD38" s="59"/>
      <c r="AE38" s="58"/>
      <c r="AF38" s="58"/>
      <c r="AG38" s="64"/>
      <c r="AH38" s="71">
        <f t="shared" ref="AH38:AH44" si="126">E38+AH37</f>
        <v>0</v>
      </c>
      <c r="AI38" s="68">
        <f>IF(AH38&gt;$AI$12,AH38-($AI$12+AI37),0)</f>
        <v>0</v>
      </c>
      <c r="AJ38" s="145" t="b">
        <f t="shared" ref="AJ38:AJ44" si="127">IF(AND(AZ38&gt;0,AZ38),IF(BA38&gt;0,BA38,IF(BB38&gt;0,BB38,IF(BC38&gt;0,BC38,IF(BF38&gt;0,BF38,"")))))</f>
        <v>0</v>
      </c>
      <c r="AK38" s="151" t="b">
        <f>IF(AND(AO38&gt;0,AO38),IF(AP38&gt;0,AP38,IF(AQ38&gt;0,AQ38,IF(AR38&gt;0,AR38,IF(AU38&gt;0,AU38,"")))))</f>
        <v>0</v>
      </c>
      <c r="AM38" s="147">
        <f t="shared" ref="AM38:AM44" si="128">J38</f>
        <v>0</v>
      </c>
      <c r="AO38" s="152">
        <f t="shared" ref="AO38:AO44" si="129">IF(G38=0,0,"")</f>
        <v>0</v>
      </c>
      <c r="AP38" s="152">
        <f t="shared" ref="AP38:AP44" si="130">IF(AND(AH38&lt;=40,E38=G38),G38,0)</f>
        <v>0</v>
      </c>
      <c r="AQ38" s="153">
        <f t="shared" ref="AQ38:AQ44" si="131">IF(AND(AH38&lt;=40,E38&gt;=G38,G38&gt;0),O38-E38,0)</f>
        <v>0</v>
      </c>
      <c r="AR38" s="152">
        <f t="shared" ref="AR38:AR44" si="132">IF(AND(AH38&lt;=40,E38&lt;G38),O38-G38,0)</f>
        <v>0</v>
      </c>
      <c r="AS38" s="154">
        <f t="shared" ref="AS38:AS44" si="133">IF(AND(G38=0),G38,IF(AND(G38&gt;0,AI38&gt;0,G38=AT38),AT38,IF(AND(G38&gt;0,AI38&gt;0,G38-AT38),AT38,0)))</f>
        <v>0</v>
      </c>
      <c r="AT38" s="154"/>
      <c r="AU38" s="155">
        <f>AS38</f>
        <v>0</v>
      </c>
      <c r="AV38" s="156">
        <f t="shared" ref="AV38:AV44" si="134">IF(AND(AH37+AU38=40,AI38&gt;0,AI38&gt;AU38),AI38-AU38,IF(AND(AH37+AU38=40,AI38&gt;0,AI38&lt;AU38,AU38+AI38=G38),AI38,IF(AND(AH37&gt;40,AH38&gt;40,G38=AI38),AI38,0)))</f>
        <v>0</v>
      </c>
      <c r="AW38" s="157">
        <f>AV38</f>
        <v>0</v>
      </c>
      <c r="AY38" s="157">
        <f t="shared" ref="AY38:AY44" si="135">IF(AND(J38&gt;0,AI38&gt;=J38,BB38=0),O38-AI38,IF(AND(J38&gt;0,AI38&gt;0,BB38&lt;=AI38),AI38-BB38,IF(AND(J38&gt;0,AI38&gt;0,BB38&gt;AI38),J38-BB38,0)))</f>
        <v>0</v>
      </c>
      <c r="AZ38" s="152">
        <f t="shared" ref="AZ38:AZ44" si="136">IF(J38=0,0,"")</f>
        <v>0</v>
      </c>
      <c r="BA38" s="152">
        <f t="shared" ref="BA38:BA44" si="137">IF(AND(AH38&lt;=40,E38=J38),J38,0)</f>
        <v>0</v>
      </c>
      <c r="BB38" s="158">
        <f t="shared" ref="BB38:BB44" si="138">IF(AND(AZ38=0),AZ38,IF(AND(AH38&gt;40,E38&gt;=J38),BE38,IF(AND(AH38&lt;=40,E38&gt;J38),J38,0)))</f>
        <v>0</v>
      </c>
      <c r="BC38" s="152">
        <f t="shared" ref="BC38:BC44" si="139">IF(AND(AH38&lt;=40,E38&lt;J38),O38-J38,0)</f>
        <v>0</v>
      </c>
      <c r="BD38" s="154">
        <f t="shared" ref="BD38:BD44" si="140">IF(AND(J38=0),J38,IF(AND(J38&gt;0,AI38&gt;0,J38=BC38),BC38,IF(AND(J38&gt;0,AI38&gt;0,J38-BC38),BC38,0)))</f>
        <v>0</v>
      </c>
      <c r="BE38" s="154"/>
      <c r="BF38" s="159">
        <f>BD38</f>
        <v>0</v>
      </c>
      <c r="BG38" s="160"/>
      <c r="BH38" s="160">
        <f>IF(AND(G38&gt;0,E38&gt;0),1,0)</f>
        <v>0</v>
      </c>
      <c r="BI38" s="161">
        <f t="shared" ref="BI38:BI44" si="141">40-AH38</f>
        <v>40</v>
      </c>
      <c r="BJ38" s="161">
        <f t="shared" ref="BJ38:BJ44" si="142">IF(AND(BH38=1,40-BL37&gt;0,40-BL37&lt;8),40-BL37,IF(AND(E38&lt;G38),E38,G38))</f>
        <v>0</v>
      </c>
      <c r="BK38" s="161">
        <f t="shared" ref="BK38:BK44" si="143">IF(AND(BH38=1,BL38&gt;40,E38&lt;G38),E38-BJ38,(IF(AND(BH38=1,BL38&gt;0,E38&gt;=G38),G38-BJ38,0)))</f>
        <v>0</v>
      </c>
      <c r="BL38" s="161">
        <f>E38</f>
        <v>0</v>
      </c>
      <c r="BM38" s="160">
        <f>IF(AND(K38&gt;0,E38&gt;0),1,0)</f>
        <v>0</v>
      </c>
      <c r="BN38" s="161">
        <f>IF(AND(BM38=1,J38&gt;8),K38,(IF(AND(BM38=1,J38&gt;0),J38,0)))</f>
        <v>0</v>
      </c>
      <c r="BO38" s="161">
        <f t="shared" ref="BO38:BO39" si="144">IF(AND(BM38=1,40-BL37&gt;0,40-BL37&lt;8),40-BL37,IF(AND(J38&lt;K38),J38,K38))</f>
        <v>0</v>
      </c>
      <c r="BP38" s="161">
        <f t="shared" ref="BP38:BP42" si="145">IF(AND(BM38=1,BL38&gt;40,J38&lt;=K38),J38-BO38,IF(AND(BM38=1,BL38&gt;0,J38&gt;K38),K38-BO38,0))</f>
        <v>0</v>
      </c>
      <c r="BQ38" s="160"/>
    </row>
    <row r="39" spans="1:69" ht="15" customHeight="1">
      <c r="A39" s="266" t="b">
        <f t="shared" ref="A39:A44" si="146">IF(A38&lt;$O$7,A38+1,IF(A38=$O$7,""))</f>
        <v>0</v>
      </c>
      <c r="B39" s="267"/>
      <c r="C39" s="268"/>
      <c r="D39" s="32" t="s">
        <v>24</v>
      </c>
      <c r="E39" s="188"/>
      <c r="F39" s="188"/>
      <c r="G39" s="189"/>
      <c r="H39" s="188"/>
      <c r="I39" s="188"/>
      <c r="J39" s="190"/>
      <c r="K39" s="190"/>
      <c r="L39" s="191"/>
      <c r="M39" s="188"/>
      <c r="N39" s="188"/>
      <c r="O39" s="192">
        <f>SUM(E39:N39)-J39</f>
        <v>0</v>
      </c>
      <c r="P39" s="193" t="str">
        <f t="shared" ref="P39:P44" si="147">IF(AND(ISNUMBER(AA39),ISNUMBER(X39)),AA39*X39,"")</f>
        <v/>
      </c>
      <c r="Q39" s="188"/>
      <c r="R39" s="193" t="str">
        <f t="shared" ref="R39:R44" si="148">IF(AND(ISNUMBER(AB39),ISNUMBER(X39)),AB39*X39,"")</f>
        <v/>
      </c>
      <c r="S39" s="188"/>
      <c r="T39" s="188"/>
      <c r="U39" s="194">
        <f t="shared" si="116"/>
        <v>0</v>
      </c>
      <c r="V39" s="195">
        <f t="shared" ref="V39:V44" si="149">IF(BK39&gt;0,BK39,0)</f>
        <v>0</v>
      </c>
      <c r="W39" s="193"/>
      <c r="X39" s="196" t="str">
        <f>IF(ISNA(INDEX('Conversion Factors'!$B$6:$B$370,MATCH('July 16 - July 31'!$Z$38:$Z$44,'Conversion Factors'!$A$6:$A$370,0))),"",INDEX('Conversion Factors'!$B$6:$B$370,MATCH('July 16 - July 31'!$Z$38:$Z$44,'Conversion Factors'!$A$6:$A$370,0)))</f>
        <v/>
      </c>
      <c r="Z39" s="17" t="b">
        <f t="shared" si="123"/>
        <v>0</v>
      </c>
      <c r="AA39" s="57" t="str">
        <f t="shared" si="124"/>
        <v/>
      </c>
      <c r="AB39" s="57" t="str">
        <f t="shared" si="125"/>
        <v/>
      </c>
      <c r="AH39" s="71">
        <f t="shared" si="126"/>
        <v>0</v>
      </c>
      <c r="AI39" s="68">
        <f>IF(AH39&gt;$AI$12,AH39-($AI$12+AI38+AI37),0)</f>
        <v>0</v>
      </c>
      <c r="AJ39" s="145" t="b">
        <f t="shared" si="127"/>
        <v>0</v>
      </c>
      <c r="AK39" s="151" t="b">
        <f t="shared" ref="AK39:AK44" si="150">IF(AND(AO39&gt;0,AO39),IF(AP39&gt;0,AP39,IF(AQ39&gt;0,AQ39,IF(AR39&gt;0,AR39,IF(AU39&gt;0,AU39,0)))))</f>
        <v>0</v>
      </c>
      <c r="AM39" s="147">
        <f t="shared" si="128"/>
        <v>0</v>
      </c>
      <c r="AO39" s="162">
        <f t="shared" si="129"/>
        <v>0</v>
      </c>
      <c r="AP39" s="162">
        <f t="shared" si="130"/>
        <v>0</v>
      </c>
      <c r="AQ39" s="153">
        <f t="shared" si="131"/>
        <v>0</v>
      </c>
      <c r="AR39" s="162">
        <f t="shared" si="132"/>
        <v>0</v>
      </c>
      <c r="AS39" s="154">
        <f t="shared" si="133"/>
        <v>0</v>
      </c>
      <c r="AT39" s="154">
        <f t="shared" ref="AT39:AT41" si="151">IF(AND(AH38&lt;=40),40-AH38,0)</f>
        <v>40</v>
      </c>
      <c r="AU39" s="155">
        <f t="shared" ref="AU39:AU44" si="152">AS39</f>
        <v>0</v>
      </c>
      <c r="AV39" s="156">
        <f t="shared" si="134"/>
        <v>0</v>
      </c>
      <c r="AW39" s="157">
        <f t="shared" ref="AW39:AW44" si="153">AV39</f>
        <v>0</v>
      </c>
      <c r="AY39" s="157">
        <f t="shared" si="135"/>
        <v>0</v>
      </c>
      <c r="AZ39" s="152">
        <f t="shared" si="136"/>
        <v>0</v>
      </c>
      <c r="BA39" s="152">
        <f t="shared" si="137"/>
        <v>0</v>
      </c>
      <c r="BB39" s="158">
        <f t="shared" si="138"/>
        <v>0</v>
      </c>
      <c r="BC39" s="152">
        <f t="shared" si="139"/>
        <v>0</v>
      </c>
      <c r="BD39" s="154">
        <f t="shared" si="140"/>
        <v>0</v>
      </c>
      <c r="BE39" s="154">
        <f>IF(AND(AH38&lt;=40),40-AH38,0)</f>
        <v>40</v>
      </c>
      <c r="BF39" s="159">
        <f t="shared" ref="BF39:BF44" si="154">BD39</f>
        <v>0</v>
      </c>
      <c r="BG39" s="160"/>
      <c r="BH39" s="160">
        <f>IF(AND(G39&gt;0,E39&gt;0),1,0)</f>
        <v>0</v>
      </c>
      <c r="BI39" s="161">
        <f t="shared" si="141"/>
        <v>40</v>
      </c>
      <c r="BJ39" s="161">
        <f t="shared" si="142"/>
        <v>0</v>
      </c>
      <c r="BK39" s="161">
        <f t="shared" si="143"/>
        <v>0</v>
      </c>
      <c r="BL39" s="161">
        <f>SUM(E38:E39)</f>
        <v>0</v>
      </c>
      <c r="BM39" s="160">
        <f t="shared" ref="BM39:BM44" si="155">IF(AND(K39&gt;0,E39&gt;0),1,0)</f>
        <v>0</v>
      </c>
      <c r="BN39" s="161">
        <f>IF(AND(BM39=1,J39&gt;8),K39,(IF(AND(BM39=1,J39&gt;0),J39,0)))</f>
        <v>0</v>
      </c>
      <c r="BO39" s="161">
        <f t="shared" si="144"/>
        <v>0</v>
      </c>
      <c r="BP39" s="161">
        <f t="shared" si="145"/>
        <v>0</v>
      </c>
      <c r="BQ39" s="160"/>
    </row>
    <row r="40" spans="1:69" ht="15" customHeight="1">
      <c r="A40" s="266" t="b">
        <f t="shared" si="146"/>
        <v>0</v>
      </c>
      <c r="B40" s="267"/>
      <c r="C40" s="268"/>
      <c r="D40" s="32" t="s">
        <v>25</v>
      </c>
      <c r="E40" s="188"/>
      <c r="F40" s="188"/>
      <c r="G40" s="189"/>
      <c r="H40" s="188"/>
      <c r="I40" s="188"/>
      <c r="J40" s="190">
        <v>0</v>
      </c>
      <c r="K40" s="190">
        <v>0</v>
      </c>
      <c r="L40" s="191"/>
      <c r="M40" s="188"/>
      <c r="N40" s="188"/>
      <c r="O40" s="192">
        <f t="shared" ref="O40:O43" si="156">SUM(E40:N40)-J40</f>
        <v>0</v>
      </c>
      <c r="P40" s="193" t="str">
        <f t="shared" si="147"/>
        <v/>
      </c>
      <c r="Q40" s="188"/>
      <c r="R40" s="193" t="str">
        <f t="shared" si="148"/>
        <v/>
      </c>
      <c r="S40" s="188"/>
      <c r="T40" s="188"/>
      <c r="U40" s="194">
        <f t="shared" si="116"/>
        <v>0</v>
      </c>
      <c r="V40" s="195">
        <f t="shared" si="149"/>
        <v>0</v>
      </c>
      <c r="W40" s="193"/>
      <c r="X40" s="196" t="str">
        <f>IF(ISNA(INDEX('Conversion Factors'!$B$6:$B$370,MATCH('July 16 - July 31'!$Z$38:$Z$44,'Conversion Factors'!$A$6:$A$370,0))),"",INDEX('Conversion Factors'!$B$6:$B$370,MATCH('July 16 - July 31'!$Z$38:$Z$44,'Conversion Factors'!$A$6:$A$370,0)))</f>
        <v/>
      </c>
      <c r="Z40" s="17" t="b">
        <f t="shared" si="123"/>
        <v>0</v>
      </c>
      <c r="AA40" s="57" t="str">
        <f t="shared" si="124"/>
        <v/>
      </c>
      <c r="AB40" s="57" t="str">
        <f t="shared" si="125"/>
        <v/>
      </c>
      <c r="AG40" s="1"/>
      <c r="AH40" s="71">
        <f t="shared" si="126"/>
        <v>0</v>
      </c>
      <c r="AI40" s="68">
        <f>IF(AH40&gt;$AI$12,AH40-($AI$12+AI39+AI38+AI37),0)</f>
        <v>0</v>
      </c>
      <c r="AJ40" s="145" t="b">
        <f t="shared" si="127"/>
        <v>0</v>
      </c>
      <c r="AK40" s="151" t="b">
        <f t="shared" si="150"/>
        <v>0</v>
      </c>
      <c r="AM40" s="147">
        <f t="shared" si="128"/>
        <v>0</v>
      </c>
      <c r="AO40" s="162">
        <f t="shared" si="129"/>
        <v>0</v>
      </c>
      <c r="AP40" s="162">
        <f t="shared" si="130"/>
        <v>0</v>
      </c>
      <c r="AQ40" s="153">
        <f t="shared" si="131"/>
        <v>0</v>
      </c>
      <c r="AR40" s="162">
        <f t="shared" si="132"/>
        <v>0</v>
      </c>
      <c r="AS40" s="154">
        <f t="shared" si="133"/>
        <v>0</v>
      </c>
      <c r="AT40" s="154">
        <f t="shared" si="151"/>
        <v>40</v>
      </c>
      <c r="AU40" s="155">
        <f t="shared" si="152"/>
        <v>0</v>
      </c>
      <c r="AV40" s="156">
        <f t="shared" si="134"/>
        <v>0</v>
      </c>
      <c r="AW40" s="157">
        <f t="shared" si="153"/>
        <v>0</v>
      </c>
      <c r="AY40" s="157">
        <f t="shared" si="135"/>
        <v>0</v>
      </c>
      <c r="AZ40" s="152">
        <f t="shared" si="136"/>
        <v>0</v>
      </c>
      <c r="BA40" s="152">
        <f t="shared" si="137"/>
        <v>0</v>
      </c>
      <c r="BB40" s="158">
        <f t="shared" si="138"/>
        <v>0</v>
      </c>
      <c r="BC40" s="152">
        <f t="shared" si="139"/>
        <v>0</v>
      </c>
      <c r="BD40" s="154">
        <f t="shared" si="140"/>
        <v>0</v>
      </c>
      <c r="BE40" s="154">
        <f t="shared" ref="BE40:BE44" si="157">IF(AND(AH39&lt;=40),40-AH39,0)</f>
        <v>40</v>
      </c>
      <c r="BF40" s="159">
        <f t="shared" si="154"/>
        <v>0</v>
      </c>
      <c r="BG40" s="160"/>
      <c r="BH40" s="160">
        <f>IF(AND(G40&gt;0,E40&gt;0),1,0)</f>
        <v>0</v>
      </c>
      <c r="BI40" s="161">
        <f t="shared" si="141"/>
        <v>40</v>
      </c>
      <c r="BJ40" s="161">
        <f t="shared" si="142"/>
        <v>0</v>
      </c>
      <c r="BK40" s="161">
        <f t="shared" si="143"/>
        <v>0</v>
      </c>
      <c r="BL40" s="161">
        <f>SUM(E38:E40)</f>
        <v>0</v>
      </c>
      <c r="BM40" s="160">
        <f t="shared" si="155"/>
        <v>0</v>
      </c>
      <c r="BN40" s="161">
        <f>IF(AND(BM40=1,J40&gt;8),K40,(IF(AND(BM40=1,J40&gt;0),J40,0)))</f>
        <v>0</v>
      </c>
      <c r="BO40" s="161">
        <f>IF(AND(BM40=1,40-BL39&gt;0,40-BL39&lt;8),40-BL39,IF(AND(J40&lt;K40),J40,K40))</f>
        <v>0</v>
      </c>
      <c r="BP40" s="161">
        <f t="shared" si="145"/>
        <v>0</v>
      </c>
      <c r="BQ40" s="160"/>
    </row>
    <row r="41" spans="1:69" ht="15" customHeight="1">
      <c r="A41" s="266" t="b">
        <f t="shared" si="146"/>
        <v>0</v>
      </c>
      <c r="B41" s="267"/>
      <c r="C41" s="268"/>
      <c r="D41" s="32" t="s">
        <v>26</v>
      </c>
      <c r="E41" s="188"/>
      <c r="F41" s="188"/>
      <c r="G41" s="189"/>
      <c r="H41" s="188"/>
      <c r="I41" s="188"/>
      <c r="J41" s="190"/>
      <c r="K41" s="190"/>
      <c r="L41" s="191"/>
      <c r="M41" s="188"/>
      <c r="N41" s="188"/>
      <c r="O41" s="192">
        <f t="shared" si="156"/>
        <v>0</v>
      </c>
      <c r="P41" s="193" t="str">
        <f t="shared" si="147"/>
        <v/>
      </c>
      <c r="Q41" s="188"/>
      <c r="R41" s="193" t="str">
        <f t="shared" si="148"/>
        <v/>
      </c>
      <c r="S41" s="188"/>
      <c r="T41" s="188"/>
      <c r="U41" s="194">
        <f t="shared" si="116"/>
        <v>0</v>
      </c>
      <c r="V41" s="195">
        <f t="shared" si="149"/>
        <v>0</v>
      </c>
      <c r="W41" s="193"/>
      <c r="X41" s="196" t="str">
        <f>IF(ISNA(INDEX('Conversion Factors'!$B$6:$B$370,MATCH('July 16 - July 31'!$Z$38:$Z$44,'Conversion Factors'!$A$6:$A$370,0))),"",INDEX('Conversion Factors'!$B$6:$B$370,MATCH('July 16 - July 31'!$Z$38:$Z$44,'Conversion Factors'!$A$6:$A$370,0)))</f>
        <v/>
      </c>
      <c r="Z41" s="17" t="b">
        <f t="shared" si="123"/>
        <v>0</v>
      </c>
      <c r="AA41" s="57" t="str">
        <f t="shared" si="124"/>
        <v/>
      </c>
      <c r="AB41" s="57" t="str">
        <f t="shared" si="125"/>
        <v/>
      </c>
      <c r="AG41" s="1"/>
      <c r="AH41" s="71">
        <f t="shared" si="126"/>
        <v>0</v>
      </c>
      <c r="AI41" s="68">
        <f>IF(AH41&gt;$AI$12,AH41-($AI$12+AI40+AI39+AI38+AI37),0)</f>
        <v>0</v>
      </c>
      <c r="AJ41" s="145" t="b">
        <f t="shared" si="127"/>
        <v>0</v>
      </c>
      <c r="AK41" s="151" t="b">
        <f t="shared" si="150"/>
        <v>0</v>
      </c>
      <c r="AM41" s="147">
        <f t="shared" si="128"/>
        <v>0</v>
      </c>
      <c r="AO41" s="162">
        <f t="shared" si="129"/>
        <v>0</v>
      </c>
      <c r="AP41" s="162">
        <f t="shared" si="130"/>
        <v>0</v>
      </c>
      <c r="AQ41" s="153">
        <f t="shared" si="131"/>
        <v>0</v>
      </c>
      <c r="AR41" s="162">
        <f t="shared" si="132"/>
        <v>0</v>
      </c>
      <c r="AS41" s="154">
        <f t="shared" si="133"/>
        <v>0</v>
      </c>
      <c r="AT41" s="154">
        <f t="shared" si="151"/>
        <v>40</v>
      </c>
      <c r="AU41" s="155">
        <f t="shared" si="152"/>
        <v>0</v>
      </c>
      <c r="AV41" s="156">
        <f t="shared" si="134"/>
        <v>0</v>
      </c>
      <c r="AW41" s="157">
        <f t="shared" si="153"/>
        <v>0</v>
      </c>
      <c r="AY41" s="157">
        <f t="shared" si="135"/>
        <v>0</v>
      </c>
      <c r="AZ41" s="152">
        <f t="shared" si="136"/>
        <v>0</v>
      </c>
      <c r="BA41" s="152">
        <f t="shared" si="137"/>
        <v>0</v>
      </c>
      <c r="BB41" s="158">
        <f t="shared" si="138"/>
        <v>0</v>
      </c>
      <c r="BC41" s="152">
        <f t="shared" si="139"/>
        <v>0</v>
      </c>
      <c r="BD41" s="154">
        <f t="shared" si="140"/>
        <v>0</v>
      </c>
      <c r="BE41" s="154">
        <f t="shared" si="157"/>
        <v>40</v>
      </c>
      <c r="BF41" s="159">
        <f t="shared" si="154"/>
        <v>0</v>
      </c>
      <c r="BG41" s="160"/>
      <c r="BH41" s="160">
        <f t="shared" ref="BH41:BH44" si="158">IF(AND(G41&gt;0,E41&gt;0),1,0)</f>
        <v>0</v>
      </c>
      <c r="BI41" s="161">
        <f t="shared" si="141"/>
        <v>40</v>
      </c>
      <c r="BJ41" s="161">
        <f t="shared" si="142"/>
        <v>0</v>
      </c>
      <c r="BK41" s="161">
        <f t="shared" si="143"/>
        <v>0</v>
      </c>
      <c r="BL41" s="161">
        <f>SUM(E38:E41)</f>
        <v>0</v>
      </c>
      <c r="BM41" s="160">
        <f t="shared" si="155"/>
        <v>0</v>
      </c>
      <c r="BN41" s="161">
        <f t="shared" ref="BN41:BN44" si="159">IF(AND(BM41=1,J41&gt;8),K41,(IF(AND(BM41=1,J41&gt;0),J41,0)))</f>
        <v>0</v>
      </c>
      <c r="BO41" s="161">
        <f t="shared" ref="BO41:BO44" si="160">IF(AND(BM41=1,40-BL40&gt;0,40-BL40&lt;8),40-BL40,IF(AND(J41&lt;K41),J41,K41))</f>
        <v>0</v>
      </c>
      <c r="BP41" s="161">
        <f t="shared" si="145"/>
        <v>0</v>
      </c>
      <c r="BQ41" s="160"/>
    </row>
    <row r="42" spans="1:69" ht="15" customHeight="1">
      <c r="A42" s="266" t="b">
        <f t="shared" si="146"/>
        <v>0</v>
      </c>
      <c r="B42" s="267"/>
      <c r="C42" s="268"/>
      <c r="D42" s="32" t="s">
        <v>27</v>
      </c>
      <c r="E42" s="188"/>
      <c r="F42" s="188"/>
      <c r="G42" s="189"/>
      <c r="H42" s="188"/>
      <c r="I42" s="188"/>
      <c r="J42" s="190"/>
      <c r="K42" s="190"/>
      <c r="L42" s="191"/>
      <c r="M42" s="188"/>
      <c r="N42" s="188"/>
      <c r="O42" s="192">
        <f t="shared" si="156"/>
        <v>0</v>
      </c>
      <c r="P42" s="193" t="str">
        <f t="shared" si="147"/>
        <v/>
      </c>
      <c r="Q42" s="188"/>
      <c r="R42" s="193" t="str">
        <f t="shared" si="148"/>
        <v/>
      </c>
      <c r="S42" s="188"/>
      <c r="T42" s="188"/>
      <c r="U42" s="194">
        <f t="shared" si="116"/>
        <v>0</v>
      </c>
      <c r="V42" s="195">
        <f t="shared" si="149"/>
        <v>0</v>
      </c>
      <c r="W42" s="193"/>
      <c r="X42" s="196" t="str">
        <f>IF(ISNA(INDEX('Conversion Factors'!$B$6:$B$370,MATCH('July 16 - July 31'!$Z$38:$Z$44,'Conversion Factors'!$A$6:$A$370,0))),"",INDEX('Conversion Factors'!$B$6:$B$370,MATCH('July 16 - July 31'!$Z$38:$Z$44,'Conversion Factors'!$A$6:$A$370,0)))</f>
        <v/>
      </c>
      <c r="Z42" s="17" t="b">
        <f t="shared" si="123"/>
        <v>0</v>
      </c>
      <c r="AA42" s="57" t="str">
        <f t="shared" si="124"/>
        <v/>
      </c>
      <c r="AB42" s="57" t="str">
        <f t="shared" si="125"/>
        <v/>
      </c>
      <c r="AH42" s="71">
        <f t="shared" si="126"/>
        <v>0</v>
      </c>
      <c r="AI42" s="68">
        <f>IF(AH42&gt;$AI$12,AH42-($AI$12+AI41+AI40+AI39+AI38+AI37),0)</f>
        <v>0</v>
      </c>
      <c r="AJ42" s="145" t="b">
        <f t="shared" si="127"/>
        <v>0</v>
      </c>
      <c r="AK42" s="151" t="b">
        <f t="shared" si="150"/>
        <v>0</v>
      </c>
      <c r="AM42" s="147">
        <f t="shared" si="128"/>
        <v>0</v>
      </c>
      <c r="AO42" s="162">
        <f t="shared" si="129"/>
        <v>0</v>
      </c>
      <c r="AP42" s="162">
        <f t="shared" si="130"/>
        <v>0</v>
      </c>
      <c r="AQ42" s="153">
        <f t="shared" si="131"/>
        <v>0</v>
      </c>
      <c r="AR42" s="162">
        <f t="shared" si="132"/>
        <v>0</v>
      </c>
      <c r="AS42" s="154">
        <f t="shared" si="133"/>
        <v>0</v>
      </c>
      <c r="AT42" s="154">
        <f>IF(AND(AH41&lt;=40),40-AH41,0)</f>
        <v>40</v>
      </c>
      <c r="AU42" s="155">
        <f t="shared" si="152"/>
        <v>0</v>
      </c>
      <c r="AV42" s="156">
        <f t="shared" si="134"/>
        <v>0</v>
      </c>
      <c r="AW42" s="157">
        <f t="shared" si="153"/>
        <v>0</v>
      </c>
      <c r="AY42" s="157">
        <f t="shared" si="135"/>
        <v>0</v>
      </c>
      <c r="AZ42" s="152">
        <f t="shared" si="136"/>
        <v>0</v>
      </c>
      <c r="BA42" s="152">
        <f t="shared" si="137"/>
        <v>0</v>
      </c>
      <c r="BB42" s="158">
        <f t="shared" si="138"/>
        <v>0</v>
      </c>
      <c r="BC42" s="152">
        <f t="shared" si="139"/>
        <v>0</v>
      </c>
      <c r="BD42" s="154">
        <f t="shared" si="140"/>
        <v>0</v>
      </c>
      <c r="BE42" s="154">
        <f t="shared" si="157"/>
        <v>40</v>
      </c>
      <c r="BF42" s="159">
        <f t="shared" si="154"/>
        <v>0</v>
      </c>
      <c r="BG42" s="160"/>
      <c r="BH42" s="160">
        <f t="shared" si="158"/>
        <v>0</v>
      </c>
      <c r="BI42" s="161">
        <f t="shared" si="141"/>
        <v>40</v>
      </c>
      <c r="BJ42" s="161">
        <f t="shared" si="142"/>
        <v>0</v>
      </c>
      <c r="BK42" s="161">
        <f t="shared" si="143"/>
        <v>0</v>
      </c>
      <c r="BL42" s="161">
        <f>SUM(E38:E42)</f>
        <v>0</v>
      </c>
      <c r="BM42" s="160">
        <f t="shared" si="155"/>
        <v>0</v>
      </c>
      <c r="BN42" s="161">
        <f t="shared" si="159"/>
        <v>0</v>
      </c>
      <c r="BO42" s="161">
        <f t="shared" si="160"/>
        <v>0</v>
      </c>
      <c r="BP42" s="161">
        <f t="shared" si="145"/>
        <v>0</v>
      </c>
      <c r="BQ42" s="160"/>
    </row>
    <row r="43" spans="1:69" ht="15" customHeight="1">
      <c r="A43" s="266" t="b">
        <f t="shared" si="146"/>
        <v>0</v>
      </c>
      <c r="B43" s="267"/>
      <c r="C43" s="268"/>
      <c r="D43" s="32" t="s">
        <v>28</v>
      </c>
      <c r="E43" s="188"/>
      <c r="F43" s="188"/>
      <c r="G43" s="189"/>
      <c r="H43" s="188"/>
      <c r="I43" s="188"/>
      <c r="J43" s="190"/>
      <c r="K43" s="190"/>
      <c r="L43" s="191"/>
      <c r="M43" s="188"/>
      <c r="N43" s="188"/>
      <c r="O43" s="192">
        <f t="shared" si="156"/>
        <v>0</v>
      </c>
      <c r="P43" s="193" t="str">
        <f t="shared" si="147"/>
        <v/>
      </c>
      <c r="Q43" s="188"/>
      <c r="R43" s="193" t="str">
        <f t="shared" si="148"/>
        <v/>
      </c>
      <c r="S43" s="188"/>
      <c r="T43" s="188"/>
      <c r="U43" s="194">
        <f t="shared" si="116"/>
        <v>0</v>
      </c>
      <c r="V43" s="195">
        <f t="shared" si="149"/>
        <v>0</v>
      </c>
      <c r="W43" s="193"/>
      <c r="X43" s="196" t="str">
        <f>IF(ISNA(INDEX('Conversion Factors'!$B$6:$B$370,MATCH('July 16 - July 31'!$Z$38:$Z$44,'Conversion Factors'!$A$6:$A$370,0))),"",INDEX('Conversion Factors'!$B$6:$B$370,MATCH('July 16 - July 31'!$Z$38:$Z$44,'Conversion Factors'!$A$6:$A$370,0)))</f>
        <v/>
      </c>
      <c r="Z43" s="17" t="b">
        <f t="shared" si="123"/>
        <v>0</v>
      </c>
      <c r="AA43" s="57" t="str">
        <f t="shared" si="124"/>
        <v/>
      </c>
      <c r="AB43" s="57" t="str">
        <f t="shared" si="125"/>
        <v/>
      </c>
      <c r="AH43" s="71">
        <f t="shared" si="126"/>
        <v>0</v>
      </c>
      <c r="AI43" s="68">
        <f>IF(AH43&gt;$AI$12,AH43-($AI$12+AI42+AI41+AI40+AI39+AI38+AI37),0)</f>
        <v>0</v>
      </c>
      <c r="AJ43" s="145" t="b">
        <f t="shared" si="127"/>
        <v>0</v>
      </c>
      <c r="AK43" s="151" t="b">
        <f t="shared" si="150"/>
        <v>0</v>
      </c>
      <c r="AM43" s="147">
        <f t="shared" si="128"/>
        <v>0</v>
      </c>
      <c r="AO43" s="162">
        <f t="shared" si="129"/>
        <v>0</v>
      </c>
      <c r="AP43" s="162">
        <f t="shared" si="130"/>
        <v>0</v>
      </c>
      <c r="AQ43" s="153">
        <f t="shared" si="131"/>
        <v>0</v>
      </c>
      <c r="AR43" s="162">
        <f t="shared" si="132"/>
        <v>0</v>
      </c>
      <c r="AS43" s="154">
        <f t="shared" si="133"/>
        <v>0</v>
      </c>
      <c r="AT43" s="154">
        <f t="shared" ref="AT43:AT44" si="161">IF(AND(AH42&lt;=40),40-AH42,0)</f>
        <v>40</v>
      </c>
      <c r="AU43" s="155">
        <f t="shared" si="152"/>
        <v>0</v>
      </c>
      <c r="AV43" s="156">
        <f t="shared" si="134"/>
        <v>0</v>
      </c>
      <c r="AW43" s="157">
        <f t="shared" si="153"/>
        <v>0</v>
      </c>
      <c r="AY43" s="157">
        <f t="shared" si="135"/>
        <v>0</v>
      </c>
      <c r="AZ43" s="152">
        <f t="shared" si="136"/>
        <v>0</v>
      </c>
      <c r="BA43" s="152">
        <f t="shared" si="137"/>
        <v>0</v>
      </c>
      <c r="BB43" s="158">
        <f t="shared" si="138"/>
        <v>0</v>
      </c>
      <c r="BC43" s="152">
        <f t="shared" si="139"/>
        <v>0</v>
      </c>
      <c r="BD43" s="154">
        <f t="shared" si="140"/>
        <v>0</v>
      </c>
      <c r="BE43" s="154">
        <f t="shared" si="157"/>
        <v>40</v>
      </c>
      <c r="BF43" s="159">
        <f t="shared" si="154"/>
        <v>0</v>
      </c>
      <c r="BG43" s="160"/>
      <c r="BH43" s="160">
        <f t="shared" si="158"/>
        <v>0</v>
      </c>
      <c r="BI43" s="161">
        <f t="shared" si="141"/>
        <v>40</v>
      </c>
      <c r="BJ43" s="161">
        <f t="shared" si="142"/>
        <v>0</v>
      </c>
      <c r="BK43" s="161">
        <f t="shared" si="143"/>
        <v>0</v>
      </c>
      <c r="BL43" s="161">
        <f>SUM(E38:E43)</f>
        <v>0</v>
      </c>
      <c r="BM43" s="160">
        <f t="shared" si="155"/>
        <v>0</v>
      </c>
      <c r="BN43" s="161">
        <f t="shared" si="159"/>
        <v>0</v>
      </c>
      <c r="BO43" s="161">
        <f t="shared" si="160"/>
        <v>0</v>
      </c>
      <c r="BP43" s="161">
        <f>IF(AND(BM43=1,BL43&gt;40,J43&lt;=K43),J43-BO43,IF(AND(BM43=1,BL43&gt;0,J43&gt;K43),K43-BO43,0))</f>
        <v>0</v>
      </c>
      <c r="BQ43" s="160"/>
    </row>
    <row r="44" spans="1:69" ht="15" customHeight="1" thickBot="1">
      <c r="A44" s="269" t="b">
        <f t="shared" si="146"/>
        <v>0</v>
      </c>
      <c r="B44" s="270"/>
      <c r="C44" s="271"/>
      <c r="D44" s="32" t="s">
        <v>29</v>
      </c>
      <c r="E44" s="188"/>
      <c r="F44" s="188"/>
      <c r="G44" s="189"/>
      <c r="H44" s="188"/>
      <c r="I44" s="188"/>
      <c r="J44" s="190"/>
      <c r="K44" s="190"/>
      <c r="L44" s="191"/>
      <c r="M44" s="188"/>
      <c r="N44" s="188"/>
      <c r="O44" s="192">
        <f>SUM(E44:N44)-J44</f>
        <v>0</v>
      </c>
      <c r="P44" s="193" t="str">
        <f t="shared" si="147"/>
        <v/>
      </c>
      <c r="Q44" s="188"/>
      <c r="R44" s="193" t="str">
        <f t="shared" si="148"/>
        <v/>
      </c>
      <c r="S44" s="188"/>
      <c r="T44" s="188"/>
      <c r="U44" s="194">
        <f t="shared" si="116"/>
        <v>0</v>
      </c>
      <c r="V44" s="195">
        <f t="shared" si="149"/>
        <v>0</v>
      </c>
      <c r="W44" s="193"/>
      <c r="X44" s="196" t="str">
        <f>IF(ISNA(INDEX('Conversion Factors'!$B$6:$B$370,MATCH('July 16 - July 31'!$Z$38:$Z$44,'Conversion Factors'!$A$6:$A$370,0))),"",INDEX('Conversion Factors'!$B$6:$B$370,MATCH('July 16 - July 31'!$Z$38:$Z$44,'Conversion Factors'!$A$6:$A$370,0)))</f>
        <v/>
      </c>
      <c r="Z44" s="17" t="b">
        <f t="shared" si="123"/>
        <v>0</v>
      </c>
      <c r="AA44" s="57" t="str">
        <f t="shared" si="124"/>
        <v/>
      </c>
      <c r="AB44" s="57" t="str">
        <f t="shared" si="125"/>
        <v/>
      </c>
      <c r="AH44" s="71">
        <f t="shared" si="126"/>
        <v>0</v>
      </c>
      <c r="AI44" s="68">
        <f>IF(AH44&gt;$AI$12,AH44-($AI$12+AI43+AI42+AI41+AI40+AI39+AI38+AI37),0)</f>
        <v>0</v>
      </c>
      <c r="AJ44" s="145" t="b">
        <f t="shared" si="127"/>
        <v>0</v>
      </c>
      <c r="AK44" s="151" t="b">
        <f t="shared" si="150"/>
        <v>0</v>
      </c>
      <c r="AM44" s="147">
        <f t="shared" si="128"/>
        <v>0</v>
      </c>
      <c r="AO44" s="163">
        <f t="shared" si="129"/>
        <v>0</v>
      </c>
      <c r="AP44" s="163">
        <f t="shared" si="130"/>
        <v>0</v>
      </c>
      <c r="AQ44" s="153">
        <f t="shared" si="131"/>
        <v>0</v>
      </c>
      <c r="AR44" s="163">
        <f t="shared" si="132"/>
        <v>0</v>
      </c>
      <c r="AS44" s="154">
        <f t="shared" si="133"/>
        <v>0</v>
      </c>
      <c r="AT44" s="154">
        <f t="shared" si="161"/>
        <v>40</v>
      </c>
      <c r="AU44" s="155">
        <f t="shared" si="152"/>
        <v>0</v>
      </c>
      <c r="AV44" s="156">
        <f t="shared" si="134"/>
        <v>0</v>
      </c>
      <c r="AW44" s="157">
        <f t="shared" si="153"/>
        <v>0</v>
      </c>
      <c r="AY44" s="157">
        <f t="shared" si="135"/>
        <v>0</v>
      </c>
      <c r="AZ44" s="152">
        <f t="shared" si="136"/>
        <v>0</v>
      </c>
      <c r="BA44" s="152">
        <f t="shared" si="137"/>
        <v>0</v>
      </c>
      <c r="BB44" s="158">
        <f t="shared" si="138"/>
        <v>0</v>
      </c>
      <c r="BC44" s="152">
        <f t="shared" si="139"/>
        <v>0</v>
      </c>
      <c r="BD44" s="154">
        <f t="shared" si="140"/>
        <v>0</v>
      </c>
      <c r="BE44" s="154">
        <f t="shared" si="157"/>
        <v>40</v>
      </c>
      <c r="BF44" s="159">
        <f t="shared" si="154"/>
        <v>0</v>
      </c>
      <c r="BG44" s="160"/>
      <c r="BH44" s="160">
        <f t="shared" si="158"/>
        <v>0</v>
      </c>
      <c r="BI44" s="161">
        <f t="shared" si="141"/>
        <v>40</v>
      </c>
      <c r="BJ44" s="161">
        <f t="shared" si="142"/>
        <v>0</v>
      </c>
      <c r="BK44" s="161">
        <f t="shared" si="143"/>
        <v>0</v>
      </c>
      <c r="BL44" s="161">
        <f>SUM(E38:E44)</f>
        <v>0</v>
      </c>
      <c r="BM44" s="160">
        <f t="shared" si="155"/>
        <v>0</v>
      </c>
      <c r="BN44" s="161">
        <f t="shared" si="159"/>
        <v>0</v>
      </c>
      <c r="BO44" s="161">
        <f t="shared" si="160"/>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2">SUM(F38:F44)</f>
        <v>0</v>
      </c>
      <c r="G45" s="76">
        <f t="shared" si="162"/>
        <v>0</v>
      </c>
      <c r="H45" s="34">
        <f t="shared" si="162"/>
        <v>0</v>
      </c>
      <c r="I45" s="34">
        <f t="shared" si="162"/>
        <v>0</v>
      </c>
      <c r="J45" s="74"/>
      <c r="K45" s="74">
        <f t="shared" si="162"/>
        <v>0</v>
      </c>
      <c r="L45" s="34">
        <f t="shared" si="162"/>
        <v>0</v>
      </c>
      <c r="M45" s="34">
        <f t="shared" si="162"/>
        <v>0</v>
      </c>
      <c r="N45" s="34">
        <f t="shared" si="162"/>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8</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8</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3">(P21+P29+P37+P45)-P13</f>
        <v>0</v>
      </c>
      <c r="Q46" s="34">
        <f t="shared" si="163"/>
        <v>0</v>
      </c>
      <c r="R46" s="78">
        <f t="shared" si="163"/>
        <v>0</v>
      </c>
      <c r="S46" s="34">
        <f t="shared" si="163"/>
        <v>0</v>
      </c>
      <c r="T46" s="34">
        <f t="shared" si="163"/>
        <v>0</v>
      </c>
      <c r="U46" s="164">
        <f t="shared" si="163"/>
        <v>0</v>
      </c>
      <c r="V46" s="165">
        <f t="shared" si="163"/>
        <v>0</v>
      </c>
      <c r="W46" s="78">
        <f t="shared" si="163"/>
        <v>17</v>
      </c>
      <c r="X46" s="34">
        <f t="shared" si="163"/>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409" priority="26" operator="equal">
      <formula>FALSE</formula>
    </cfRule>
  </conditionalFormatting>
  <conditionalFormatting sqref="A22:C22">
    <cfRule type="cellIs" dxfId="408" priority="25" operator="equal">
      <formula>FALSE</formula>
    </cfRule>
  </conditionalFormatting>
  <conditionalFormatting sqref="D22:D28">
    <cfRule type="cellIs" dxfId="407" priority="24" operator="equal">
      <formula>FALSE</formula>
    </cfRule>
  </conditionalFormatting>
  <conditionalFormatting sqref="Z22:Z28">
    <cfRule type="cellIs" dxfId="406" priority="23" operator="equal">
      <formula>FALSE</formula>
    </cfRule>
  </conditionalFormatting>
  <conditionalFormatting sqref="Z30:Z36">
    <cfRule type="cellIs" dxfId="405" priority="22" operator="equal">
      <formula>FALSE</formula>
    </cfRule>
  </conditionalFormatting>
  <conditionalFormatting sqref="X21 X29 X37">
    <cfRule type="containsErrors" dxfId="404" priority="21">
      <formula>ISERROR(X21)</formula>
    </cfRule>
  </conditionalFormatting>
  <conditionalFormatting sqref="Z39:Z44">
    <cfRule type="cellIs" dxfId="403" priority="19" operator="equal">
      <formula>FALSE</formula>
    </cfRule>
  </conditionalFormatting>
  <conditionalFormatting sqref="Z38">
    <cfRule type="cellIs" dxfId="402" priority="20" operator="equal">
      <formula>FALSE</formula>
    </cfRule>
  </conditionalFormatting>
  <conditionalFormatting sqref="W11:X11">
    <cfRule type="cellIs" dxfId="401" priority="18" operator="equal">
      <formula>"Please Select"</formula>
    </cfRule>
  </conditionalFormatting>
  <conditionalFormatting sqref="E11:F11">
    <cfRule type="containsBlanks" dxfId="400" priority="17">
      <formula>LEN(TRIM(E11))=0</formula>
    </cfRule>
  </conditionalFormatting>
  <conditionalFormatting sqref="U14:U46">
    <cfRule type="cellIs" dxfId="399" priority="16" operator="equal">
      <formula>FALSE</formula>
    </cfRule>
  </conditionalFormatting>
  <conditionalFormatting sqref="P26">
    <cfRule type="cellIs" dxfId="398" priority="15" operator="lessThan">
      <formula>$BQ$21</formula>
    </cfRule>
  </conditionalFormatting>
  <conditionalFormatting sqref="X14:X20">
    <cfRule type="containsErrors" dxfId="397" priority="5">
      <formula>ISERROR(X14)</formula>
    </cfRule>
  </conditionalFormatting>
  <conditionalFormatting sqref="X30:X36">
    <cfRule type="containsErrors" dxfId="396" priority="4">
      <formula>ISERROR(X30)</formula>
    </cfRule>
  </conditionalFormatting>
  <conditionalFormatting sqref="X38:X44">
    <cfRule type="containsErrors" dxfId="395" priority="3">
      <formula>ISERROR(X38)</formula>
    </cfRule>
  </conditionalFormatting>
  <conditionalFormatting sqref="X22">
    <cfRule type="containsErrors" dxfId="394" priority="2">
      <formula>ISERROR(X22)</formula>
    </cfRule>
  </conditionalFormatting>
  <conditionalFormatting sqref="X23:X28">
    <cfRule type="containsErrors" dxfId="393"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5154FB9B-3BA5-4497-8B38-D100661DAFAB}"/>
    <dataValidation allowBlank="1" showInputMessage="1" showErrorMessage="1" prompt="Enter your Name into this field and it will populate to all the other time reports in this workbook." sqref="C7:H7" xr:uid="{CDAC7E32-2470-4E01-A902-6D62F1947493}"/>
    <dataValidation allowBlank="1" showInputMessage="1" showErrorMessage="1" prompt="Enter your MSU ID into this field and it will populate to all the other time re[prts in this workbook." sqref="C6:H6" xr:uid="{5582AF5D-194A-4A50-8B04-B9318BF8B3EF}"/>
    <dataValidation allowBlank="1" showInputMessage="1" showErrorMessage="1" promptTitle="Hours Per Week" prompt="Please enter the number of hours you are scheduled to work each week.  (Example:  40)_x000a_" sqref="E11:F11" xr:uid="{B7D3EF05-C410-4BE7-A544-1110FB1AF50C}"/>
    <dataValidation type="list" allowBlank="1" showInputMessage="1" showErrorMessage="1" promptTitle="Compensatory Time" prompt="Please select &quot;No&quot; if you are not receiving Compensatory time or &quot;Yes&quot; if you are receiving compensatory time." sqref="W11:X11" xr:uid="{A3C44D5D-7731-47B4-BD19-72244F4ABADF}">
      <formula1>$AD$6:$AD$8</formula1>
    </dataValidation>
  </dataValidations>
  <hyperlinks>
    <hyperlink ref="O49" r:id="rId1" xr:uid="{8E45F5FA-C5F7-4364-A500-51240F51CC71}"/>
    <hyperlink ref="O48:W48" r:id="rId2" display="Leave/Leave Without Pay Policy" xr:uid="{A8352C52-BE2F-43B6-994B-61B6A5CABADE}"/>
    <hyperlink ref="O50:W50" r:id="rId3" display="Time Sheet Definitions/Policies" xr:uid="{4D9EB922-FBCB-4C7D-A2B3-1FABFC7D98AE}"/>
    <hyperlink ref="O49:T49" r:id="rId4" display="Overtime/Compensatory Time" xr:uid="{C8D6A52A-BAE4-4963-B972-502BF1C7166B}"/>
  </hyperlinks>
  <printOptions horizontalCentered="1"/>
  <pageMargins left="0.5" right="0.5" top="0.5" bottom="0.5" header="0.5" footer="0"/>
  <pageSetup scale="75" orientation="portrait" r:id="rId5"/>
  <headerFooter alignWithMargins="0">
    <oddFooter>&amp;RRevised:  05/2019</oddFooter>
  </headerFooter>
  <ignoredErrors>
    <ignoredError sqref="O34:O35 O18:O20" unlockedFormula="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A4E56-50B5-4FE6-A688-0CE72A15EBE7}">
  <sheetPr codeName="Sheet9">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Notes'!$A$4</f>
        <v>44409</v>
      </c>
      <c r="P6" s="265"/>
      <c r="Q6" s="265"/>
      <c r="R6" s="265"/>
      <c r="S6" s="265"/>
      <c r="T6" s="265"/>
      <c r="U6" s="53"/>
      <c r="V6" s="53"/>
      <c r="W6" s="24"/>
      <c r="X6" s="30"/>
      <c r="Z6" s="4" t="str">
        <f>TEXT(O6,"dddd")</f>
        <v>Sunday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Notes'!$B$4</f>
        <v>44423</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Notes'!$C$4</f>
        <v>15</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v>0</v>
      </c>
      <c r="F13" s="86">
        <v>0</v>
      </c>
      <c r="G13" s="86">
        <v>0</v>
      </c>
      <c r="H13" s="86">
        <v>0</v>
      </c>
      <c r="I13" s="86">
        <v>0</v>
      </c>
      <c r="J13" s="86">
        <v>0</v>
      </c>
      <c r="K13" s="86">
        <v>0</v>
      </c>
      <c r="L13" s="86">
        <v>0</v>
      </c>
      <c r="M13" s="86">
        <v>0</v>
      </c>
      <c r="N13" s="86">
        <v>0</v>
      </c>
      <c r="O13" s="86">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f>IF(EXACT(D14,$Z$6)=TRUE,$O$6,IF(A12=0,"",IF(A12&lt;$O$7,A12+1,IF(A12=$O$7,""))))</f>
        <v>44409</v>
      </c>
      <c r="B14" s="238"/>
      <c r="C14" s="239"/>
      <c r="D14" s="32" t="s">
        <v>23</v>
      </c>
      <c r="E14" s="176"/>
      <c r="F14" s="176"/>
      <c r="G14" s="177"/>
      <c r="H14" s="176"/>
      <c r="I14" s="176"/>
      <c r="J14" s="178"/>
      <c r="K14" s="178"/>
      <c r="L14" s="179"/>
      <c r="M14" s="176"/>
      <c r="N14" s="176"/>
      <c r="O14" s="110">
        <f>SUM(E14:N14)-J14</f>
        <v>0</v>
      </c>
      <c r="P14" s="50" t="str">
        <f>IF(AND(ISNUMBER(AA14),ISNUMBER(X14)),AA14*X14,"")</f>
        <v/>
      </c>
      <c r="Q14" s="52"/>
      <c r="R14" s="50" t="str">
        <f>IF(AND(ISNUMBER(AB14),ISNUMBER(X14)),AB14*X14,"")</f>
        <v/>
      </c>
      <c r="S14" s="52"/>
      <c r="T14" s="52"/>
      <c r="U14" s="149">
        <f>IF(BJ14&gt;0,BJ14,BN14)</f>
        <v>0</v>
      </c>
      <c r="V14" s="150">
        <f>IF(BK14&gt;0,BK14,0)</f>
        <v>0</v>
      </c>
      <c r="W14" s="50"/>
      <c r="X14" s="49">
        <f>IF(ISNA(INDEX('Conversion Factors'!$B$6:$B$371,MATCH('Aug 1 - Aug 15'!$Z$14:$Z$20,'Conversion Factors'!$A$6:$A$371,0))),"",INDEX('Conversion Factors'!$B$6:$B$371,MATCH('Aug 1 - Aug 15'!$Z$14:$Z$20,'Conversion Factors'!$A$6:$A$371,0)))</f>
        <v>8.6669999999999998</v>
      </c>
      <c r="Z14" s="18">
        <f t="shared" ref="Z14:Z20" si="0">A14</f>
        <v>44409</v>
      </c>
      <c r="AA14" s="57" t="str">
        <f t="shared" ref="AA14:AA20" si="1">IF(AND(ISNUMBER(N14),ISNUMBER($Z$12)),N14/$Z$12,"")</f>
        <v/>
      </c>
      <c r="AB14" s="57" t="str">
        <f t="shared" ref="AB14:AB20" si="2">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3">J14</f>
        <v>0</v>
      </c>
      <c r="AO14" s="152">
        <f t="shared" ref="AO14:AO20" si="4">IF(G14=0,0,"")</f>
        <v>0</v>
      </c>
      <c r="AP14" s="152">
        <f t="shared" ref="AP14:AP20" si="5">IF(AND(AH14&lt;=40,E14=G14),G14,0)</f>
        <v>0</v>
      </c>
      <c r="AQ14" s="153">
        <f t="shared" ref="AQ14:AQ20" si="6">IF(AND(AH14&lt;=40,E14&gt;=G14,G14&gt;0),O14-E14,0)</f>
        <v>0</v>
      </c>
      <c r="AR14" s="152">
        <f t="shared" ref="AR14:AR20" si="7">IF(AND(AH14&lt;=40,E14&lt;G14),O14-G14,0)</f>
        <v>0</v>
      </c>
      <c r="AS14" s="154">
        <f t="shared" ref="AS14:AS20" si="8">IF(AND(G14=0),G14,IF(AND(G14&gt;0,AI14&gt;0,G14=AT14),AT14,IF(AND(G14&gt;0,AI14&gt;0,G14-AT14),AT14,0)))</f>
        <v>0</v>
      </c>
      <c r="AT14" s="154"/>
      <c r="AU14" s="155">
        <f>AS14</f>
        <v>0</v>
      </c>
      <c r="AV14" s="156">
        <f t="shared" ref="AV14:AV20" si="9">IF(AND(AH13+AU14=40,AI14&gt;0,AI14&gt;AU14),AI14-AU14,IF(AND(AH13+AU14=40,AI14&gt;0,AI14&lt;AU14,AU14+AI14=G14),AI14,IF(AND(AH13&gt;40,AH14&gt;40,G14=AI14),AI14,0)))</f>
        <v>0</v>
      </c>
      <c r="AW14" s="157">
        <f>AV14</f>
        <v>0</v>
      </c>
      <c r="AY14" s="157">
        <f t="shared" ref="AY14:AY20" si="10">IF(AND(J14&gt;0,AI14&gt;=J14,BB14=0),O14-AI14,IF(AND(J14&gt;0,AI14&gt;0,BB14&lt;=AI14),AI14-BB14,IF(AND(J14&gt;0,AI14&gt;0,BB14&gt;AI14),J14-BB14,0)))</f>
        <v>0</v>
      </c>
      <c r="AZ14" s="152">
        <f t="shared" ref="AZ14:AZ20" si="11">IF(J14=0,0,"")</f>
        <v>0</v>
      </c>
      <c r="BA14" s="152">
        <f t="shared" ref="BA14:BA20" si="12">IF(AND(AH14&lt;=40,E14=J14),J14,0)</f>
        <v>0</v>
      </c>
      <c r="BB14" s="158">
        <f t="shared" ref="BB14:BB20" si="13">IF(AND(AZ14=0),AZ14,IF(AND(AH14&gt;40,E14&gt;=J14),BE14,IF(AND(AH14&lt;=40,E14&gt;J14),J14,0)))</f>
        <v>0</v>
      </c>
      <c r="BC14" s="152">
        <f t="shared" ref="BC14:BC20" si="14">IF(AND(AH14&lt;=40,E14&lt;J14),O14-J14,0)</f>
        <v>0</v>
      </c>
      <c r="BD14" s="154">
        <f t="shared" ref="BD14:BD20" si="15">IF(AND(J14=0),J14,IF(AND(J14&gt;0,AI14&gt;0,J14=BC14),BC14,IF(AND(J14&gt;0,AI14&gt;0,J14-BC14),BC14,0)))</f>
        <v>0</v>
      </c>
      <c r="BE14" s="154"/>
      <c r="BF14" s="159">
        <f>BD14</f>
        <v>0</v>
      </c>
      <c r="BG14" s="160"/>
      <c r="BH14" s="160">
        <f>IF(AND(G14&gt;0,E14&gt;0),1,0)</f>
        <v>0</v>
      </c>
      <c r="BI14" s="161">
        <f t="shared" ref="BI14:BI20" si="16">40-AH14</f>
        <v>40</v>
      </c>
      <c r="BJ14" s="161">
        <f t="shared" ref="BJ14:BJ20" si="17">IF(AND(BH14=1,40-BL13&gt;0,40-BL13&lt;8),40-BL13,IF(AND(E14&lt;G14),E14,G14))</f>
        <v>0</v>
      </c>
      <c r="BK14" s="161">
        <f t="shared" ref="BK14:BK20" si="18">IF(AND(BH14=1,BL14&gt;40,E14&lt;G14),E14-BJ14,(IF(AND(BH14=1,BL14&gt;0,E14&gt;=G14),G14-BJ14,0)))</f>
        <v>0</v>
      </c>
      <c r="BL14" s="161">
        <f>E14</f>
        <v>0</v>
      </c>
      <c r="BM14" s="160">
        <f>IF(AND(K14&gt;0,E14&gt;0),1,0)</f>
        <v>0</v>
      </c>
      <c r="BN14" s="161">
        <f>IF(AND(BM14=1,J14&gt;8),K14,(IF(AND(BM14=1,J14&gt;0),J14,0)))</f>
        <v>0</v>
      </c>
      <c r="BO14" s="161">
        <f t="shared" ref="BO14:BO15" si="19">IF(AND(BM14=1,40-BL13&gt;0,40-BL13&lt;8),40-BL13,IF(AND(J14&lt;K14),J14,K14))</f>
        <v>0</v>
      </c>
      <c r="BP14" s="161">
        <f t="shared" ref="BP14:BP18" si="20">IF(AND(BM14=1,BL14&gt;40,J14&lt;=K14),J14-BO14,IF(AND(BM14=1,BL14&gt;0,J14&gt;K14),K14-BO14,0))</f>
        <v>0</v>
      </c>
      <c r="BQ14" s="160"/>
    </row>
    <row r="15" spans="1:69" ht="15" customHeight="1">
      <c r="A15" s="237">
        <f t="shared" ref="A15:A20" si="21">IF(EXACT(D15,$Z$6)=TRUE,$O$6,IF(A14=0,"",IF(A14&lt;$O$7,A14+1,IF(A14=$O$7,""))))</f>
        <v>44410</v>
      </c>
      <c r="B15" s="238"/>
      <c r="C15" s="239"/>
      <c r="D15" s="32" t="s">
        <v>24</v>
      </c>
      <c r="E15" s="176"/>
      <c r="F15" s="176"/>
      <c r="G15" s="177"/>
      <c r="H15" s="176"/>
      <c r="I15" s="176"/>
      <c r="J15" s="178"/>
      <c r="K15" s="178"/>
      <c r="L15" s="179"/>
      <c r="M15" s="176"/>
      <c r="N15" s="176"/>
      <c r="O15" s="110">
        <f>SUM(E15:N15)-J15</f>
        <v>0</v>
      </c>
      <c r="P15" s="50" t="str">
        <f t="shared" ref="P15:P20" si="22">IF(AND(ISNUMBER(AA15),ISNUMBER(X15)),AA15*X15,"")</f>
        <v/>
      </c>
      <c r="Q15" s="52"/>
      <c r="R15" s="50" t="str">
        <f t="shared" ref="R15:R20" si="23">IF(AND(ISNUMBER(AB15),ISNUMBER(X15)),AB15*X15,"")</f>
        <v/>
      </c>
      <c r="S15" s="52"/>
      <c r="T15" s="52"/>
      <c r="U15" s="149">
        <f>IF(BJ15&gt;0,BJ15,BN15)</f>
        <v>0</v>
      </c>
      <c r="V15" s="150">
        <f t="shared" ref="V15:V20" si="24">IF(BK15&gt;0,BK15,0)</f>
        <v>0</v>
      </c>
      <c r="W15" s="50"/>
      <c r="X15" s="49">
        <f>IF(ISNA(INDEX('Conversion Factors'!$B$6:$B$371,MATCH('Aug 1 - Aug 15'!$Z$14:$Z$20,'Conversion Factors'!$A$6:$A$371,0))),"",INDEX('Conversion Factors'!$B$6:$B$371,MATCH('Aug 1 - Aug 15'!$Z$14:$Z$20,'Conversion Factors'!$A$6:$A$371,0)))</f>
        <v>8.6669999999999998</v>
      </c>
      <c r="Z15" s="18">
        <f t="shared" si="0"/>
        <v>44410</v>
      </c>
      <c r="AA15" s="57" t="str">
        <f t="shared" si="1"/>
        <v/>
      </c>
      <c r="AB15" s="57" t="str">
        <f t="shared" si="2"/>
        <v/>
      </c>
      <c r="AH15" s="71">
        <f t="shared" ref="AH15:AH20" si="25">E15+AH14</f>
        <v>0</v>
      </c>
      <c r="AI15" s="68">
        <f>IF(AH15&gt;$AI$12,AH15-($AI$12+AI14),0)</f>
        <v>0</v>
      </c>
      <c r="AJ15" s="145" t="b">
        <f t="shared" ref="AJ15:AJ20" si="26">IF(AND(AZ15&gt;0,AZ15),IF(BA15&gt;0,BA15,IF(BB15&gt;0,BB15,IF(BC15&gt;0,BC15,IF(BF15&gt;0,BF15,"")))))</f>
        <v>0</v>
      </c>
      <c r="AK15" s="151" t="b">
        <f t="shared" ref="AK15:AK20" si="27">IF(AND(AO15&gt;0,AO15),IF(AP15&gt;0,AP15,IF(AQ15&gt;0,AQ15,IF(AR15&gt;0,AR15,IF(AU15&gt;0,AU15,0)))))</f>
        <v>0</v>
      </c>
      <c r="AM15" s="147">
        <f t="shared" si="3"/>
        <v>0</v>
      </c>
      <c r="AO15" s="162">
        <f t="shared" si="4"/>
        <v>0</v>
      </c>
      <c r="AP15" s="162">
        <f t="shared" si="5"/>
        <v>0</v>
      </c>
      <c r="AQ15" s="153">
        <f t="shared" si="6"/>
        <v>0</v>
      </c>
      <c r="AR15" s="162">
        <f t="shared" si="7"/>
        <v>0</v>
      </c>
      <c r="AS15" s="154">
        <f t="shared" si="8"/>
        <v>0</v>
      </c>
      <c r="AT15" s="154">
        <f t="shared" ref="AT15:AT17" si="28">IF(AND(AH14&lt;=40),40-AH14,0)</f>
        <v>40</v>
      </c>
      <c r="AU15" s="155">
        <f t="shared" ref="AU15:AU20" si="29">AS15</f>
        <v>0</v>
      </c>
      <c r="AV15" s="156">
        <f t="shared" si="9"/>
        <v>0</v>
      </c>
      <c r="AW15" s="157">
        <f t="shared" ref="AW15:AW20" si="30">AV15</f>
        <v>0</v>
      </c>
      <c r="AY15" s="157">
        <f t="shared" si="10"/>
        <v>0</v>
      </c>
      <c r="AZ15" s="152">
        <f t="shared" si="11"/>
        <v>0</v>
      </c>
      <c r="BA15" s="152">
        <f t="shared" si="12"/>
        <v>0</v>
      </c>
      <c r="BB15" s="158">
        <f t="shared" si="13"/>
        <v>0</v>
      </c>
      <c r="BC15" s="152">
        <f t="shared" si="14"/>
        <v>0</v>
      </c>
      <c r="BD15" s="154">
        <f t="shared" si="15"/>
        <v>0</v>
      </c>
      <c r="BE15" s="154">
        <f>IF(AND(AH14&lt;=40),40-AH14,0)</f>
        <v>40</v>
      </c>
      <c r="BF15" s="159">
        <f t="shared" ref="BF15:BF20" si="31">BD15</f>
        <v>0</v>
      </c>
      <c r="BG15" s="160"/>
      <c r="BH15" s="160">
        <f>IF(AND(G15&gt;0,E15&gt;0),1,0)</f>
        <v>0</v>
      </c>
      <c r="BI15" s="161">
        <f t="shared" si="16"/>
        <v>40</v>
      </c>
      <c r="BJ15" s="161">
        <f t="shared" si="17"/>
        <v>0</v>
      </c>
      <c r="BK15" s="161">
        <f t="shared" si="18"/>
        <v>0</v>
      </c>
      <c r="BL15" s="161">
        <f>SUM(E14:E15)</f>
        <v>0</v>
      </c>
      <c r="BM15" s="160">
        <f t="shared" ref="BM15:BM20" si="32">IF(AND(K15&gt;0,E15&gt;0),1,0)</f>
        <v>0</v>
      </c>
      <c r="BN15" s="161">
        <f>IF(AND(BM15=1,J15&gt;8),K15,(IF(AND(BM15=1,J15&gt;0),J15,0)))</f>
        <v>0</v>
      </c>
      <c r="BO15" s="161">
        <f t="shared" si="19"/>
        <v>0</v>
      </c>
      <c r="BP15" s="161">
        <f t="shared" si="20"/>
        <v>0</v>
      </c>
      <c r="BQ15" s="160"/>
    </row>
    <row r="16" spans="1:69" ht="15" customHeight="1">
      <c r="A16" s="237">
        <f t="shared" si="21"/>
        <v>44411</v>
      </c>
      <c r="B16" s="238"/>
      <c r="C16" s="239"/>
      <c r="D16" s="32" t="s">
        <v>25</v>
      </c>
      <c r="E16" s="176"/>
      <c r="F16" s="176"/>
      <c r="G16" s="177"/>
      <c r="H16" s="176"/>
      <c r="I16" s="176"/>
      <c r="J16" s="178"/>
      <c r="K16" s="178"/>
      <c r="L16" s="179"/>
      <c r="M16" s="176"/>
      <c r="N16" s="176"/>
      <c r="O16" s="110">
        <f t="shared" ref="O16:O19" si="33">SUM(E16:N16)-J16</f>
        <v>0</v>
      </c>
      <c r="P16" s="50" t="str">
        <f t="shared" si="22"/>
        <v/>
      </c>
      <c r="Q16" s="52"/>
      <c r="R16" s="50" t="str">
        <f t="shared" si="23"/>
        <v/>
      </c>
      <c r="S16" s="52"/>
      <c r="T16" s="52"/>
      <c r="U16" s="149">
        <f t="shared" ref="U16:U44" si="34">IF(BJ16&gt;0,BJ16,BN16)</f>
        <v>0</v>
      </c>
      <c r="V16" s="150">
        <f t="shared" si="24"/>
        <v>0</v>
      </c>
      <c r="W16" s="50"/>
      <c r="X16" s="49">
        <f>IF(ISNA(INDEX('Conversion Factors'!$B$6:$B$371,MATCH('Aug 1 - Aug 15'!$Z$14:$Z$20,'Conversion Factors'!$A$6:$A$371,0))),"",INDEX('Conversion Factors'!$B$6:$B$371,MATCH('Aug 1 - Aug 15'!$Z$14:$Z$20,'Conversion Factors'!$A$6:$A$371,0)))</f>
        <v>8.6669999999999998</v>
      </c>
      <c r="Z16" s="18">
        <f t="shared" si="0"/>
        <v>44411</v>
      </c>
      <c r="AA16" s="57" t="str">
        <f t="shared" si="1"/>
        <v/>
      </c>
      <c r="AB16" s="57" t="str">
        <f t="shared" si="2"/>
        <v/>
      </c>
      <c r="AG16" s="1"/>
      <c r="AH16" s="71">
        <f t="shared" si="25"/>
        <v>0</v>
      </c>
      <c r="AI16" s="68">
        <f>IF(AH16&gt;$AI$12,AH16-($AI$12+AI15+AI14),0)</f>
        <v>0</v>
      </c>
      <c r="AJ16" s="145" t="b">
        <f t="shared" si="26"/>
        <v>0</v>
      </c>
      <c r="AK16" s="151" t="b">
        <f t="shared" si="27"/>
        <v>0</v>
      </c>
      <c r="AM16" s="147">
        <f t="shared" si="3"/>
        <v>0</v>
      </c>
      <c r="AO16" s="162">
        <f t="shared" si="4"/>
        <v>0</v>
      </c>
      <c r="AP16" s="162">
        <f t="shared" si="5"/>
        <v>0</v>
      </c>
      <c r="AQ16" s="153">
        <f t="shared" si="6"/>
        <v>0</v>
      </c>
      <c r="AR16" s="162">
        <f t="shared" si="7"/>
        <v>0</v>
      </c>
      <c r="AS16" s="154">
        <f t="shared" si="8"/>
        <v>0</v>
      </c>
      <c r="AT16" s="154">
        <f t="shared" si="28"/>
        <v>40</v>
      </c>
      <c r="AU16" s="155">
        <f t="shared" si="29"/>
        <v>0</v>
      </c>
      <c r="AV16" s="156">
        <f t="shared" si="9"/>
        <v>0</v>
      </c>
      <c r="AW16" s="157">
        <f t="shared" si="30"/>
        <v>0</v>
      </c>
      <c r="AY16" s="157">
        <f t="shared" si="10"/>
        <v>0</v>
      </c>
      <c r="AZ16" s="152">
        <f t="shared" si="11"/>
        <v>0</v>
      </c>
      <c r="BA16" s="152">
        <f t="shared" si="12"/>
        <v>0</v>
      </c>
      <c r="BB16" s="158">
        <f t="shared" si="13"/>
        <v>0</v>
      </c>
      <c r="BC16" s="152">
        <f t="shared" si="14"/>
        <v>0</v>
      </c>
      <c r="BD16" s="154">
        <f t="shared" si="15"/>
        <v>0</v>
      </c>
      <c r="BE16" s="154">
        <f t="shared" ref="BE16:BE20" si="35">IF(AND(AH15&lt;=40),40-AH15,0)</f>
        <v>40</v>
      </c>
      <c r="BF16" s="159">
        <f t="shared" si="31"/>
        <v>0</v>
      </c>
      <c r="BG16" s="160"/>
      <c r="BH16" s="160">
        <f t="shared" ref="BH16:BH20" si="36">IF(AND(G16&gt;0,E16&gt;0),1,0)</f>
        <v>0</v>
      </c>
      <c r="BI16" s="161">
        <f t="shared" si="16"/>
        <v>40</v>
      </c>
      <c r="BJ16" s="161">
        <f t="shared" si="17"/>
        <v>0</v>
      </c>
      <c r="BK16" s="161">
        <f t="shared" si="18"/>
        <v>0</v>
      </c>
      <c r="BL16" s="161">
        <f>SUM(E14:E16)</f>
        <v>0</v>
      </c>
      <c r="BM16" s="160">
        <f t="shared" si="32"/>
        <v>0</v>
      </c>
      <c r="BN16" s="161">
        <f>IF(AND(BM16=1,J16&gt;8),K16,(IF(AND(BM16=1,J16&gt;0),J16,0)))</f>
        <v>0</v>
      </c>
      <c r="BO16" s="161">
        <f>IF(AND(BM16=1,40-BL15&gt;0,40-BL15&lt;8),40-BL15,IF(AND(J16&lt;K16),J16,K16))</f>
        <v>0</v>
      </c>
      <c r="BP16" s="161">
        <f t="shared" si="20"/>
        <v>0</v>
      </c>
      <c r="BQ16" s="160"/>
    </row>
    <row r="17" spans="1:69" ht="15" customHeight="1">
      <c r="A17" s="237">
        <f t="shared" si="21"/>
        <v>44412</v>
      </c>
      <c r="B17" s="238"/>
      <c r="C17" s="239"/>
      <c r="D17" s="32" t="s">
        <v>26</v>
      </c>
      <c r="E17" s="176"/>
      <c r="F17" s="176"/>
      <c r="G17" s="177"/>
      <c r="H17" s="176"/>
      <c r="I17" s="176"/>
      <c r="J17" s="178"/>
      <c r="K17" s="178"/>
      <c r="L17" s="179"/>
      <c r="M17" s="176"/>
      <c r="N17" s="176"/>
      <c r="O17" s="110">
        <f t="shared" si="33"/>
        <v>0</v>
      </c>
      <c r="P17" s="50" t="str">
        <f t="shared" si="22"/>
        <v/>
      </c>
      <c r="Q17" s="52"/>
      <c r="R17" s="50" t="str">
        <f t="shared" si="23"/>
        <v/>
      </c>
      <c r="S17" s="52"/>
      <c r="T17" s="52"/>
      <c r="U17" s="149">
        <f t="shared" si="34"/>
        <v>0</v>
      </c>
      <c r="V17" s="150">
        <f t="shared" si="24"/>
        <v>0</v>
      </c>
      <c r="W17" s="50"/>
      <c r="X17" s="49">
        <f>IF(ISNA(INDEX('Conversion Factors'!$B$6:$B$371,MATCH('Aug 1 - Aug 15'!$Z$14:$Z$20,'Conversion Factors'!$A$6:$A$371,0))),"",INDEX('Conversion Factors'!$B$6:$B$371,MATCH('Aug 1 - Aug 15'!$Z$14:$Z$20,'Conversion Factors'!$A$6:$A$371,0)))</f>
        <v>8.6669999999999998</v>
      </c>
      <c r="Z17" s="18">
        <f t="shared" si="0"/>
        <v>44412</v>
      </c>
      <c r="AA17" s="57" t="str">
        <f t="shared" si="1"/>
        <v/>
      </c>
      <c r="AB17" s="57" t="str">
        <f t="shared" si="2"/>
        <v/>
      </c>
      <c r="AG17" s="1"/>
      <c r="AH17" s="71">
        <f t="shared" si="25"/>
        <v>0</v>
      </c>
      <c r="AI17" s="68">
        <f>IF(AH17&gt;$AI$12,AH17-($AI$12+AI16+AI15+AI14),0)</f>
        <v>0</v>
      </c>
      <c r="AJ17" s="145" t="b">
        <f t="shared" si="26"/>
        <v>0</v>
      </c>
      <c r="AK17" s="151" t="b">
        <f t="shared" si="27"/>
        <v>0</v>
      </c>
      <c r="AM17" s="147">
        <f t="shared" si="3"/>
        <v>0</v>
      </c>
      <c r="AO17" s="162">
        <f t="shared" si="4"/>
        <v>0</v>
      </c>
      <c r="AP17" s="162">
        <f t="shared" si="5"/>
        <v>0</v>
      </c>
      <c r="AQ17" s="153">
        <f t="shared" si="6"/>
        <v>0</v>
      </c>
      <c r="AR17" s="162">
        <f t="shared" si="7"/>
        <v>0</v>
      </c>
      <c r="AS17" s="154">
        <f t="shared" si="8"/>
        <v>0</v>
      </c>
      <c r="AT17" s="154">
        <f t="shared" si="28"/>
        <v>40</v>
      </c>
      <c r="AU17" s="155">
        <f t="shared" si="29"/>
        <v>0</v>
      </c>
      <c r="AV17" s="156">
        <f t="shared" si="9"/>
        <v>0</v>
      </c>
      <c r="AW17" s="157">
        <f t="shared" si="30"/>
        <v>0</v>
      </c>
      <c r="AY17" s="157">
        <f t="shared" si="10"/>
        <v>0</v>
      </c>
      <c r="AZ17" s="152">
        <f t="shared" si="11"/>
        <v>0</v>
      </c>
      <c r="BA17" s="152">
        <f t="shared" si="12"/>
        <v>0</v>
      </c>
      <c r="BB17" s="158">
        <f t="shared" si="13"/>
        <v>0</v>
      </c>
      <c r="BC17" s="152">
        <f t="shared" si="14"/>
        <v>0</v>
      </c>
      <c r="BD17" s="154">
        <f t="shared" si="15"/>
        <v>0</v>
      </c>
      <c r="BE17" s="154">
        <f t="shared" si="35"/>
        <v>40</v>
      </c>
      <c r="BF17" s="159">
        <f t="shared" si="31"/>
        <v>0</v>
      </c>
      <c r="BG17" s="160"/>
      <c r="BH17" s="160">
        <f t="shared" si="36"/>
        <v>0</v>
      </c>
      <c r="BI17" s="161">
        <f t="shared" si="16"/>
        <v>40</v>
      </c>
      <c r="BJ17" s="161">
        <f t="shared" si="17"/>
        <v>0</v>
      </c>
      <c r="BK17" s="161">
        <f t="shared" si="18"/>
        <v>0</v>
      </c>
      <c r="BL17" s="161">
        <f>SUM(E14:E17)</f>
        <v>0</v>
      </c>
      <c r="BM17" s="160">
        <f t="shared" si="32"/>
        <v>0</v>
      </c>
      <c r="BN17" s="161">
        <f t="shared" ref="BN17:BN20" si="37">IF(AND(BM17=1,J17&gt;8),K17,(IF(AND(BM17=1,J17&gt;0),J17,0)))</f>
        <v>0</v>
      </c>
      <c r="BO17" s="161">
        <f t="shared" ref="BO17:BO20" si="38">IF(AND(BM17=1,40-BL16&gt;0,40-BL16&lt;8),40-BL16,IF(AND(J17&lt;K17),J17,K17))</f>
        <v>0</v>
      </c>
      <c r="BP17" s="161">
        <f t="shared" si="20"/>
        <v>0</v>
      </c>
      <c r="BQ17" s="160"/>
    </row>
    <row r="18" spans="1:69" ht="15" customHeight="1">
      <c r="A18" s="237">
        <f t="shared" si="21"/>
        <v>44413</v>
      </c>
      <c r="B18" s="238"/>
      <c r="C18" s="239"/>
      <c r="D18" s="32" t="s">
        <v>27</v>
      </c>
      <c r="E18" s="176"/>
      <c r="F18" s="176"/>
      <c r="G18" s="177"/>
      <c r="H18" s="176"/>
      <c r="I18" s="176"/>
      <c r="J18" s="178"/>
      <c r="K18" s="178"/>
      <c r="L18" s="179"/>
      <c r="M18" s="176"/>
      <c r="N18" s="176"/>
      <c r="O18" s="110">
        <f t="shared" si="33"/>
        <v>0</v>
      </c>
      <c r="P18" s="50" t="str">
        <f t="shared" si="22"/>
        <v/>
      </c>
      <c r="Q18" s="51"/>
      <c r="R18" s="50" t="str">
        <f t="shared" si="23"/>
        <v/>
      </c>
      <c r="S18" s="52"/>
      <c r="T18" s="52"/>
      <c r="U18" s="149">
        <f t="shared" si="34"/>
        <v>0</v>
      </c>
      <c r="V18" s="150">
        <f t="shared" si="24"/>
        <v>0</v>
      </c>
      <c r="W18" s="50"/>
      <c r="X18" s="49">
        <f>IF(ISNA(INDEX('Conversion Factors'!$B$6:$B$371,MATCH('Aug 1 - Aug 15'!$Z$14:$Z$20,'Conversion Factors'!$A$6:$A$371,0))),"",INDEX('Conversion Factors'!$B$6:$B$371,MATCH('Aug 1 - Aug 15'!$Z$14:$Z$20,'Conversion Factors'!$A$6:$A$371,0)))</f>
        <v>8.6669999999999998</v>
      </c>
      <c r="Z18" s="18">
        <f t="shared" si="0"/>
        <v>44413</v>
      </c>
      <c r="AA18" s="57" t="str">
        <f t="shared" si="1"/>
        <v/>
      </c>
      <c r="AB18" s="57" t="str">
        <f t="shared" si="2"/>
        <v/>
      </c>
      <c r="AH18" s="71">
        <f t="shared" si="25"/>
        <v>0</v>
      </c>
      <c r="AI18" s="68">
        <f>IF(AH18&gt;$AI$12,AH18-($AI$12+AI17+AI16+AI15+AI14),0)</f>
        <v>0</v>
      </c>
      <c r="AJ18" s="145" t="b">
        <f t="shared" si="26"/>
        <v>0</v>
      </c>
      <c r="AK18" s="151" t="b">
        <f t="shared" si="27"/>
        <v>0</v>
      </c>
      <c r="AM18" s="147">
        <f t="shared" si="3"/>
        <v>0</v>
      </c>
      <c r="AO18" s="162">
        <f t="shared" si="4"/>
        <v>0</v>
      </c>
      <c r="AP18" s="162">
        <f t="shared" si="5"/>
        <v>0</v>
      </c>
      <c r="AQ18" s="153">
        <f t="shared" si="6"/>
        <v>0</v>
      </c>
      <c r="AR18" s="162">
        <f t="shared" si="7"/>
        <v>0</v>
      </c>
      <c r="AS18" s="154">
        <f t="shared" si="8"/>
        <v>0</v>
      </c>
      <c r="AT18" s="154">
        <f>IF(AND(AH17&lt;=40),40-AH17,0)</f>
        <v>40</v>
      </c>
      <c r="AU18" s="155">
        <f t="shared" si="29"/>
        <v>0</v>
      </c>
      <c r="AV18" s="156">
        <f t="shared" si="9"/>
        <v>0</v>
      </c>
      <c r="AW18" s="157">
        <f t="shared" si="30"/>
        <v>0</v>
      </c>
      <c r="AY18" s="157">
        <f t="shared" si="10"/>
        <v>0</v>
      </c>
      <c r="AZ18" s="152">
        <f t="shared" si="11"/>
        <v>0</v>
      </c>
      <c r="BA18" s="152">
        <f t="shared" si="12"/>
        <v>0</v>
      </c>
      <c r="BB18" s="158">
        <f t="shared" si="13"/>
        <v>0</v>
      </c>
      <c r="BC18" s="152">
        <f t="shared" si="14"/>
        <v>0</v>
      </c>
      <c r="BD18" s="154">
        <f t="shared" si="15"/>
        <v>0</v>
      </c>
      <c r="BE18" s="154">
        <f t="shared" si="35"/>
        <v>40</v>
      </c>
      <c r="BF18" s="159">
        <f t="shared" si="31"/>
        <v>0</v>
      </c>
      <c r="BG18" s="160"/>
      <c r="BH18" s="160">
        <f t="shared" si="36"/>
        <v>0</v>
      </c>
      <c r="BI18" s="161">
        <f t="shared" si="16"/>
        <v>40</v>
      </c>
      <c r="BJ18" s="161">
        <f t="shared" si="17"/>
        <v>0</v>
      </c>
      <c r="BK18" s="161">
        <f t="shared" si="18"/>
        <v>0</v>
      </c>
      <c r="BL18" s="161">
        <f>SUM(E14:E18)</f>
        <v>0</v>
      </c>
      <c r="BM18" s="160">
        <f t="shared" si="32"/>
        <v>0</v>
      </c>
      <c r="BN18" s="161">
        <f t="shared" si="37"/>
        <v>0</v>
      </c>
      <c r="BO18" s="161">
        <f t="shared" si="38"/>
        <v>0</v>
      </c>
      <c r="BP18" s="161">
        <f t="shared" si="20"/>
        <v>0</v>
      </c>
      <c r="BQ18" s="160"/>
    </row>
    <row r="19" spans="1:69" ht="15" customHeight="1">
      <c r="A19" s="237">
        <f t="shared" si="21"/>
        <v>44414</v>
      </c>
      <c r="B19" s="238"/>
      <c r="C19" s="239"/>
      <c r="D19" s="32" t="s">
        <v>28</v>
      </c>
      <c r="E19" s="176"/>
      <c r="F19" s="176"/>
      <c r="G19" s="177"/>
      <c r="H19" s="176"/>
      <c r="I19" s="176"/>
      <c r="J19" s="178"/>
      <c r="K19" s="178"/>
      <c r="L19" s="179"/>
      <c r="M19" s="176"/>
      <c r="N19" s="176"/>
      <c r="O19" s="110">
        <f t="shared" si="33"/>
        <v>0</v>
      </c>
      <c r="P19" s="50" t="str">
        <f t="shared" si="22"/>
        <v/>
      </c>
      <c r="Q19" s="51"/>
      <c r="R19" s="50" t="str">
        <f t="shared" si="23"/>
        <v/>
      </c>
      <c r="S19" s="52"/>
      <c r="T19" s="52"/>
      <c r="U19" s="149">
        <f t="shared" si="34"/>
        <v>0</v>
      </c>
      <c r="V19" s="150">
        <f t="shared" si="24"/>
        <v>0</v>
      </c>
      <c r="W19" s="50"/>
      <c r="X19" s="49">
        <f>IF(ISNA(INDEX('Conversion Factors'!$B$6:$B$371,MATCH('Aug 1 - Aug 15'!$Z$14:$Z$20,'Conversion Factors'!$A$6:$A$371,0))),"",INDEX('Conversion Factors'!$B$6:$B$371,MATCH('Aug 1 - Aug 15'!$Z$14:$Z$20,'Conversion Factors'!$A$6:$A$371,0)))</f>
        <v>8.6669999999999998</v>
      </c>
      <c r="Z19" s="18">
        <f t="shared" si="0"/>
        <v>44414</v>
      </c>
      <c r="AA19" s="57" t="str">
        <f t="shared" si="1"/>
        <v/>
      </c>
      <c r="AB19" s="57" t="str">
        <f t="shared" si="2"/>
        <v/>
      </c>
      <c r="AH19" s="71">
        <f t="shared" si="25"/>
        <v>0</v>
      </c>
      <c r="AI19" s="68">
        <f>IF(AH19&gt;$AI$12,AH19-($AI$12+AI18+AI17+AI16+AI15+AI14),0)</f>
        <v>0</v>
      </c>
      <c r="AJ19" s="145" t="b">
        <f t="shared" si="26"/>
        <v>0</v>
      </c>
      <c r="AK19" s="151" t="b">
        <f t="shared" si="27"/>
        <v>0</v>
      </c>
      <c r="AM19" s="147">
        <f t="shared" si="3"/>
        <v>0</v>
      </c>
      <c r="AO19" s="162">
        <f t="shared" si="4"/>
        <v>0</v>
      </c>
      <c r="AP19" s="162">
        <f t="shared" si="5"/>
        <v>0</v>
      </c>
      <c r="AQ19" s="153">
        <f t="shared" si="6"/>
        <v>0</v>
      </c>
      <c r="AR19" s="162">
        <f t="shared" si="7"/>
        <v>0</v>
      </c>
      <c r="AS19" s="154">
        <f t="shared" si="8"/>
        <v>0</v>
      </c>
      <c r="AT19" s="154">
        <f t="shared" ref="AT19:AT20" si="39">IF(AND(AH18&lt;=40),40-AH18,0)</f>
        <v>40</v>
      </c>
      <c r="AU19" s="155">
        <f t="shared" si="29"/>
        <v>0</v>
      </c>
      <c r="AV19" s="156">
        <f t="shared" si="9"/>
        <v>0</v>
      </c>
      <c r="AW19" s="157">
        <f t="shared" si="30"/>
        <v>0</v>
      </c>
      <c r="AY19" s="157">
        <f t="shared" si="10"/>
        <v>0</v>
      </c>
      <c r="AZ19" s="152">
        <f t="shared" si="11"/>
        <v>0</v>
      </c>
      <c r="BA19" s="152">
        <f t="shared" si="12"/>
        <v>0</v>
      </c>
      <c r="BB19" s="158">
        <f t="shared" si="13"/>
        <v>0</v>
      </c>
      <c r="BC19" s="152">
        <f t="shared" si="14"/>
        <v>0</v>
      </c>
      <c r="BD19" s="154">
        <f t="shared" si="15"/>
        <v>0</v>
      </c>
      <c r="BE19" s="154">
        <f t="shared" si="35"/>
        <v>40</v>
      </c>
      <c r="BF19" s="159">
        <f t="shared" si="31"/>
        <v>0</v>
      </c>
      <c r="BG19" s="160"/>
      <c r="BH19" s="160">
        <f t="shared" si="36"/>
        <v>0</v>
      </c>
      <c r="BI19" s="161">
        <f t="shared" si="16"/>
        <v>40</v>
      </c>
      <c r="BJ19" s="161">
        <f t="shared" si="17"/>
        <v>0</v>
      </c>
      <c r="BK19" s="161">
        <f t="shared" si="18"/>
        <v>0</v>
      </c>
      <c r="BL19" s="161">
        <f>SUM(E14:E19)</f>
        <v>0</v>
      </c>
      <c r="BM19" s="160">
        <f t="shared" si="32"/>
        <v>0</v>
      </c>
      <c r="BN19" s="161">
        <f t="shared" si="37"/>
        <v>0</v>
      </c>
      <c r="BO19" s="161">
        <f t="shared" si="38"/>
        <v>0</v>
      </c>
      <c r="BP19" s="161">
        <f>IF(AND(BM19=1,BL19&gt;40,J19&lt;=K19),J19-BO19,IF(AND(BM19=1,BL19&gt;0,J19&gt;K19),K19-BO19,0))</f>
        <v>0</v>
      </c>
      <c r="BQ19" s="160"/>
    </row>
    <row r="20" spans="1:69" ht="15" customHeight="1" thickBot="1">
      <c r="A20" s="237">
        <f t="shared" si="21"/>
        <v>44415</v>
      </c>
      <c r="B20" s="238"/>
      <c r="C20" s="239"/>
      <c r="D20" s="32" t="s">
        <v>29</v>
      </c>
      <c r="E20" s="176"/>
      <c r="F20" s="176"/>
      <c r="G20" s="177"/>
      <c r="H20" s="176"/>
      <c r="I20" s="176"/>
      <c r="J20" s="178"/>
      <c r="K20" s="178"/>
      <c r="L20" s="179"/>
      <c r="M20" s="176"/>
      <c r="N20" s="176"/>
      <c r="O20" s="110">
        <f>SUM(E20:N20)-J20</f>
        <v>0</v>
      </c>
      <c r="P20" s="50" t="str">
        <f t="shared" si="22"/>
        <v/>
      </c>
      <c r="Q20" s="52"/>
      <c r="R20" s="50" t="str">
        <f t="shared" si="23"/>
        <v/>
      </c>
      <c r="S20" s="52"/>
      <c r="T20" s="52"/>
      <c r="U20" s="149">
        <f t="shared" si="34"/>
        <v>0</v>
      </c>
      <c r="V20" s="150">
        <f t="shared" si="24"/>
        <v>0</v>
      </c>
      <c r="W20" s="50"/>
      <c r="X20" s="49">
        <f>IF(ISNA(INDEX('Conversion Factors'!$B$6:$B$371,MATCH('Aug 1 - Aug 15'!$Z$14:$Z$20,'Conversion Factors'!$A$6:$A$371,0))),"",INDEX('Conversion Factors'!$B$6:$B$371,MATCH('Aug 1 - Aug 15'!$Z$14:$Z$20,'Conversion Factors'!$A$6:$A$371,0)))</f>
        <v>8.6669999999999998</v>
      </c>
      <c r="Z20" s="18">
        <f t="shared" si="0"/>
        <v>44415</v>
      </c>
      <c r="AA20" s="57" t="str">
        <f t="shared" si="1"/>
        <v/>
      </c>
      <c r="AB20" s="57" t="str">
        <f t="shared" si="2"/>
        <v/>
      </c>
      <c r="AH20" s="71">
        <f t="shared" si="25"/>
        <v>0</v>
      </c>
      <c r="AI20" s="68">
        <f>IF(AH20&gt;$AI$12,AH20-($AI$12+AI19+AI18+AI17+AI16+AI15+AI14),0)</f>
        <v>0</v>
      </c>
      <c r="AJ20" s="145" t="b">
        <f t="shared" si="26"/>
        <v>0</v>
      </c>
      <c r="AK20" s="151" t="b">
        <f t="shared" si="27"/>
        <v>0</v>
      </c>
      <c r="AM20" s="147">
        <f t="shared" si="3"/>
        <v>0</v>
      </c>
      <c r="AO20" s="163">
        <f t="shared" si="4"/>
        <v>0</v>
      </c>
      <c r="AP20" s="163">
        <f t="shared" si="5"/>
        <v>0</v>
      </c>
      <c r="AQ20" s="153">
        <f t="shared" si="6"/>
        <v>0</v>
      </c>
      <c r="AR20" s="163">
        <f t="shared" si="7"/>
        <v>0</v>
      </c>
      <c r="AS20" s="154">
        <f t="shared" si="8"/>
        <v>0</v>
      </c>
      <c r="AT20" s="154">
        <f t="shared" si="39"/>
        <v>40</v>
      </c>
      <c r="AU20" s="155">
        <f t="shared" si="29"/>
        <v>0</v>
      </c>
      <c r="AV20" s="156">
        <f t="shared" si="9"/>
        <v>0</v>
      </c>
      <c r="AW20" s="157">
        <f t="shared" si="30"/>
        <v>0</v>
      </c>
      <c r="AY20" s="157">
        <f t="shared" si="10"/>
        <v>0</v>
      </c>
      <c r="AZ20" s="152">
        <f t="shared" si="11"/>
        <v>0</v>
      </c>
      <c r="BA20" s="152">
        <f t="shared" si="12"/>
        <v>0</v>
      </c>
      <c r="BB20" s="158">
        <f t="shared" si="13"/>
        <v>0</v>
      </c>
      <c r="BC20" s="152">
        <f t="shared" si="14"/>
        <v>0</v>
      </c>
      <c r="BD20" s="154">
        <f t="shared" si="15"/>
        <v>0</v>
      </c>
      <c r="BE20" s="154">
        <f t="shared" si="35"/>
        <v>40</v>
      </c>
      <c r="BF20" s="159">
        <f t="shared" si="31"/>
        <v>0</v>
      </c>
      <c r="BG20" s="160"/>
      <c r="BH20" s="160">
        <f t="shared" si="36"/>
        <v>0</v>
      </c>
      <c r="BI20" s="161">
        <f t="shared" si="16"/>
        <v>40</v>
      </c>
      <c r="BJ20" s="161">
        <f t="shared" si="17"/>
        <v>0</v>
      </c>
      <c r="BK20" s="161">
        <f t="shared" si="18"/>
        <v>0</v>
      </c>
      <c r="BL20" s="161">
        <f>SUM(E14:E20)</f>
        <v>0</v>
      </c>
      <c r="BM20" s="160">
        <f t="shared" si="32"/>
        <v>0</v>
      </c>
      <c r="BN20" s="161">
        <f t="shared" si="37"/>
        <v>0</v>
      </c>
      <c r="BO20" s="161">
        <f t="shared" si="38"/>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0">SUM(F14:F20)</f>
        <v>0</v>
      </c>
      <c r="G21" s="76">
        <f t="shared" si="40"/>
        <v>0</v>
      </c>
      <c r="H21" s="34">
        <f t="shared" si="40"/>
        <v>0</v>
      </c>
      <c r="I21" s="34">
        <f t="shared" si="40"/>
        <v>0</v>
      </c>
      <c r="J21" s="74"/>
      <c r="K21" s="74">
        <f t="shared" si="40"/>
        <v>0</v>
      </c>
      <c r="L21" s="34">
        <f t="shared" si="40"/>
        <v>0</v>
      </c>
      <c r="M21" s="34">
        <f t="shared" si="40"/>
        <v>0</v>
      </c>
      <c r="N21" s="34">
        <f t="shared" si="40"/>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44416</v>
      </c>
      <c r="B22" s="238"/>
      <c r="C22" s="239"/>
      <c r="D22" s="32" t="s">
        <v>23</v>
      </c>
      <c r="E22" s="51"/>
      <c r="F22" s="51"/>
      <c r="G22" s="112"/>
      <c r="H22" s="51"/>
      <c r="I22" s="51"/>
      <c r="J22" s="113"/>
      <c r="K22" s="113"/>
      <c r="L22" s="114"/>
      <c r="M22" s="51"/>
      <c r="N22" s="52"/>
      <c r="O22" s="110">
        <f>SUM(E22:N22)-J22</f>
        <v>0</v>
      </c>
      <c r="P22" s="50" t="str">
        <f>IF(AND(ISNUMBER(AA22),ISNUMBER(X22)),AA22*X22,"")</f>
        <v/>
      </c>
      <c r="Q22" s="52"/>
      <c r="R22" s="50" t="str">
        <f>IF(AND(ISNUMBER(AB22),ISNUMBER(X22)),AB22*X22,"")</f>
        <v/>
      </c>
      <c r="S22" s="52"/>
      <c r="T22" s="52"/>
      <c r="U22" s="149">
        <f t="shared" si="34"/>
        <v>0</v>
      </c>
      <c r="V22" s="150">
        <f>IF(BK22&gt;0,BK22,0)</f>
        <v>0</v>
      </c>
      <c r="W22" s="50"/>
      <c r="X22" s="49">
        <f>IF(ISNA(INDEX('Conversion Factors'!$B$6:$B$371,MATCH('Aug 1 - Aug 15'!$Z$22:$Z$28,'Conversion Factors'!$A$6:$A$371,0))),"",INDEX('Conversion Factors'!$B$6:$B$371,MATCH('Aug 1 - Aug 15'!$Z$22:$Z$28,'Conversion Factors'!$A$6:$A$371,0)))</f>
        <v>8.6669999999999998</v>
      </c>
      <c r="Z22" s="17">
        <f t="shared" ref="Z22:Z28" si="41">A22</f>
        <v>44416</v>
      </c>
      <c r="AA22" s="57" t="str">
        <f t="shared" ref="AA22:AA28" si="42">IF(AND(ISNUMBER(N22),ISNUMBER($Z$12)),N22/$Z$12,"")</f>
        <v/>
      </c>
      <c r="AB22" s="57" t="str">
        <f t="shared" ref="AB22:AB28" si="43">IF(AND(ISNUMBER(Q22),ISNUMBER($Z$12)),Q22/$Z$12,"")</f>
        <v/>
      </c>
      <c r="AC22" s="58"/>
      <c r="AD22" s="59"/>
      <c r="AE22" s="58"/>
      <c r="AF22" s="58"/>
      <c r="AG22" s="64"/>
      <c r="AH22" s="71">
        <f t="shared" ref="AH22:AH28" si="44">E22+AH21</f>
        <v>0</v>
      </c>
      <c r="AI22" s="68">
        <f>IF(AH22&gt;$AI$12,AH22-($AI$12+AI21),0)</f>
        <v>0</v>
      </c>
      <c r="AJ22" s="145" t="b">
        <f t="shared" ref="AJ22:AJ28" si="45">IF(AND(AZ22&gt;0,AZ22),IF(BA22&gt;0,BA22,IF(BB22&gt;0,BB22,IF(BC22&gt;0,BC22,IF(BF22&gt;0,BF22,"")))))</f>
        <v>0</v>
      </c>
      <c r="AK22" s="151" t="b">
        <f>IF(AND(AO22&gt;0,AO22),IF(AP22&gt;0,AP22,IF(AQ22&gt;0,AQ22,IF(AR22&gt;0,AR22,IF(AU22&gt;0,AU22,"")))))</f>
        <v>0</v>
      </c>
      <c r="AM22" s="147">
        <f t="shared" ref="AM22:AM28" si="46">J22</f>
        <v>0</v>
      </c>
      <c r="AO22" s="152">
        <f t="shared" ref="AO22:AO28" si="47">IF(G22=0,0,"")</f>
        <v>0</v>
      </c>
      <c r="AP22" s="152">
        <f t="shared" ref="AP22:AP28" si="48">IF(AND(AH22&lt;=40,E22=G22),G22,0)</f>
        <v>0</v>
      </c>
      <c r="AQ22" s="153">
        <f t="shared" ref="AQ22:AQ28" si="49">IF(AND(AH22&lt;=40,E22&gt;=G22,G22&gt;0),O22-E22,0)</f>
        <v>0</v>
      </c>
      <c r="AR22" s="152">
        <f t="shared" ref="AR22:AR28" si="50">IF(AND(AH22&lt;=40,E22&lt;G22),O22-G22,0)</f>
        <v>0</v>
      </c>
      <c r="AS22" s="154">
        <f t="shared" ref="AS22:AS28" si="51">IF(AND(G22=0),G22,IF(AND(G22&gt;0,AI22&gt;0,G22=AT22),AT22,IF(AND(G22&gt;0,AI22&gt;0,G22-AT22),AT22,0)))</f>
        <v>0</v>
      </c>
      <c r="AT22" s="154"/>
      <c r="AU22" s="155">
        <f>AS22</f>
        <v>0</v>
      </c>
      <c r="AV22" s="156">
        <f t="shared" ref="AV22:AV28" si="52">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3">IF(J22=0,0,"")</f>
        <v>0</v>
      </c>
      <c r="BA22" s="152">
        <f t="shared" ref="BA22:BA28" si="54">IF(AND(AH22&lt;=40,E22=J22),J22,0)</f>
        <v>0</v>
      </c>
      <c r="BB22" s="158">
        <f t="shared" ref="BB22:BB28" si="55">IF(AND(AZ22=0),AZ22,IF(AND(AH22&gt;40,E22&gt;=J22),BE22,IF(AND(AH22&lt;=40,E22&gt;J22),J22,0)))</f>
        <v>0</v>
      </c>
      <c r="BC22" s="152">
        <f t="shared" ref="BC22:BC28" si="56">IF(AND(AH22&lt;=40,E22&lt;J22),O22-J22,0)</f>
        <v>0</v>
      </c>
      <c r="BD22" s="154">
        <f t="shared" ref="BD22:BD28" si="57">IF(AND(J22=0),J22,IF(AND(J22&gt;0,AI22&gt;0,J22=BC22),BC22,IF(AND(J22&gt;0,AI22&gt;0,J22-BC22),BC22,0)))</f>
        <v>0</v>
      </c>
      <c r="BE22" s="154"/>
      <c r="BF22" s="159">
        <f>BD22</f>
        <v>0</v>
      </c>
      <c r="BG22" s="160"/>
      <c r="BH22" s="160">
        <f>IF(AND(G22&gt;0,E22&gt;0),1,0)</f>
        <v>0</v>
      </c>
      <c r="BI22" s="161">
        <f t="shared" ref="BI22:BI28" si="58">40-AH22</f>
        <v>40</v>
      </c>
      <c r="BJ22" s="161">
        <f t="shared" ref="BJ22:BJ28" si="59">IF(AND(BH22=1,40-BL21&gt;0,40-BL21&lt;8),40-BL21,IF(AND(E22&lt;G22),E22,G22))</f>
        <v>0</v>
      </c>
      <c r="BK22" s="161">
        <f t="shared" ref="BK22:BK28" si="60">IF(AND(BH22=1,BL22&gt;40,E22&lt;G22),E22-BJ22,(IF(AND(BH22=1,BL22&gt;0,E22&gt;=G22),G22-BJ22,0)))</f>
        <v>0</v>
      </c>
      <c r="BL22" s="161">
        <f>E22</f>
        <v>0</v>
      </c>
      <c r="BM22" s="160">
        <f>IF(AND(K22&gt;0,E22&gt;0),1,0)</f>
        <v>0</v>
      </c>
      <c r="BN22" s="161">
        <f>IF(AND(BM22=1,J22&gt;8),K22,(IF(AND(BM22=1,J22&gt;0),J22,0)))</f>
        <v>0</v>
      </c>
      <c r="BO22" s="161">
        <f t="shared" ref="BO22:BO23" si="61">IF(AND(BM22=1,40-BL21&gt;0,40-BL21&lt;8),40-BL21,IF(AND(J22&lt;K22),J22,K22))</f>
        <v>0</v>
      </c>
      <c r="BP22" s="161">
        <f t="shared" ref="BP22:BP26" si="62">IF(AND(BM22=1,BL22&gt;40,J22&lt;=K22),J22-BO22,IF(AND(BM22=1,BL22&gt;0,J22&gt;K22),K22-BO22,0))</f>
        <v>0</v>
      </c>
      <c r="BQ22" s="160"/>
    </row>
    <row r="23" spans="1:69" ht="15" customHeight="1">
      <c r="A23" s="225">
        <f t="shared" ref="A23:A28" si="63">IF(A22&lt;$O$7,A22+1,IF(A22=$O$7,""))</f>
        <v>44417</v>
      </c>
      <c r="B23" s="226"/>
      <c r="C23" s="227"/>
      <c r="D23" s="32" t="s">
        <v>24</v>
      </c>
      <c r="E23" s="51"/>
      <c r="F23" s="51"/>
      <c r="G23" s="112"/>
      <c r="H23" s="51"/>
      <c r="I23" s="51"/>
      <c r="J23" s="113"/>
      <c r="K23" s="113"/>
      <c r="L23" s="114"/>
      <c r="M23" s="51"/>
      <c r="N23" s="51"/>
      <c r="O23" s="110">
        <f>SUM(E23:N23)-J23</f>
        <v>0</v>
      </c>
      <c r="P23" s="50" t="str">
        <f t="shared" ref="P23:P28" si="64">IF(AND(ISNUMBER(AA23),ISNUMBER(X23)),AA23*X23,"")</f>
        <v/>
      </c>
      <c r="Q23" s="51"/>
      <c r="R23" s="50" t="str">
        <f t="shared" ref="R23:R28" si="65">IF(AND(ISNUMBER(AB23),ISNUMBER(X23)),AB23*X23,"")</f>
        <v/>
      </c>
      <c r="S23" s="52"/>
      <c r="T23" s="52"/>
      <c r="U23" s="149">
        <f t="shared" si="34"/>
        <v>0</v>
      </c>
      <c r="V23" s="150">
        <f t="shared" ref="V23:V28" si="66">IF(BK23&gt;0,BK23,0)</f>
        <v>0</v>
      </c>
      <c r="W23" s="50"/>
      <c r="X23" s="49">
        <f>IF(ISNA(INDEX('Conversion Factors'!$B$6:$B$371,MATCH('Aug 1 - Aug 15'!$Z$22:$Z$28,'Conversion Factors'!$A$6:$A$371,0))),"",INDEX('Conversion Factors'!$B$6:$B$371,MATCH('Aug 1 - Aug 15'!$Z$22:$Z$28,'Conversion Factors'!$A$6:$A$371,0)))</f>
        <v>8.6669999999999998</v>
      </c>
      <c r="Z23" s="17">
        <f t="shared" si="41"/>
        <v>44417</v>
      </c>
      <c r="AA23" s="57" t="str">
        <f t="shared" si="42"/>
        <v/>
      </c>
      <c r="AB23" s="57" t="str">
        <f t="shared" si="43"/>
        <v/>
      </c>
      <c r="AH23" s="71">
        <f t="shared" si="44"/>
        <v>0</v>
      </c>
      <c r="AI23" s="68">
        <f>IF(AH23&gt;$AI$12,AH23-($AI$12+AI22+AI21),0)</f>
        <v>0</v>
      </c>
      <c r="AJ23" s="145" t="b">
        <f t="shared" si="45"/>
        <v>0</v>
      </c>
      <c r="AK23" s="151" t="b">
        <f t="shared" ref="AK23:AK28" si="67">IF(AND(AO23&gt;0,AO23),IF(AP23&gt;0,AP23,IF(AQ23&gt;0,AQ23,IF(AR23&gt;0,AR23,IF(AU23&gt;0,AU23,0)))))</f>
        <v>0</v>
      </c>
      <c r="AM23" s="147">
        <f t="shared" si="46"/>
        <v>0</v>
      </c>
      <c r="AO23" s="162">
        <f t="shared" si="47"/>
        <v>0</v>
      </c>
      <c r="AP23" s="162">
        <f t="shared" si="48"/>
        <v>0</v>
      </c>
      <c r="AQ23" s="153">
        <f t="shared" si="49"/>
        <v>0</v>
      </c>
      <c r="AR23" s="162">
        <f t="shared" si="50"/>
        <v>0</v>
      </c>
      <c r="AS23" s="154">
        <f t="shared" si="51"/>
        <v>0</v>
      </c>
      <c r="AT23" s="154">
        <f t="shared" ref="AT23:AT25" si="68">IF(AND(AH22&lt;=40),40-AH22,0)</f>
        <v>40</v>
      </c>
      <c r="AU23" s="155">
        <f t="shared" ref="AU23:AU28" si="69">AS23</f>
        <v>0</v>
      </c>
      <c r="AV23" s="156">
        <f t="shared" si="52"/>
        <v>0</v>
      </c>
      <c r="AW23" s="157">
        <f t="shared" ref="AW23:AW28" si="70">AV23</f>
        <v>0</v>
      </c>
      <c r="AY23" s="169">
        <f>IF(AND(J23&gt;0,AI23&gt;0,BB23&lt;=AI23),AI23-BB23,IF(AND(J23&gt;0,AI23&gt;0,BB23&gt;AI23),J23-BB23,0))</f>
        <v>0</v>
      </c>
      <c r="AZ23" s="152">
        <f t="shared" si="53"/>
        <v>0</v>
      </c>
      <c r="BA23" s="152">
        <f t="shared" si="54"/>
        <v>0</v>
      </c>
      <c r="BB23" s="158">
        <f t="shared" si="55"/>
        <v>0</v>
      </c>
      <c r="BC23" s="152">
        <f t="shared" si="56"/>
        <v>0</v>
      </c>
      <c r="BD23" s="154">
        <f t="shared" si="57"/>
        <v>0</v>
      </c>
      <c r="BE23" s="154">
        <f>IF(AND(AH22&lt;=40),40-AH22,0)</f>
        <v>40</v>
      </c>
      <c r="BF23" s="159">
        <f t="shared" ref="BF23:BF28" si="71">BD23</f>
        <v>0</v>
      </c>
      <c r="BG23" s="160"/>
      <c r="BH23" s="160">
        <f>IF(AND(G23&gt;0,E23&gt;0),1,0)</f>
        <v>0</v>
      </c>
      <c r="BI23" s="161">
        <f t="shared" si="58"/>
        <v>40</v>
      </c>
      <c r="BJ23" s="161">
        <f t="shared" si="59"/>
        <v>0</v>
      </c>
      <c r="BK23" s="161">
        <f t="shared" si="60"/>
        <v>0</v>
      </c>
      <c r="BL23" s="161">
        <f>SUM(E22:E23)</f>
        <v>0</v>
      </c>
      <c r="BM23" s="160">
        <f t="shared" ref="BM23:BM28" si="72">IF(AND(K23&gt;0,E23&gt;0),1,0)</f>
        <v>0</v>
      </c>
      <c r="BN23" s="161">
        <f>IF(AND(BM23=1,J23&gt;8),K23,(IF(AND(BM23=1,J23&gt;0),J23,0)))</f>
        <v>0</v>
      </c>
      <c r="BO23" s="161">
        <f t="shared" si="61"/>
        <v>0</v>
      </c>
      <c r="BP23" s="161">
        <f t="shared" si="62"/>
        <v>0</v>
      </c>
      <c r="BQ23" s="160"/>
    </row>
    <row r="24" spans="1:69" ht="15" customHeight="1">
      <c r="A24" s="225">
        <f t="shared" si="63"/>
        <v>44418</v>
      </c>
      <c r="B24" s="226"/>
      <c r="C24" s="227"/>
      <c r="D24" s="32" t="s">
        <v>25</v>
      </c>
      <c r="E24" s="51"/>
      <c r="F24" s="51"/>
      <c r="G24" s="112"/>
      <c r="H24" s="51"/>
      <c r="I24" s="51"/>
      <c r="J24" s="113"/>
      <c r="K24" s="113"/>
      <c r="L24" s="114"/>
      <c r="M24" s="51"/>
      <c r="N24" s="51"/>
      <c r="O24" s="110">
        <f t="shared" ref="O24:O27" si="73">SUM(E24:N24)-J24</f>
        <v>0</v>
      </c>
      <c r="P24" s="50" t="str">
        <f t="shared" si="64"/>
        <v/>
      </c>
      <c r="Q24" s="51"/>
      <c r="R24" s="50" t="str">
        <f t="shared" si="65"/>
        <v/>
      </c>
      <c r="S24" s="52"/>
      <c r="T24" s="52"/>
      <c r="U24" s="149">
        <f t="shared" si="34"/>
        <v>0</v>
      </c>
      <c r="V24" s="150">
        <f t="shared" si="66"/>
        <v>0</v>
      </c>
      <c r="W24" s="50"/>
      <c r="X24" s="49">
        <f>IF(ISNA(INDEX('Conversion Factors'!$B$6:$B$371,MATCH('Aug 1 - Aug 15'!$Z$22:$Z$28,'Conversion Factors'!$A$6:$A$371,0))),"",INDEX('Conversion Factors'!$B$6:$B$371,MATCH('Aug 1 - Aug 15'!$Z$22:$Z$28,'Conversion Factors'!$A$6:$A$371,0)))</f>
        <v>8.6669999999999998</v>
      </c>
      <c r="Z24" s="17">
        <f t="shared" si="41"/>
        <v>44418</v>
      </c>
      <c r="AA24" s="57" t="str">
        <f t="shared" si="42"/>
        <v/>
      </c>
      <c r="AB24" s="57" t="str">
        <f t="shared" si="43"/>
        <v/>
      </c>
      <c r="AG24" s="1"/>
      <c r="AH24" s="71">
        <f t="shared" si="44"/>
        <v>0</v>
      </c>
      <c r="AI24" s="68">
        <f>IF(AH24&gt;$AI$12,AH24-($AI$12+AI23+AI22+AI21),0)</f>
        <v>0</v>
      </c>
      <c r="AJ24" s="145" t="b">
        <f t="shared" si="45"/>
        <v>0</v>
      </c>
      <c r="AK24" s="151" t="b">
        <f t="shared" si="67"/>
        <v>0</v>
      </c>
      <c r="AM24" s="147">
        <f t="shared" si="46"/>
        <v>0</v>
      </c>
      <c r="AO24" s="162">
        <f t="shared" si="47"/>
        <v>0</v>
      </c>
      <c r="AP24" s="162">
        <f t="shared" si="48"/>
        <v>0</v>
      </c>
      <c r="AQ24" s="153">
        <f t="shared" si="49"/>
        <v>0</v>
      </c>
      <c r="AR24" s="162">
        <f t="shared" si="50"/>
        <v>0</v>
      </c>
      <c r="AS24" s="154">
        <f t="shared" si="51"/>
        <v>0</v>
      </c>
      <c r="AT24" s="154">
        <f t="shared" si="68"/>
        <v>40</v>
      </c>
      <c r="AU24" s="155">
        <f t="shared" si="69"/>
        <v>0</v>
      </c>
      <c r="AV24" s="156">
        <f t="shared" si="52"/>
        <v>0</v>
      </c>
      <c r="AW24" s="157">
        <f t="shared" si="70"/>
        <v>0</v>
      </c>
      <c r="AY24" s="169">
        <f>IF(AND(J24&gt;0,AI24&gt;0,BB24&lt;=AI24),AI24-BB24,IF(AND(J24&gt;0,AI24&gt;0,BB24&gt;AI24),J24-BB24,0))</f>
        <v>0</v>
      </c>
      <c r="AZ24" s="152">
        <f t="shared" si="53"/>
        <v>0</v>
      </c>
      <c r="BA24" s="152">
        <f t="shared" si="54"/>
        <v>0</v>
      </c>
      <c r="BB24" s="158">
        <f t="shared" si="55"/>
        <v>0</v>
      </c>
      <c r="BC24" s="152">
        <f t="shared" si="56"/>
        <v>0</v>
      </c>
      <c r="BD24" s="154">
        <f t="shared" si="57"/>
        <v>0</v>
      </c>
      <c r="BE24" s="154">
        <f t="shared" ref="BE24:BE28" si="74">IF(AND(AH23&lt;=40),40-AH23,0)</f>
        <v>40</v>
      </c>
      <c r="BF24" s="159">
        <f t="shared" si="71"/>
        <v>0</v>
      </c>
      <c r="BG24" s="160"/>
      <c r="BH24" s="160">
        <f t="shared" ref="BH24:BH28" si="75">IF(AND(G24&gt;0,E24&gt;0),1,0)</f>
        <v>0</v>
      </c>
      <c r="BI24" s="161">
        <f t="shared" si="58"/>
        <v>40</v>
      </c>
      <c r="BJ24" s="161">
        <f t="shared" si="59"/>
        <v>0</v>
      </c>
      <c r="BK24" s="161">
        <f t="shared" si="60"/>
        <v>0</v>
      </c>
      <c r="BL24" s="161">
        <f>SUM(E22:E24)</f>
        <v>0</v>
      </c>
      <c r="BM24" s="160">
        <f t="shared" si="72"/>
        <v>0</v>
      </c>
      <c r="BN24" s="161">
        <f>IF(AND(BM24=1,J24&gt;8),K24,(IF(AND(BM24=1,J24&gt;0),J24,0)))</f>
        <v>0</v>
      </c>
      <c r="BO24" s="161">
        <f>IF(AND(BM24=1,40-BL23&gt;0,40-BL23&lt;8),40-BL23,IF(AND(J24&lt;K24),J24,K24))</f>
        <v>0</v>
      </c>
      <c r="BP24" s="161">
        <f t="shared" si="62"/>
        <v>0</v>
      </c>
      <c r="BQ24" s="160"/>
    </row>
    <row r="25" spans="1:69" ht="15" customHeight="1">
      <c r="A25" s="225">
        <f t="shared" si="63"/>
        <v>44419</v>
      </c>
      <c r="B25" s="226"/>
      <c r="C25" s="227"/>
      <c r="D25" s="32" t="s">
        <v>26</v>
      </c>
      <c r="E25" s="51"/>
      <c r="F25" s="51"/>
      <c r="G25" s="112"/>
      <c r="H25" s="51"/>
      <c r="I25" s="51"/>
      <c r="J25" s="113"/>
      <c r="K25" s="113"/>
      <c r="L25" s="114"/>
      <c r="M25" s="51"/>
      <c r="N25" s="51"/>
      <c r="O25" s="110">
        <f t="shared" si="73"/>
        <v>0</v>
      </c>
      <c r="P25" s="50" t="str">
        <f t="shared" si="64"/>
        <v/>
      </c>
      <c r="Q25" s="51"/>
      <c r="R25" s="50" t="str">
        <f t="shared" si="65"/>
        <v/>
      </c>
      <c r="S25" s="52"/>
      <c r="T25" s="52"/>
      <c r="U25" s="149">
        <f t="shared" si="34"/>
        <v>0</v>
      </c>
      <c r="V25" s="150">
        <f t="shared" si="66"/>
        <v>0</v>
      </c>
      <c r="W25" s="50"/>
      <c r="X25" s="49">
        <f>IF(ISNA(INDEX('Conversion Factors'!$B$6:$B$371,MATCH('Aug 1 - Aug 15'!$Z$22:$Z$28,'Conversion Factors'!$A$6:$A$371,0))),"",INDEX('Conversion Factors'!$B$6:$B$371,MATCH('Aug 1 - Aug 15'!$Z$22:$Z$28,'Conversion Factors'!$A$6:$A$371,0)))</f>
        <v>8.6669999999999998</v>
      </c>
      <c r="Z25" s="17">
        <f t="shared" si="41"/>
        <v>44419</v>
      </c>
      <c r="AA25" s="57" t="str">
        <f t="shared" si="42"/>
        <v/>
      </c>
      <c r="AB25" s="57" t="str">
        <f t="shared" si="43"/>
        <v/>
      </c>
      <c r="AG25" s="1"/>
      <c r="AH25" s="71">
        <f t="shared" si="44"/>
        <v>0</v>
      </c>
      <c r="AI25" s="68">
        <f>IF(AH25&gt;$AI$12,AH25-($AI$12+AI24+AI23+AI22+AI21),0)</f>
        <v>0</v>
      </c>
      <c r="AJ25" s="145" t="b">
        <f t="shared" si="45"/>
        <v>0</v>
      </c>
      <c r="AK25" s="151" t="b">
        <f t="shared" si="67"/>
        <v>0</v>
      </c>
      <c r="AM25" s="147">
        <f t="shared" si="46"/>
        <v>0</v>
      </c>
      <c r="AO25" s="162">
        <f t="shared" si="47"/>
        <v>0</v>
      </c>
      <c r="AP25" s="162">
        <f t="shared" si="48"/>
        <v>0</v>
      </c>
      <c r="AQ25" s="153">
        <f t="shared" si="49"/>
        <v>0</v>
      </c>
      <c r="AR25" s="162">
        <f t="shared" si="50"/>
        <v>0</v>
      </c>
      <c r="AS25" s="154">
        <f t="shared" si="51"/>
        <v>0</v>
      </c>
      <c r="AT25" s="154">
        <f t="shared" si="68"/>
        <v>40</v>
      </c>
      <c r="AU25" s="155">
        <f t="shared" si="69"/>
        <v>0</v>
      </c>
      <c r="AV25" s="156">
        <f t="shared" si="52"/>
        <v>0</v>
      </c>
      <c r="AW25" s="157">
        <f t="shared" si="70"/>
        <v>0</v>
      </c>
      <c r="AY25" s="169">
        <f>IF(AND(J25&gt;0,AI25&gt;0,BB25&lt;=AI25),AI25-BB25,IF(AND(J25&gt;0,AI25&gt;0,BB25&gt;AI25),J25-BB25,0))</f>
        <v>0</v>
      </c>
      <c r="AZ25" s="152">
        <f t="shared" si="53"/>
        <v>0</v>
      </c>
      <c r="BA25" s="152">
        <f t="shared" si="54"/>
        <v>0</v>
      </c>
      <c r="BB25" s="158">
        <f t="shared" si="55"/>
        <v>0</v>
      </c>
      <c r="BC25" s="152">
        <f t="shared" si="56"/>
        <v>0</v>
      </c>
      <c r="BD25" s="154">
        <f t="shared" si="57"/>
        <v>0</v>
      </c>
      <c r="BE25" s="154">
        <f t="shared" si="74"/>
        <v>40</v>
      </c>
      <c r="BF25" s="159">
        <f t="shared" si="71"/>
        <v>0</v>
      </c>
      <c r="BG25" s="160"/>
      <c r="BH25" s="160">
        <f t="shared" si="75"/>
        <v>0</v>
      </c>
      <c r="BI25" s="161">
        <f t="shared" si="58"/>
        <v>40</v>
      </c>
      <c r="BJ25" s="161">
        <f t="shared" si="59"/>
        <v>0</v>
      </c>
      <c r="BK25" s="161">
        <f t="shared" si="60"/>
        <v>0</v>
      </c>
      <c r="BL25" s="161">
        <f>SUM(E22:E25)</f>
        <v>0</v>
      </c>
      <c r="BM25" s="160">
        <f t="shared" si="72"/>
        <v>0</v>
      </c>
      <c r="BN25" s="161">
        <f t="shared" ref="BN25:BN28" si="76">IF(AND(BM25=1,J25&gt;8),K25,(IF(AND(BM25=1,J25&gt;0),J25,0)))</f>
        <v>0</v>
      </c>
      <c r="BO25" s="161">
        <f t="shared" ref="BO25:BO28" si="77">IF(AND(BM25=1,40-BL24&gt;0,40-BL24&lt;8),40-BL24,IF(AND(J25&lt;K25),J25,K25))</f>
        <v>0</v>
      </c>
      <c r="BP25" s="161">
        <f t="shared" si="62"/>
        <v>0</v>
      </c>
      <c r="BQ25" s="160"/>
    </row>
    <row r="26" spans="1:69" ht="15" customHeight="1">
      <c r="A26" s="225">
        <f t="shared" si="63"/>
        <v>44420</v>
      </c>
      <c r="B26" s="226"/>
      <c r="C26" s="227"/>
      <c r="D26" s="32" t="s">
        <v>27</v>
      </c>
      <c r="E26" s="51"/>
      <c r="F26" s="51"/>
      <c r="G26" s="112"/>
      <c r="H26" s="51"/>
      <c r="I26" s="51"/>
      <c r="J26" s="113"/>
      <c r="K26" s="113"/>
      <c r="L26" s="114"/>
      <c r="M26" s="51"/>
      <c r="N26" s="51"/>
      <c r="O26" s="110">
        <f t="shared" si="73"/>
        <v>0</v>
      </c>
      <c r="P26" s="50" t="str">
        <f t="shared" si="64"/>
        <v/>
      </c>
      <c r="Q26" s="51"/>
      <c r="R26" s="50" t="str">
        <f t="shared" si="65"/>
        <v/>
      </c>
      <c r="S26" s="52"/>
      <c r="T26" s="52"/>
      <c r="U26" s="149">
        <f t="shared" si="34"/>
        <v>0</v>
      </c>
      <c r="V26" s="150">
        <f t="shared" si="66"/>
        <v>0</v>
      </c>
      <c r="W26" s="50"/>
      <c r="X26" s="49">
        <f>IF(ISNA(INDEX('Conversion Factors'!$B$6:$B$371,MATCH('Aug 1 - Aug 15'!$Z$22:$Z$28,'Conversion Factors'!$A$6:$A$371,0))),"",INDEX('Conversion Factors'!$B$6:$B$371,MATCH('Aug 1 - Aug 15'!$Z$22:$Z$28,'Conversion Factors'!$A$6:$A$371,0)))</f>
        <v>8.6669999999999998</v>
      </c>
      <c r="Z26" s="17">
        <f t="shared" si="41"/>
        <v>44420</v>
      </c>
      <c r="AA26" s="57" t="str">
        <f t="shared" si="42"/>
        <v/>
      </c>
      <c r="AB26" s="57" t="str">
        <f t="shared" si="43"/>
        <v/>
      </c>
      <c r="AH26" s="71">
        <f t="shared" si="44"/>
        <v>0</v>
      </c>
      <c r="AI26" s="68">
        <f>IF(AH26&gt;$AI$12,AH26-($AI$12+AI25+AI24+AI23+AI22+AI21),0)</f>
        <v>0</v>
      </c>
      <c r="AJ26" s="145" t="b">
        <f t="shared" si="45"/>
        <v>0</v>
      </c>
      <c r="AK26" s="151" t="b">
        <f t="shared" si="67"/>
        <v>0</v>
      </c>
      <c r="AM26" s="147">
        <f t="shared" si="46"/>
        <v>0</v>
      </c>
      <c r="AO26" s="162">
        <f t="shared" si="47"/>
        <v>0</v>
      </c>
      <c r="AP26" s="162">
        <f t="shared" si="48"/>
        <v>0</v>
      </c>
      <c r="AQ26" s="153">
        <f t="shared" si="49"/>
        <v>0</v>
      </c>
      <c r="AR26" s="162">
        <f t="shared" si="50"/>
        <v>0</v>
      </c>
      <c r="AS26" s="154">
        <f t="shared" si="51"/>
        <v>0</v>
      </c>
      <c r="AT26" s="154">
        <f>IF(AND(AH25&lt;=40),40-AH25,0)</f>
        <v>40</v>
      </c>
      <c r="AU26" s="155">
        <f t="shared" si="69"/>
        <v>0</v>
      </c>
      <c r="AV26" s="156">
        <f t="shared" si="52"/>
        <v>0</v>
      </c>
      <c r="AW26" s="157">
        <f t="shared" si="70"/>
        <v>0</v>
      </c>
      <c r="AY26" s="157">
        <f>IF(AND(J26&gt;0,AI26&gt;=J26,BB26=0),O26-AI26,IF(AND(J26&gt;0,AI26&gt;0,BB26&lt;=AI26),AI26-BB26,IF(AND(J26&gt;0,AI26&gt;0,BB26&gt;AI26),J26-BB26,0)))</f>
        <v>0</v>
      </c>
      <c r="AZ26" s="152">
        <f t="shared" si="53"/>
        <v>0</v>
      </c>
      <c r="BA26" s="152">
        <f t="shared" si="54"/>
        <v>0</v>
      </c>
      <c r="BB26" s="158">
        <f t="shared" si="55"/>
        <v>0</v>
      </c>
      <c r="BC26" s="152">
        <f t="shared" si="56"/>
        <v>0</v>
      </c>
      <c r="BD26" s="154">
        <f t="shared" si="57"/>
        <v>0</v>
      </c>
      <c r="BE26" s="154">
        <f t="shared" si="74"/>
        <v>40</v>
      </c>
      <c r="BF26" s="159">
        <f t="shared" si="71"/>
        <v>0</v>
      </c>
      <c r="BG26" s="160"/>
      <c r="BH26" s="160">
        <f t="shared" si="75"/>
        <v>0</v>
      </c>
      <c r="BI26" s="161">
        <f t="shared" si="58"/>
        <v>40</v>
      </c>
      <c r="BJ26" s="161">
        <f t="shared" si="59"/>
        <v>0</v>
      </c>
      <c r="BK26" s="161">
        <f t="shared" si="60"/>
        <v>0</v>
      </c>
      <c r="BL26" s="161">
        <f>SUM(E22:E26)</f>
        <v>0</v>
      </c>
      <c r="BM26" s="160">
        <f t="shared" si="72"/>
        <v>0</v>
      </c>
      <c r="BN26" s="161">
        <f t="shared" si="76"/>
        <v>0</v>
      </c>
      <c r="BO26" s="161">
        <f t="shared" si="77"/>
        <v>0</v>
      </c>
      <c r="BP26" s="161">
        <f t="shared" si="62"/>
        <v>0</v>
      </c>
      <c r="BQ26" s="160"/>
    </row>
    <row r="27" spans="1:69" ht="15" customHeight="1">
      <c r="A27" s="225">
        <f t="shared" si="63"/>
        <v>44421</v>
      </c>
      <c r="B27" s="226"/>
      <c r="C27" s="227"/>
      <c r="D27" s="32" t="s">
        <v>28</v>
      </c>
      <c r="E27" s="51"/>
      <c r="F27" s="51"/>
      <c r="G27" s="112"/>
      <c r="H27" s="51"/>
      <c r="I27" s="51"/>
      <c r="J27" s="113"/>
      <c r="K27" s="113"/>
      <c r="L27" s="114"/>
      <c r="M27" s="51"/>
      <c r="N27" s="51"/>
      <c r="O27" s="110">
        <f t="shared" si="73"/>
        <v>0</v>
      </c>
      <c r="P27" s="50" t="str">
        <f t="shared" si="64"/>
        <v/>
      </c>
      <c r="Q27" s="51"/>
      <c r="R27" s="50" t="str">
        <f t="shared" si="65"/>
        <v/>
      </c>
      <c r="S27" s="52"/>
      <c r="T27" s="52"/>
      <c r="U27" s="149">
        <f t="shared" si="34"/>
        <v>0</v>
      </c>
      <c r="V27" s="150">
        <f t="shared" si="66"/>
        <v>0</v>
      </c>
      <c r="W27" s="50"/>
      <c r="X27" s="49">
        <f>IF(ISNA(INDEX('Conversion Factors'!$B$6:$B$371,MATCH('Aug 1 - Aug 15'!$Z$22:$Z$28,'Conversion Factors'!$A$6:$A$371,0))),"",INDEX('Conversion Factors'!$B$6:$B$371,MATCH('Aug 1 - Aug 15'!$Z$22:$Z$28,'Conversion Factors'!$A$6:$A$371,0)))</f>
        <v>8.6669999999999998</v>
      </c>
      <c r="Z27" s="17">
        <f t="shared" si="41"/>
        <v>44421</v>
      </c>
      <c r="AA27" s="57" t="str">
        <f t="shared" si="42"/>
        <v/>
      </c>
      <c r="AB27" s="57" t="str">
        <f t="shared" si="43"/>
        <v/>
      </c>
      <c r="AH27" s="71">
        <f t="shared" si="44"/>
        <v>0</v>
      </c>
      <c r="AI27" s="68">
        <f>IF(AH27&gt;$AI$12,AH27-($AI$12+AI26+AI25+AI24+AI23+AI22+AI21),0)</f>
        <v>0</v>
      </c>
      <c r="AJ27" s="145" t="b">
        <f t="shared" si="45"/>
        <v>0</v>
      </c>
      <c r="AK27" s="151" t="b">
        <f t="shared" si="67"/>
        <v>0</v>
      </c>
      <c r="AM27" s="147">
        <f t="shared" si="46"/>
        <v>0</v>
      </c>
      <c r="AO27" s="162">
        <f t="shared" si="47"/>
        <v>0</v>
      </c>
      <c r="AP27" s="162">
        <f t="shared" si="48"/>
        <v>0</v>
      </c>
      <c r="AQ27" s="170">
        <f t="shared" si="49"/>
        <v>0</v>
      </c>
      <c r="AR27" s="162">
        <f t="shared" si="50"/>
        <v>0</v>
      </c>
      <c r="AS27" s="154">
        <f t="shared" si="51"/>
        <v>0</v>
      </c>
      <c r="AT27" s="154">
        <f t="shared" ref="AT27:AT28" si="78">IF(AND(AH26&lt;=40),40-AH26,0)</f>
        <v>40</v>
      </c>
      <c r="AU27" s="155">
        <f t="shared" si="69"/>
        <v>0</v>
      </c>
      <c r="AV27" s="156">
        <f t="shared" si="52"/>
        <v>0</v>
      </c>
      <c r="AW27" s="157">
        <f t="shared" si="70"/>
        <v>0</v>
      </c>
      <c r="AY27" s="157">
        <f>IF(AND(J27&gt;0,AI27&gt;=J27,BB27=0),O27-AI27,IF(AND(J27&gt;0,AI27&gt;0,BB27&lt;=AI27),AI27-BB27,IF(AND(J27&gt;0,AI27&gt;0,BB27&gt;AI27),J27-BB27,0)))</f>
        <v>0</v>
      </c>
      <c r="AZ27" s="152">
        <f t="shared" si="53"/>
        <v>0</v>
      </c>
      <c r="BA27" s="152">
        <f t="shared" si="54"/>
        <v>0</v>
      </c>
      <c r="BB27" s="158">
        <f t="shared" si="55"/>
        <v>0</v>
      </c>
      <c r="BC27" s="152">
        <f t="shared" si="56"/>
        <v>0</v>
      </c>
      <c r="BD27" s="154">
        <f t="shared" si="57"/>
        <v>0</v>
      </c>
      <c r="BE27" s="154">
        <f t="shared" si="74"/>
        <v>40</v>
      </c>
      <c r="BF27" s="159">
        <f t="shared" si="71"/>
        <v>0</v>
      </c>
      <c r="BG27" s="160"/>
      <c r="BH27" s="160">
        <f t="shared" si="75"/>
        <v>0</v>
      </c>
      <c r="BI27" s="161">
        <f t="shared" si="58"/>
        <v>40</v>
      </c>
      <c r="BJ27" s="161">
        <f t="shared" si="59"/>
        <v>0</v>
      </c>
      <c r="BK27" s="161">
        <f t="shared" si="60"/>
        <v>0</v>
      </c>
      <c r="BL27" s="161">
        <f>SUM(E22:E27)</f>
        <v>0</v>
      </c>
      <c r="BM27" s="160">
        <f t="shared" si="72"/>
        <v>0</v>
      </c>
      <c r="BN27" s="161">
        <f t="shared" si="76"/>
        <v>0</v>
      </c>
      <c r="BO27" s="161">
        <f t="shared" si="77"/>
        <v>0</v>
      </c>
      <c r="BP27" s="161">
        <f>IF(AND(BM27=1,BL27&gt;40,J27&lt;=K27),J27-BO27,IF(AND(BM27=1,BL27&gt;0,J27&gt;K27),K27-BO27,0))</f>
        <v>0</v>
      </c>
      <c r="BQ27" s="160"/>
    </row>
    <row r="28" spans="1:69" ht="15" customHeight="1" thickBot="1">
      <c r="A28" s="225">
        <f t="shared" si="63"/>
        <v>44422</v>
      </c>
      <c r="B28" s="226"/>
      <c r="C28" s="227"/>
      <c r="D28" s="32" t="s">
        <v>29</v>
      </c>
      <c r="E28" s="51"/>
      <c r="F28" s="51"/>
      <c r="G28" s="112"/>
      <c r="H28" s="51"/>
      <c r="I28" s="51"/>
      <c r="J28" s="113"/>
      <c r="K28" s="113"/>
      <c r="L28" s="114"/>
      <c r="M28" s="51"/>
      <c r="N28" s="52"/>
      <c r="O28" s="110">
        <f>SUM(E28:N28)-J28</f>
        <v>0</v>
      </c>
      <c r="P28" s="50" t="str">
        <f t="shared" si="64"/>
        <v/>
      </c>
      <c r="Q28" s="52"/>
      <c r="R28" s="50" t="str">
        <f t="shared" si="65"/>
        <v/>
      </c>
      <c r="S28" s="52"/>
      <c r="T28" s="52"/>
      <c r="U28" s="149">
        <f t="shared" si="34"/>
        <v>0</v>
      </c>
      <c r="V28" s="150">
        <f t="shared" si="66"/>
        <v>0</v>
      </c>
      <c r="W28" s="50"/>
      <c r="X28" s="49">
        <f>IF(ISNA(INDEX('Conversion Factors'!$B$6:$B$371,MATCH('Aug 1 - Aug 15'!$Z$22:$Z$28,'Conversion Factors'!$A$6:$A$371,0))),"",INDEX('Conversion Factors'!$B$6:$B$371,MATCH('Aug 1 - Aug 15'!$Z$22:$Z$28,'Conversion Factors'!$A$6:$A$371,0)))</f>
        <v>8.6669999999999998</v>
      </c>
      <c r="Z28" s="17">
        <f t="shared" si="41"/>
        <v>44422</v>
      </c>
      <c r="AA28" s="57" t="str">
        <f t="shared" si="42"/>
        <v/>
      </c>
      <c r="AB28" s="57" t="str">
        <f t="shared" si="43"/>
        <v/>
      </c>
      <c r="AH28" s="71">
        <f t="shared" si="44"/>
        <v>0</v>
      </c>
      <c r="AI28" s="68">
        <f>IF(AH28&gt;$AI$12,AH28-($AI$12+AI27+AI26+AI25+AI24+AI23+AI22+AI21),0)</f>
        <v>0</v>
      </c>
      <c r="AJ28" s="145" t="b">
        <f t="shared" si="45"/>
        <v>0</v>
      </c>
      <c r="AK28" s="151" t="b">
        <f t="shared" si="67"/>
        <v>0</v>
      </c>
      <c r="AM28" s="147">
        <f t="shared" si="46"/>
        <v>0</v>
      </c>
      <c r="AO28" s="163">
        <f t="shared" si="47"/>
        <v>0</v>
      </c>
      <c r="AP28" s="163">
        <f t="shared" si="48"/>
        <v>0</v>
      </c>
      <c r="AQ28" s="153">
        <f t="shared" si="49"/>
        <v>0</v>
      </c>
      <c r="AR28" s="163">
        <f t="shared" si="50"/>
        <v>0</v>
      </c>
      <c r="AS28" s="154">
        <f t="shared" si="51"/>
        <v>0</v>
      </c>
      <c r="AT28" s="154">
        <f t="shared" si="78"/>
        <v>40</v>
      </c>
      <c r="AU28" s="155">
        <f t="shared" si="69"/>
        <v>0</v>
      </c>
      <c r="AV28" s="156">
        <f t="shared" si="52"/>
        <v>0</v>
      </c>
      <c r="AW28" s="157">
        <f t="shared" si="70"/>
        <v>0</v>
      </c>
      <c r="AY28" s="157">
        <f>IF(AND(J28&gt;0,AI28&gt;=J28,BB28=0),O28-AI28,IF(AND(J28&gt;0,AI28&gt;0,BB28&lt;=AI28),AI28-BB28,IF(AND(J28&gt;0,AI28&gt;0,BB28&gt;AI28),J28-BB28,0)))</f>
        <v>0</v>
      </c>
      <c r="AZ28" s="152">
        <f t="shared" si="53"/>
        <v>0</v>
      </c>
      <c r="BA28" s="152">
        <f t="shared" si="54"/>
        <v>0</v>
      </c>
      <c r="BB28" s="158">
        <f t="shared" si="55"/>
        <v>0</v>
      </c>
      <c r="BC28" s="152">
        <f t="shared" si="56"/>
        <v>0</v>
      </c>
      <c r="BD28" s="154">
        <f t="shared" si="57"/>
        <v>0</v>
      </c>
      <c r="BE28" s="154">
        <f t="shared" si="74"/>
        <v>40</v>
      </c>
      <c r="BF28" s="159">
        <f t="shared" si="71"/>
        <v>0</v>
      </c>
      <c r="BG28" s="160"/>
      <c r="BH28" s="160">
        <f t="shared" si="75"/>
        <v>0</v>
      </c>
      <c r="BI28" s="161">
        <f t="shared" si="58"/>
        <v>40</v>
      </c>
      <c r="BJ28" s="161">
        <f t="shared" si="59"/>
        <v>0</v>
      </c>
      <c r="BK28" s="161">
        <f t="shared" si="60"/>
        <v>0</v>
      </c>
      <c r="BL28" s="161">
        <f>SUM(E22:E28)</f>
        <v>0</v>
      </c>
      <c r="BM28" s="160">
        <f t="shared" si="72"/>
        <v>0</v>
      </c>
      <c r="BN28" s="161">
        <f t="shared" si="76"/>
        <v>0</v>
      </c>
      <c r="BO28" s="161">
        <f t="shared" si="77"/>
        <v>0</v>
      </c>
      <c r="BP28" s="161">
        <f>IF(AND(BM28=1,BL28&gt;40,J28&lt;=K28),J28-BO28,IF(AND(BM28=1,BL28&gt;0,J28&gt;K28),K28-BO28,0))</f>
        <v>0</v>
      </c>
      <c r="BQ28" s="160"/>
    </row>
    <row r="29" spans="1:69" ht="15" customHeight="1" thickTop="1" thickBot="1">
      <c r="A29" s="228" t="s">
        <v>30</v>
      </c>
      <c r="B29" s="229"/>
      <c r="C29" s="230"/>
      <c r="D29" s="33"/>
      <c r="E29" s="34">
        <f t="shared" ref="E29:N29" si="79">SUM(E22:E28)</f>
        <v>0</v>
      </c>
      <c r="F29" s="34">
        <f t="shared" si="79"/>
        <v>0</v>
      </c>
      <c r="G29" s="76">
        <f t="shared" si="79"/>
        <v>0</v>
      </c>
      <c r="H29" s="34">
        <f t="shared" si="79"/>
        <v>0</v>
      </c>
      <c r="I29" s="34">
        <f t="shared" si="79"/>
        <v>0</v>
      </c>
      <c r="J29" s="74"/>
      <c r="K29" s="74">
        <f t="shared" si="79"/>
        <v>0</v>
      </c>
      <c r="L29" s="34">
        <f t="shared" si="79"/>
        <v>0</v>
      </c>
      <c r="M29" s="34">
        <f t="shared" si="79"/>
        <v>0</v>
      </c>
      <c r="N29" s="34">
        <f t="shared" si="79"/>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44423</v>
      </c>
      <c r="B30" s="226"/>
      <c r="C30" s="227"/>
      <c r="D30" s="32" t="s">
        <v>23</v>
      </c>
      <c r="E30" s="51"/>
      <c r="F30" s="51"/>
      <c r="G30" s="112"/>
      <c r="H30" s="51"/>
      <c r="I30" s="51"/>
      <c r="J30" s="113"/>
      <c r="K30" s="113"/>
      <c r="L30" s="114"/>
      <c r="M30" s="51"/>
      <c r="N30" s="51"/>
      <c r="O30" s="110">
        <f>SUM(E30:N30)-J30</f>
        <v>0</v>
      </c>
      <c r="P30" s="50" t="str">
        <f>IF(AND(ISNUMBER(AA30),ISNUMBER(X30)),AA30*X30,"")</f>
        <v/>
      </c>
      <c r="Q30" s="52"/>
      <c r="R30" s="50" t="str">
        <f>IF(AND(ISNUMBER(AB30),ISNUMBER(X30)),AB30*X30,"")</f>
        <v/>
      </c>
      <c r="S30" s="52"/>
      <c r="T30" s="52"/>
      <c r="U30" s="149">
        <f t="shared" si="34"/>
        <v>0</v>
      </c>
      <c r="V30" s="150">
        <f>IF(BK30&gt;0,BK30,0)</f>
        <v>0</v>
      </c>
      <c r="W30" s="50"/>
      <c r="X30" s="49">
        <f>IF(ISNA(INDEX('Conversion Factors'!$B$6:$B$370,MATCH('Aug 1 - Aug 15'!$Z$30:$Z$36,'Conversion Factors'!$A$6:$A$370,0))),"",INDEX('Conversion Factors'!$B$6:$B$370,MATCH('Aug 1 - Aug 15'!$Z$30:$Z$36,'Conversion Factors'!$A$6:$A$370,0)))</f>
        <v>8.6669999999999998</v>
      </c>
      <c r="Z30" s="17">
        <f t="shared" ref="Z30:Z36" si="80">A30</f>
        <v>44423</v>
      </c>
      <c r="AA30" s="57" t="str">
        <f t="shared" ref="AA30:AA36" si="81">IF(AND(ISNUMBER(N30),ISNUMBER($Z$12)),N30/$Z$12,"")</f>
        <v/>
      </c>
      <c r="AB30" s="57" t="str">
        <f t="shared" ref="AB30:AB36" si="82">IF(AND(ISNUMBER(Q30),ISNUMBER($Z$12)),Q30/$Z$12,"")</f>
        <v/>
      </c>
      <c r="AC30" s="58"/>
      <c r="AD30" s="59"/>
      <c r="AE30" s="58"/>
      <c r="AF30" s="58"/>
      <c r="AG30" s="64"/>
      <c r="AH30" s="71">
        <f t="shared" ref="AH30:AH36" si="83">E30+AH29</f>
        <v>0</v>
      </c>
      <c r="AI30" s="68">
        <f>IF(AH30&gt;$AI$12,AH30-($AI$12+AI29),0)</f>
        <v>0</v>
      </c>
      <c r="AJ30" s="145" t="b">
        <f t="shared" ref="AJ30:AJ36" si="84">IF(AND(AZ30&gt;0,AZ30),IF(BA30&gt;0,BA30,IF(BB30&gt;0,BB30,IF(BC30&gt;0,BC30,IF(BF30&gt;0,BF30,"")))))</f>
        <v>0</v>
      </c>
      <c r="AK30" s="151" t="b">
        <f>IF(AND(AO30&gt;0,AO30),IF(AP30&gt;0,AP30,IF(AQ30&gt;0,AQ30,IF(AR30&gt;0,AR30,IF(AU30&gt;0,AU30,"")))))</f>
        <v>0</v>
      </c>
      <c r="AM30" s="147">
        <f t="shared" ref="AM30:AM36" si="85">J30</f>
        <v>0</v>
      </c>
      <c r="AO30" s="152">
        <f t="shared" ref="AO30:AO36" si="86">IF(G30=0,0,"")</f>
        <v>0</v>
      </c>
      <c r="AP30" s="152">
        <f t="shared" ref="AP30:AP36" si="87">IF(AND(AH30&lt;=40,E30=G30),G30,0)</f>
        <v>0</v>
      </c>
      <c r="AQ30" s="153">
        <f t="shared" ref="AQ30:AQ36" si="88">IF(AND(AH30&lt;=40,E30&gt;=G30,G30&gt;0),O30-E30,0)</f>
        <v>0</v>
      </c>
      <c r="AR30" s="152">
        <f t="shared" ref="AR30:AR36" si="89">IF(AND(AH30&lt;=40,E30&lt;G30),O30-G30,0)</f>
        <v>0</v>
      </c>
      <c r="AS30" s="154">
        <f t="shared" ref="AS30:AS36" si="90">IF(AND(G30=0),G30,IF(AND(G30&gt;0,AI30&gt;0,G30=AT30),AT30,IF(AND(G30&gt;0,AI30&gt;0,G30-AT30),AT30,0)))</f>
        <v>0</v>
      </c>
      <c r="AT30" s="154"/>
      <c r="AU30" s="155">
        <f>AS30</f>
        <v>0</v>
      </c>
      <c r="AV30" s="156">
        <f t="shared" ref="AV30:AV36" si="91">IF(AND(AH29+AU30=40,AI30&gt;0,AI30&gt;AU30),AI30-AU30,IF(AND(AH29+AU30=40,AI30&gt;0,AI30&lt;AU30,AU30+AI30=G30),AI30,IF(AND(AH29&gt;40,AH30&gt;40,G30=AI30),AI30,0)))</f>
        <v>0</v>
      </c>
      <c r="AW30" s="157">
        <f>AV30</f>
        <v>0</v>
      </c>
      <c r="AY30" s="157">
        <f t="shared" ref="AY30:AY36" si="92">IF(AND(J30&gt;0,AI30&gt;=J30,BB30=0),O30-AI30,IF(AND(J30&gt;0,AI30&gt;0,BB30&lt;=AI30),AI30-BB30,IF(AND(J30&gt;0,AI30&gt;0,BB30&gt;AI30),J30-BB30,0)))</f>
        <v>0</v>
      </c>
      <c r="AZ30" s="152">
        <f t="shared" ref="AZ30:AZ36" si="93">IF(J30=0,0,"")</f>
        <v>0</v>
      </c>
      <c r="BA30" s="152">
        <f t="shared" ref="BA30:BA36" si="94">IF(AND(AH30&lt;=40,E30=J30),J30,0)</f>
        <v>0</v>
      </c>
      <c r="BB30" s="158">
        <f t="shared" ref="BB30:BB36" si="95">IF(AND(AZ30=0),AZ30,IF(AND(AH30&gt;40,E30&gt;=J30),BE30,IF(AND(AH30&lt;=40,E30&gt;J30),J30,0)))</f>
        <v>0</v>
      </c>
      <c r="BC30" s="152">
        <f t="shared" ref="BC30:BC36" si="96">IF(AND(AH30&lt;=40,E30&lt;J30),O30-J30,0)</f>
        <v>0</v>
      </c>
      <c r="BD30" s="154">
        <f t="shared" ref="BD30:BD36" si="97">IF(AND(J30=0),J30,IF(AND(J30&gt;0,AI30&gt;0,J30=BC30),BC30,IF(AND(J30&gt;0,AI30&gt;0,J30-BC30),BC30,0)))</f>
        <v>0</v>
      </c>
      <c r="BE30" s="154"/>
      <c r="BF30" s="159">
        <f>BD30</f>
        <v>0</v>
      </c>
      <c r="BG30" s="160"/>
      <c r="BH30" s="160">
        <f>IF(AND(G30&gt;0,E30&gt;0),1,0)</f>
        <v>0</v>
      </c>
      <c r="BI30" s="161">
        <f t="shared" ref="BI30:BI36" si="98">40-AH30</f>
        <v>40</v>
      </c>
      <c r="BJ30" s="161">
        <f t="shared" ref="BJ30:BJ36" si="99">IF(AND(BH30=1,40-BL29&gt;0,40-BL29&lt;8),40-BL29,IF(AND(E30&lt;G30),E30,G30))</f>
        <v>0</v>
      </c>
      <c r="BK30" s="161">
        <f t="shared" ref="BK30:BK36" si="100">IF(AND(BH30=1,BL30&gt;40,E30&lt;G30),E30-BJ30,(IF(AND(BH30=1,BL30&gt;0,E30&gt;=G30),G30-BJ30,0)))</f>
        <v>0</v>
      </c>
      <c r="BL30" s="161">
        <f>E30</f>
        <v>0</v>
      </c>
      <c r="BM30" s="160">
        <f>IF(AND(K30&gt;0,E30&gt;0),1,0)</f>
        <v>0</v>
      </c>
      <c r="BN30" s="161">
        <f>IF(AND(BM30=1,J30&gt;8),K30,(IF(AND(BM30=1,J30&gt;0),J30,0)))</f>
        <v>0</v>
      </c>
      <c r="BO30" s="161">
        <f t="shared" ref="BO30:BO31" si="101">IF(AND(BM30=1,40-BL29&gt;0,40-BL29&lt;8),40-BL29,IF(AND(J30&lt;K30),J30,K30))</f>
        <v>0</v>
      </c>
      <c r="BP30" s="161">
        <f t="shared" ref="BP30:BP34" si="102">IF(AND(BM30=1,BL30&gt;40,J30&lt;=K30),J30-BO30,IF(AND(BM30=1,BL30&gt;0,J30&gt;K30),K30-BO30,0))</f>
        <v>0</v>
      </c>
      <c r="BQ30" s="160"/>
    </row>
    <row r="31" spans="1:69" ht="15" customHeight="1">
      <c r="A31" s="225" t="str">
        <f t="shared" ref="A31:A36" si="103">IF(A30&lt;$O$7,A30+1,IF(A30=$O$7,""))</f>
        <v/>
      </c>
      <c r="B31" s="226"/>
      <c r="C31" s="227"/>
      <c r="D31" s="32" t="s">
        <v>24</v>
      </c>
      <c r="E31" s="52"/>
      <c r="F31" s="52"/>
      <c r="G31" s="77"/>
      <c r="H31" s="52"/>
      <c r="I31" s="52"/>
      <c r="J31" s="108"/>
      <c r="K31" s="108"/>
      <c r="L31" s="109"/>
      <c r="M31" s="52"/>
      <c r="N31" s="52"/>
      <c r="O31" s="110">
        <f t="shared" ref="O31:O36" si="104">SUM(E31:N31)-J31</f>
        <v>0</v>
      </c>
      <c r="P31" s="50" t="str">
        <f t="shared" ref="P31:P36" si="105">IF(AND(ISNUMBER(AA31),ISNUMBER(X31)),AA31*X31,"")</f>
        <v/>
      </c>
      <c r="Q31" s="51"/>
      <c r="R31" s="50" t="str">
        <f t="shared" ref="R31:R36" si="106">IF(AND(ISNUMBER(AB31),ISNUMBER(X31)),AB31*X31,"")</f>
        <v/>
      </c>
      <c r="S31" s="52"/>
      <c r="T31" s="52"/>
      <c r="U31" s="149">
        <f t="shared" si="34"/>
        <v>0</v>
      </c>
      <c r="V31" s="150">
        <f t="shared" ref="V31:V36" si="107">IF(BK31&gt;0,BK31,0)</f>
        <v>0</v>
      </c>
      <c r="W31" s="50"/>
      <c r="X31" s="49" t="str">
        <f>IF(ISNA(INDEX('Conversion Factors'!$B$6:$B$370,MATCH('Aug 1 - Aug 15'!$Z$30:$Z$36,'Conversion Factors'!$A$6:$A$370,0))),"",INDEX('Conversion Factors'!$B$6:$B$370,MATCH('Aug 1 - Aug 15'!$Z$30:$Z$36,'Conversion Factors'!$A$6:$A$370,0)))</f>
        <v/>
      </c>
      <c r="Z31" s="17" t="str">
        <f t="shared" si="80"/>
        <v/>
      </c>
      <c r="AA31" s="57" t="str">
        <f t="shared" si="81"/>
        <v/>
      </c>
      <c r="AB31" s="57" t="str">
        <f t="shared" si="82"/>
        <v/>
      </c>
      <c r="AH31" s="71">
        <f t="shared" si="83"/>
        <v>0</v>
      </c>
      <c r="AI31" s="68">
        <f>IF(AH31&gt;$AI$12,AH31-($AI$12+AI30+AI29),0)</f>
        <v>0</v>
      </c>
      <c r="AJ31" s="145" t="b">
        <f t="shared" si="84"/>
        <v>0</v>
      </c>
      <c r="AK31" s="151" t="b">
        <f t="shared" ref="AK31:AK36" si="108">IF(AND(AO31&gt;0,AO31),IF(AP31&gt;0,AP31,IF(AQ31&gt;0,AQ31,IF(AR31&gt;0,AR31,IF(AU31&gt;0,AU31,0)))))</f>
        <v>0</v>
      </c>
      <c r="AM31" s="147">
        <f t="shared" si="85"/>
        <v>0</v>
      </c>
      <c r="AO31" s="162">
        <f t="shared" si="86"/>
        <v>0</v>
      </c>
      <c r="AP31" s="162">
        <f t="shared" si="87"/>
        <v>0</v>
      </c>
      <c r="AQ31" s="153">
        <f t="shared" si="88"/>
        <v>0</v>
      </c>
      <c r="AR31" s="162">
        <f t="shared" si="89"/>
        <v>0</v>
      </c>
      <c r="AS31" s="154">
        <f t="shared" si="90"/>
        <v>0</v>
      </c>
      <c r="AT31" s="154">
        <f t="shared" ref="AT31:AT33" si="109">IF(AND(AH30&lt;=40),40-AH30,0)</f>
        <v>40</v>
      </c>
      <c r="AU31" s="155">
        <f t="shared" ref="AU31:AU36" si="110">AS31</f>
        <v>0</v>
      </c>
      <c r="AV31" s="156">
        <f t="shared" si="91"/>
        <v>0</v>
      </c>
      <c r="AW31" s="157">
        <f t="shared" ref="AW31:AW36" si="111">AV31</f>
        <v>0</v>
      </c>
      <c r="AY31" s="157">
        <f t="shared" si="92"/>
        <v>0</v>
      </c>
      <c r="AZ31" s="152">
        <f t="shared" si="93"/>
        <v>0</v>
      </c>
      <c r="BA31" s="152">
        <f t="shared" si="94"/>
        <v>0</v>
      </c>
      <c r="BB31" s="158">
        <f t="shared" si="95"/>
        <v>0</v>
      </c>
      <c r="BC31" s="152">
        <f t="shared" si="96"/>
        <v>0</v>
      </c>
      <c r="BD31" s="154">
        <f t="shared" si="97"/>
        <v>0</v>
      </c>
      <c r="BE31" s="154">
        <f>IF(AND(AH30&lt;=40),40-AH30,0)</f>
        <v>40</v>
      </c>
      <c r="BF31" s="159">
        <f t="shared" ref="BF31:BF36" si="112">BD31</f>
        <v>0</v>
      </c>
      <c r="BG31" s="160"/>
      <c r="BH31" s="160">
        <f>IF(AND(G31&gt;0,E31&gt;0),1,0)</f>
        <v>0</v>
      </c>
      <c r="BI31" s="161">
        <f t="shared" si="98"/>
        <v>40</v>
      </c>
      <c r="BJ31" s="161">
        <f t="shared" si="99"/>
        <v>0</v>
      </c>
      <c r="BK31" s="161">
        <f t="shared" si="100"/>
        <v>0</v>
      </c>
      <c r="BL31" s="161">
        <f>SUM(E30:E31)</f>
        <v>0</v>
      </c>
      <c r="BM31" s="160">
        <f t="shared" ref="BM31:BM36" si="113">IF(AND(K31&gt;0,E31&gt;0),1,0)</f>
        <v>0</v>
      </c>
      <c r="BN31" s="161">
        <f>IF(AND(BM31=1,J31&gt;8),K31,(IF(AND(BM31=1,J31&gt;0),J31,0)))</f>
        <v>0</v>
      </c>
      <c r="BO31" s="161">
        <f t="shared" si="101"/>
        <v>0</v>
      </c>
      <c r="BP31" s="161">
        <f t="shared" si="102"/>
        <v>0</v>
      </c>
      <c r="BQ31" s="160"/>
    </row>
    <row r="32" spans="1:69" ht="15" customHeight="1">
      <c r="A32" s="225" t="b">
        <f t="shared" si="103"/>
        <v>0</v>
      </c>
      <c r="B32" s="226"/>
      <c r="C32" s="227"/>
      <c r="D32" s="32" t="s">
        <v>25</v>
      </c>
      <c r="E32" s="52"/>
      <c r="F32" s="52"/>
      <c r="G32" s="77"/>
      <c r="H32" s="52"/>
      <c r="I32" s="52"/>
      <c r="J32" s="108"/>
      <c r="K32" s="108"/>
      <c r="L32" s="109"/>
      <c r="M32" s="52"/>
      <c r="N32" s="52"/>
      <c r="O32" s="110">
        <f t="shared" si="104"/>
        <v>0</v>
      </c>
      <c r="P32" s="50" t="str">
        <f t="shared" si="105"/>
        <v/>
      </c>
      <c r="Q32" s="51"/>
      <c r="R32" s="50" t="str">
        <f t="shared" si="106"/>
        <v/>
      </c>
      <c r="S32" s="52"/>
      <c r="T32" s="52"/>
      <c r="U32" s="149">
        <f t="shared" si="34"/>
        <v>0</v>
      </c>
      <c r="V32" s="150">
        <f t="shared" si="107"/>
        <v>0</v>
      </c>
      <c r="W32" s="50"/>
      <c r="X32" s="49" t="str">
        <f>IF(ISNA(INDEX('Conversion Factors'!$B$6:$B$370,MATCH('Aug 1 - Aug 15'!$Z$30:$Z$36,'Conversion Factors'!$A$6:$A$370,0))),"",INDEX('Conversion Factors'!$B$6:$B$370,MATCH('Aug 1 - Aug 15'!$Z$30:$Z$36,'Conversion Factors'!$A$6:$A$370,0)))</f>
        <v/>
      </c>
      <c r="Z32" s="17" t="b">
        <f t="shared" si="80"/>
        <v>0</v>
      </c>
      <c r="AA32" s="57" t="str">
        <f t="shared" si="81"/>
        <v/>
      </c>
      <c r="AB32" s="57" t="str">
        <f t="shared" si="82"/>
        <v/>
      </c>
      <c r="AG32" s="1"/>
      <c r="AH32" s="71">
        <f t="shared" si="83"/>
        <v>0</v>
      </c>
      <c r="AI32" s="68">
        <f>IF(AH32&gt;$AI$12,AH32-($AI$12+AI31+AI30+AI29),0)</f>
        <v>0</v>
      </c>
      <c r="AJ32" s="145" t="b">
        <f t="shared" si="84"/>
        <v>0</v>
      </c>
      <c r="AK32" s="151" t="b">
        <f t="shared" si="108"/>
        <v>0</v>
      </c>
      <c r="AM32" s="147">
        <f t="shared" si="85"/>
        <v>0</v>
      </c>
      <c r="AO32" s="162">
        <f t="shared" si="86"/>
        <v>0</v>
      </c>
      <c r="AP32" s="162">
        <f t="shared" si="87"/>
        <v>0</v>
      </c>
      <c r="AQ32" s="153">
        <f t="shared" si="88"/>
        <v>0</v>
      </c>
      <c r="AR32" s="162">
        <f t="shared" si="89"/>
        <v>0</v>
      </c>
      <c r="AS32" s="154">
        <f t="shared" si="90"/>
        <v>0</v>
      </c>
      <c r="AT32" s="154">
        <f t="shared" si="109"/>
        <v>40</v>
      </c>
      <c r="AU32" s="155">
        <f t="shared" si="110"/>
        <v>0</v>
      </c>
      <c r="AV32" s="156">
        <f t="shared" si="91"/>
        <v>0</v>
      </c>
      <c r="AW32" s="157">
        <f t="shared" si="111"/>
        <v>0</v>
      </c>
      <c r="AY32" s="157">
        <f t="shared" si="92"/>
        <v>0</v>
      </c>
      <c r="AZ32" s="152">
        <f t="shared" si="93"/>
        <v>0</v>
      </c>
      <c r="BA32" s="152">
        <f t="shared" si="94"/>
        <v>0</v>
      </c>
      <c r="BB32" s="158">
        <f t="shared" si="95"/>
        <v>0</v>
      </c>
      <c r="BC32" s="152">
        <f t="shared" si="96"/>
        <v>0</v>
      </c>
      <c r="BD32" s="154">
        <f t="shared" si="97"/>
        <v>0</v>
      </c>
      <c r="BE32" s="154">
        <f t="shared" ref="BE32:BE36" si="114">IF(AND(AH31&lt;=40),40-AH31,0)</f>
        <v>40</v>
      </c>
      <c r="BF32" s="159">
        <f t="shared" si="112"/>
        <v>0</v>
      </c>
      <c r="BG32" s="160"/>
      <c r="BH32" s="160">
        <f>IF(AND(G32&gt;0,E32&gt;0),1,0)</f>
        <v>0</v>
      </c>
      <c r="BI32" s="161">
        <f t="shared" si="98"/>
        <v>40</v>
      </c>
      <c r="BJ32" s="161">
        <f t="shared" si="99"/>
        <v>0</v>
      </c>
      <c r="BK32" s="161">
        <f t="shared" si="100"/>
        <v>0</v>
      </c>
      <c r="BL32" s="161">
        <f>SUM(E30:E32)</f>
        <v>0</v>
      </c>
      <c r="BM32" s="160">
        <f t="shared" si="113"/>
        <v>0</v>
      </c>
      <c r="BN32" s="161">
        <f>IF(AND(BM32=1,J32&gt;8),K32,(IF(AND(BM32=1,J32&gt;0),J32,0)))</f>
        <v>0</v>
      </c>
      <c r="BO32" s="161">
        <f>IF(AND(BM32=1,40-BL31&gt;0,40-BL31&lt;8),40-BL31,IF(AND(J32&lt;K32),J32,K32))</f>
        <v>0</v>
      </c>
      <c r="BP32" s="161">
        <f t="shared" si="102"/>
        <v>0</v>
      </c>
      <c r="BQ32" s="160"/>
    </row>
    <row r="33" spans="1:69" ht="15" customHeight="1">
      <c r="A33" s="225" t="b">
        <f t="shared" si="103"/>
        <v>0</v>
      </c>
      <c r="B33" s="226"/>
      <c r="C33" s="227"/>
      <c r="D33" s="32" t="s">
        <v>26</v>
      </c>
      <c r="E33" s="52"/>
      <c r="F33" s="52"/>
      <c r="G33" s="77"/>
      <c r="H33" s="52"/>
      <c r="I33" s="52"/>
      <c r="J33" s="108"/>
      <c r="K33" s="108"/>
      <c r="L33" s="109"/>
      <c r="M33" s="52"/>
      <c r="N33" s="52"/>
      <c r="O33" s="110">
        <f t="shared" si="104"/>
        <v>0</v>
      </c>
      <c r="P33" s="50" t="str">
        <f t="shared" si="105"/>
        <v/>
      </c>
      <c r="Q33" s="51"/>
      <c r="R33" s="50" t="str">
        <f t="shared" si="106"/>
        <v/>
      </c>
      <c r="S33" s="52"/>
      <c r="T33" s="52"/>
      <c r="U33" s="149">
        <f t="shared" si="34"/>
        <v>0</v>
      </c>
      <c r="V33" s="150">
        <f t="shared" si="107"/>
        <v>0</v>
      </c>
      <c r="W33" s="50"/>
      <c r="X33" s="49" t="str">
        <f>IF(ISNA(INDEX('Conversion Factors'!$B$6:$B$370,MATCH('Aug 1 - Aug 15'!$Z$30:$Z$36,'Conversion Factors'!$A$6:$A$370,0))),"",INDEX('Conversion Factors'!$B$6:$B$370,MATCH('Aug 1 - Aug 15'!$Z$30:$Z$36,'Conversion Factors'!$A$6:$A$370,0)))</f>
        <v/>
      </c>
      <c r="Z33" s="17" t="b">
        <f t="shared" si="80"/>
        <v>0</v>
      </c>
      <c r="AA33" s="57" t="str">
        <f t="shared" si="81"/>
        <v/>
      </c>
      <c r="AB33" s="57" t="str">
        <f t="shared" si="82"/>
        <v/>
      </c>
      <c r="AG33" s="1"/>
      <c r="AH33" s="71">
        <f t="shared" si="83"/>
        <v>0</v>
      </c>
      <c r="AI33" s="68">
        <f>IF(AH33&gt;$AI$12,AH33-($AI$12+AI32+AI31+AI30+AI29),0)</f>
        <v>0</v>
      </c>
      <c r="AJ33" s="145" t="b">
        <f t="shared" si="84"/>
        <v>0</v>
      </c>
      <c r="AK33" s="151" t="b">
        <f t="shared" si="108"/>
        <v>0</v>
      </c>
      <c r="AM33" s="147">
        <f t="shared" si="85"/>
        <v>0</v>
      </c>
      <c r="AO33" s="162">
        <f t="shared" si="86"/>
        <v>0</v>
      </c>
      <c r="AP33" s="162">
        <f t="shared" si="87"/>
        <v>0</v>
      </c>
      <c r="AQ33" s="153">
        <f t="shared" si="88"/>
        <v>0</v>
      </c>
      <c r="AR33" s="162">
        <f t="shared" si="89"/>
        <v>0</v>
      </c>
      <c r="AS33" s="154">
        <f t="shared" si="90"/>
        <v>0</v>
      </c>
      <c r="AT33" s="154">
        <f t="shared" si="109"/>
        <v>40</v>
      </c>
      <c r="AU33" s="155">
        <f t="shared" si="110"/>
        <v>0</v>
      </c>
      <c r="AV33" s="156">
        <f t="shared" si="91"/>
        <v>0</v>
      </c>
      <c r="AW33" s="157">
        <f t="shared" si="111"/>
        <v>0</v>
      </c>
      <c r="AY33" s="157">
        <f t="shared" si="92"/>
        <v>0</v>
      </c>
      <c r="AZ33" s="152">
        <f t="shared" si="93"/>
        <v>0</v>
      </c>
      <c r="BA33" s="152">
        <f t="shared" si="94"/>
        <v>0</v>
      </c>
      <c r="BB33" s="158">
        <f t="shared" si="95"/>
        <v>0</v>
      </c>
      <c r="BC33" s="152">
        <f t="shared" si="96"/>
        <v>0</v>
      </c>
      <c r="BD33" s="154">
        <f t="shared" si="97"/>
        <v>0</v>
      </c>
      <c r="BE33" s="154">
        <f t="shared" si="114"/>
        <v>40</v>
      </c>
      <c r="BF33" s="159">
        <f t="shared" si="112"/>
        <v>0</v>
      </c>
      <c r="BG33" s="160"/>
      <c r="BH33" s="160">
        <f t="shared" ref="BH33:BH37" si="115">IF(AND(G33&gt;0,E33&gt;0),1,0)</f>
        <v>0</v>
      </c>
      <c r="BI33" s="161">
        <f t="shared" si="98"/>
        <v>40</v>
      </c>
      <c r="BJ33" s="161">
        <f t="shared" si="99"/>
        <v>0</v>
      </c>
      <c r="BK33" s="161">
        <f t="shared" si="100"/>
        <v>0</v>
      </c>
      <c r="BL33" s="161">
        <f>SUM(E30:E33)</f>
        <v>0</v>
      </c>
      <c r="BM33" s="160">
        <f t="shared" si="113"/>
        <v>0</v>
      </c>
      <c r="BN33" s="161">
        <f t="shared" ref="BN33:BN36" si="116">IF(AND(BM33=1,J33&gt;8),K33,(IF(AND(BM33=1,J33&gt;0),J33,0)))</f>
        <v>0</v>
      </c>
      <c r="BO33" s="161">
        <f t="shared" ref="BO33:BO36" si="117">IF(AND(BM33=1,40-BL32&gt;0,40-BL32&lt;8),40-BL32,IF(AND(J33&lt;K33),J33,K33))</f>
        <v>0</v>
      </c>
      <c r="BP33" s="161">
        <f t="shared" si="102"/>
        <v>0</v>
      </c>
      <c r="BQ33" s="160"/>
    </row>
    <row r="34" spans="1:69" ht="15" customHeight="1">
      <c r="A34" s="225" t="b">
        <f t="shared" si="103"/>
        <v>0</v>
      </c>
      <c r="B34" s="226"/>
      <c r="C34" s="227"/>
      <c r="D34" s="32" t="s">
        <v>27</v>
      </c>
      <c r="E34" s="52"/>
      <c r="F34" s="52"/>
      <c r="G34" s="77"/>
      <c r="H34" s="52"/>
      <c r="I34" s="52"/>
      <c r="J34" s="108"/>
      <c r="K34" s="108"/>
      <c r="L34" s="109"/>
      <c r="M34" s="52"/>
      <c r="N34" s="52"/>
      <c r="O34" s="110">
        <f t="shared" si="104"/>
        <v>0</v>
      </c>
      <c r="P34" s="50" t="str">
        <f t="shared" si="105"/>
        <v/>
      </c>
      <c r="Q34" s="51"/>
      <c r="R34" s="50" t="str">
        <f t="shared" si="106"/>
        <v/>
      </c>
      <c r="S34" s="52"/>
      <c r="T34" s="52"/>
      <c r="U34" s="149">
        <f t="shared" si="34"/>
        <v>0</v>
      </c>
      <c r="V34" s="150">
        <f t="shared" si="107"/>
        <v>0</v>
      </c>
      <c r="W34" s="50"/>
      <c r="X34" s="49" t="str">
        <f>IF(ISNA(INDEX('Conversion Factors'!$B$6:$B$370,MATCH('Aug 1 - Aug 15'!$Z$30:$Z$36,'Conversion Factors'!$A$6:$A$370,0))),"",INDEX('Conversion Factors'!$B$6:$B$370,MATCH('Aug 1 - Aug 15'!$Z$30:$Z$36,'Conversion Factors'!$A$6:$A$370,0)))</f>
        <v/>
      </c>
      <c r="Z34" s="17" t="b">
        <f t="shared" si="80"/>
        <v>0</v>
      </c>
      <c r="AA34" s="57" t="str">
        <f t="shared" si="81"/>
        <v/>
      </c>
      <c r="AB34" s="57" t="str">
        <f t="shared" si="82"/>
        <v/>
      </c>
      <c r="AH34" s="71">
        <f t="shared" si="83"/>
        <v>0</v>
      </c>
      <c r="AI34" s="68">
        <f>IF(AH34&gt;$AI$12,AH34-($AI$12+AI33+AI32+AI31+AI30+AI29),0)</f>
        <v>0</v>
      </c>
      <c r="AJ34" s="145" t="b">
        <f t="shared" si="84"/>
        <v>0</v>
      </c>
      <c r="AK34" s="151" t="b">
        <f t="shared" si="108"/>
        <v>0</v>
      </c>
      <c r="AM34" s="147">
        <f t="shared" si="85"/>
        <v>0</v>
      </c>
      <c r="AO34" s="162">
        <f t="shared" si="86"/>
        <v>0</v>
      </c>
      <c r="AP34" s="162">
        <f t="shared" si="87"/>
        <v>0</v>
      </c>
      <c r="AQ34" s="153">
        <f t="shared" si="88"/>
        <v>0</v>
      </c>
      <c r="AR34" s="162">
        <f t="shared" si="89"/>
        <v>0</v>
      </c>
      <c r="AS34" s="154">
        <f t="shared" si="90"/>
        <v>0</v>
      </c>
      <c r="AT34" s="154">
        <f>IF(AND(AH33&lt;=40),40-AH33,0)</f>
        <v>40</v>
      </c>
      <c r="AU34" s="155">
        <f t="shared" si="110"/>
        <v>0</v>
      </c>
      <c r="AV34" s="156">
        <f t="shared" si="91"/>
        <v>0</v>
      </c>
      <c r="AW34" s="157">
        <f t="shared" si="111"/>
        <v>0</v>
      </c>
      <c r="AY34" s="157">
        <f t="shared" si="92"/>
        <v>0</v>
      </c>
      <c r="AZ34" s="152">
        <f t="shared" si="93"/>
        <v>0</v>
      </c>
      <c r="BA34" s="152">
        <f t="shared" si="94"/>
        <v>0</v>
      </c>
      <c r="BB34" s="158">
        <f t="shared" si="95"/>
        <v>0</v>
      </c>
      <c r="BC34" s="152">
        <f t="shared" si="96"/>
        <v>0</v>
      </c>
      <c r="BD34" s="154">
        <f t="shared" si="97"/>
        <v>0</v>
      </c>
      <c r="BE34" s="154">
        <f t="shared" si="114"/>
        <v>40</v>
      </c>
      <c r="BF34" s="159">
        <f t="shared" si="112"/>
        <v>0</v>
      </c>
      <c r="BG34" s="160"/>
      <c r="BH34" s="160">
        <f t="shared" si="115"/>
        <v>0</v>
      </c>
      <c r="BI34" s="161">
        <f t="shared" si="98"/>
        <v>40</v>
      </c>
      <c r="BJ34" s="161">
        <f t="shared" si="99"/>
        <v>0</v>
      </c>
      <c r="BK34" s="161">
        <f t="shared" si="100"/>
        <v>0</v>
      </c>
      <c r="BL34" s="161">
        <f>SUM(E30:E34)</f>
        <v>0</v>
      </c>
      <c r="BM34" s="160">
        <f t="shared" si="113"/>
        <v>0</v>
      </c>
      <c r="BN34" s="161">
        <f t="shared" si="116"/>
        <v>0</v>
      </c>
      <c r="BO34" s="161">
        <f t="shared" si="117"/>
        <v>0</v>
      </c>
      <c r="BP34" s="161">
        <f t="shared" si="102"/>
        <v>0</v>
      </c>
      <c r="BQ34" s="160"/>
    </row>
    <row r="35" spans="1:69" ht="15" customHeight="1">
      <c r="A35" s="225" t="b">
        <f t="shared" si="103"/>
        <v>0</v>
      </c>
      <c r="B35" s="226"/>
      <c r="C35" s="227"/>
      <c r="D35" s="32" t="s">
        <v>28</v>
      </c>
      <c r="E35" s="52"/>
      <c r="F35" s="52"/>
      <c r="G35" s="77"/>
      <c r="H35" s="52"/>
      <c r="I35" s="52"/>
      <c r="J35" s="108"/>
      <c r="K35" s="108"/>
      <c r="L35" s="109"/>
      <c r="M35" s="52"/>
      <c r="N35" s="52"/>
      <c r="O35" s="110">
        <f t="shared" si="104"/>
        <v>0</v>
      </c>
      <c r="P35" s="50" t="str">
        <f t="shared" si="105"/>
        <v/>
      </c>
      <c r="Q35" s="52"/>
      <c r="R35" s="50" t="str">
        <f t="shared" si="106"/>
        <v/>
      </c>
      <c r="S35" s="52"/>
      <c r="T35" s="52"/>
      <c r="U35" s="149">
        <f t="shared" si="34"/>
        <v>0</v>
      </c>
      <c r="V35" s="150">
        <f t="shared" si="107"/>
        <v>0</v>
      </c>
      <c r="W35" s="50"/>
      <c r="X35" s="49" t="str">
        <f>IF(ISNA(INDEX('Conversion Factors'!$B$6:$B$370,MATCH('Aug 1 - Aug 15'!$Z$30:$Z$36,'Conversion Factors'!$A$6:$A$370,0))),"",INDEX('Conversion Factors'!$B$6:$B$370,MATCH('Aug 1 - Aug 15'!$Z$30:$Z$36,'Conversion Factors'!$A$6:$A$370,0)))</f>
        <v/>
      </c>
      <c r="Z35" s="17" t="b">
        <f t="shared" si="80"/>
        <v>0</v>
      </c>
      <c r="AA35" s="57" t="str">
        <f t="shared" si="81"/>
        <v/>
      </c>
      <c r="AB35" s="57" t="str">
        <f t="shared" si="82"/>
        <v/>
      </c>
      <c r="AH35" s="71">
        <f t="shared" si="83"/>
        <v>0</v>
      </c>
      <c r="AI35" s="68">
        <f>IF(AH35&gt;$AI$12,AH35-($AI$12+AI34+AI33+AI32+AI31+AI30+AI29),0)</f>
        <v>0</v>
      </c>
      <c r="AJ35" s="145" t="b">
        <f t="shared" si="84"/>
        <v>0</v>
      </c>
      <c r="AK35" s="151" t="b">
        <f t="shared" si="108"/>
        <v>0</v>
      </c>
      <c r="AM35" s="147">
        <f t="shared" si="85"/>
        <v>0</v>
      </c>
      <c r="AO35" s="162">
        <f t="shared" si="86"/>
        <v>0</v>
      </c>
      <c r="AP35" s="162">
        <f t="shared" si="87"/>
        <v>0</v>
      </c>
      <c r="AQ35" s="153">
        <f t="shared" si="88"/>
        <v>0</v>
      </c>
      <c r="AR35" s="162">
        <f t="shared" si="89"/>
        <v>0</v>
      </c>
      <c r="AS35" s="154">
        <f t="shared" si="90"/>
        <v>0</v>
      </c>
      <c r="AT35" s="154">
        <f t="shared" ref="AT35:AT36" si="118">IF(AND(AH34&lt;=40),40-AH34,0)</f>
        <v>40</v>
      </c>
      <c r="AU35" s="155">
        <f t="shared" si="110"/>
        <v>0</v>
      </c>
      <c r="AV35" s="156">
        <f t="shared" si="91"/>
        <v>0</v>
      </c>
      <c r="AW35" s="157">
        <f t="shared" si="111"/>
        <v>0</v>
      </c>
      <c r="AY35" s="157">
        <f t="shared" si="92"/>
        <v>0</v>
      </c>
      <c r="AZ35" s="152">
        <f t="shared" si="93"/>
        <v>0</v>
      </c>
      <c r="BA35" s="152">
        <f t="shared" si="94"/>
        <v>0</v>
      </c>
      <c r="BB35" s="158">
        <f t="shared" si="95"/>
        <v>0</v>
      </c>
      <c r="BC35" s="152">
        <f t="shared" si="96"/>
        <v>0</v>
      </c>
      <c r="BD35" s="154">
        <f t="shared" si="97"/>
        <v>0</v>
      </c>
      <c r="BE35" s="154">
        <f t="shared" si="114"/>
        <v>40</v>
      </c>
      <c r="BF35" s="159">
        <f t="shared" si="112"/>
        <v>0</v>
      </c>
      <c r="BG35" s="160"/>
      <c r="BH35" s="160">
        <f t="shared" si="115"/>
        <v>0</v>
      </c>
      <c r="BI35" s="161">
        <f t="shared" si="98"/>
        <v>40</v>
      </c>
      <c r="BJ35" s="161">
        <f t="shared" si="99"/>
        <v>0</v>
      </c>
      <c r="BK35" s="161">
        <f t="shared" si="100"/>
        <v>0</v>
      </c>
      <c r="BL35" s="161">
        <f>SUM(E30:E35)</f>
        <v>0</v>
      </c>
      <c r="BM35" s="160">
        <f t="shared" si="113"/>
        <v>0</v>
      </c>
      <c r="BN35" s="161">
        <f t="shared" si="116"/>
        <v>0</v>
      </c>
      <c r="BO35" s="161">
        <f t="shared" si="117"/>
        <v>0</v>
      </c>
      <c r="BP35" s="161">
        <f>IF(AND(BM35=1,BL35&gt;40,J35&lt;=K35),J35-BO35,IF(AND(BM35=1,BL35&gt;0,J35&gt;K35),K35-BO35,0))</f>
        <v>0</v>
      </c>
      <c r="BQ35" s="160"/>
    </row>
    <row r="36" spans="1:69" ht="15" customHeight="1" thickBot="1">
      <c r="A36" s="225" t="b">
        <f t="shared" si="103"/>
        <v>0</v>
      </c>
      <c r="B36" s="226"/>
      <c r="C36" s="227"/>
      <c r="D36" s="32" t="s">
        <v>29</v>
      </c>
      <c r="E36" s="52"/>
      <c r="F36" s="52"/>
      <c r="G36" s="77"/>
      <c r="H36" s="52"/>
      <c r="I36" s="52"/>
      <c r="J36" s="108"/>
      <c r="K36" s="108"/>
      <c r="L36" s="109"/>
      <c r="M36" s="52"/>
      <c r="N36" s="52"/>
      <c r="O36" s="110">
        <f t="shared" si="104"/>
        <v>0</v>
      </c>
      <c r="P36" s="50" t="str">
        <f t="shared" si="105"/>
        <v/>
      </c>
      <c r="Q36" s="52"/>
      <c r="R36" s="50" t="str">
        <f t="shared" si="106"/>
        <v/>
      </c>
      <c r="S36" s="52"/>
      <c r="T36" s="52"/>
      <c r="U36" s="149">
        <f t="shared" si="34"/>
        <v>0</v>
      </c>
      <c r="V36" s="150">
        <f t="shared" si="107"/>
        <v>0</v>
      </c>
      <c r="W36" s="50"/>
      <c r="X36" s="49" t="str">
        <f>IF(ISNA(INDEX('Conversion Factors'!$B$6:$B$370,MATCH('Aug 1 - Aug 15'!$Z$30:$Z$36,'Conversion Factors'!$A$6:$A$370,0))),"",INDEX('Conversion Factors'!$B$6:$B$370,MATCH('Aug 1 - Aug 15'!$Z$30:$Z$36,'Conversion Factors'!$A$6:$A$370,0)))</f>
        <v/>
      </c>
      <c r="Z36" s="17" t="b">
        <f t="shared" si="80"/>
        <v>0</v>
      </c>
      <c r="AA36" s="57" t="str">
        <f t="shared" si="81"/>
        <v/>
      </c>
      <c r="AB36" s="57" t="str">
        <f t="shared" si="82"/>
        <v/>
      </c>
      <c r="AH36" s="71">
        <f t="shared" si="83"/>
        <v>0</v>
      </c>
      <c r="AI36" s="68">
        <f>IF(AH36&gt;$AI$12,AH36-($AI$12+AI35+AI34+AI33+AI32+AI31+AI30+AI29),0)</f>
        <v>0</v>
      </c>
      <c r="AJ36" s="145" t="b">
        <f t="shared" si="84"/>
        <v>0</v>
      </c>
      <c r="AK36" s="151" t="b">
        <f t="shared" si="108"/>
        <v>0</v>
      </c>
      <c r="AM36" s="147">
        <f t="shared" si="85"/>
        <v>0</v>
      </c>
      <c r="AO36" s="163">
        <f t="shared" si="86"/>
        <v>0</v>
      </c>
      <c r="AP36" s="163">
        <f t="shared" si="87"/>
        <v>0</v>
      </c>
      <c r="AQ36" s="153">
        <f t="shared" si="88"/>
        <v>0</v>
      </c>
      <c r="AR36" s="163">
        <f t="shared" si="89"/>
        <v>0</v>
      </c>
      <c r="AS36" s="154">
        <f t="shared" si="90"/>
        <v>0</v>
      </c>
      <c r="AT36" s="154">
        <f t="shared" si="118"/>
        <v>40</v>
      </c>
      <c r="AU36" s="155">
        <f t="shared" si="110"/>
        <v>0</v>
      </c>
      <c r="AV36" s="156">
        <f t="shared" si="91"/>
        <v>0</v>
      </c>
      <c r="AW36" s="157">
        <f t="shared" si="111"/>
        <v>0</v>
      </c>
      <c r="AY36" s="157">
        <f t="shared" si="92"/>
        <v>0</v>
      </c>
      <c r="AZ36" s="152">
        <f t="shared" si="93"/>
        <v>0</v>
      </c>
      <c r="BA36" s="152">
        <f t="shared" si="94"/>
        <v>0</v>
      </c>
      <c r="BB36" s="158">
        <f t="shared" si="95"/>
        <v>0</v>
      </c>
      <c r="BC36" s="152">
        <f t="shared" si="96"/>
        <v>0</v>
      </c>
      <c r="BD36" s="154">
        <f t="shared" si="97"/>
        <v>0</v>
      </c>
      <c r="BE36" s="154">
        <f t="shared" si="114"/>
        <v>40</v>
      </c>
      <c r="BF36" s="159">
        <f t="shared" si="112"/>
        <v>0</v>
      </c>
      <c r="BG36" s="160"/>
      <c r="BH36" s="160">
        <f t="shared" si="115"/>
        <v>0</v>
      </c>
      <c r="BI36" s="161">
        <f t="shared" si="98"/>
        <v>40</v>
      </c>
      <c r="BJ36" s="161">
        <f t="shared" si="99"/>
        <v>0</v>
      </c>
      <c r="BK36" s="161">
        <f t="shared" si="100"/>
        <v>0</v>
      </c>
      <c r="BL36" s="161">
        <f>SUM(E30:E36)</f>
        <v>0</v>
      </c>
      <c r="BM36" s="160">
        <f t="shared" si="113"/>
        <v>0</v>
      </c>
      <c r="BN36" s="161">
        <f t="shared" si="116"/>
        <v>0</v>
      </c>
      <c r="BO36" s="161">
        <f t="shared" si="117"/>
        <v>0</v>
      </c>
      <c r="BP36" s="161">
        <f>IF(AND(BM36=1,BL36&gt;40,J36&lt;=K36),J36-BO36,IF(AND(BM36=1,BL36&gt;0,J36&gt;K36),K36-BO36,0))</f>
        <v>0</v>
      </c>
      <c r="BQ36" s="160"/>
    </row>
    <row r="37" spans="1:69" ht="15" customHeight="1" thickTop="1" thickBot="1">
      <c r="A37" s="228" t="s">
        <v>31</v>
      </c>
      <c r="B37" s="229"/>
      <c r="C37" s="230"/>
      <c r="D37" s="48"/>
      <c r="E37" s="34">
        <f t="shared" ref="E37:N37" si="119">SUM(E30:E36)</f>
        <v>0</v>
      </c>
      <c r="F37" s="34">
        <f t="shared" si="119"/>
        <v>0</v>
      </c>
      <c r="G37" s="76">
        <f t="shared" si="119"/>
        <v>0</v>
      </c>
      <c r="H37" s="34">
        <f t="shared" si="119"/>
        <v>0</v>
      </c>
      <c r="I37" s="34">
        <f t="shared" si="119"/>
        <v>0</v>
      </c>
      <c r="J37" s="74"/>
      <c r="K37" s="74">
        <f t="shared" si="119"/>
        <v>0</v>
      </c>
      <c r="L37" s="34">
        <f t="shared" si="119"/>
        <v>0</v>
      </c>
      <c r="M37" s="34">
        <f t="shared" si="119"/>
        <v>0</v>
      </c>
      <c r="N37" s="34">
        <f t="shared" si="119"/>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5"/>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4"/>
        <v>0</v>
      </c>
      <c r="V38" s="150">
        <f>IF(BK38&gt;0,BK38,0)</f>
        <v>0</v>
      </c>
      <c r="W38" s="50"/>
      <c r="X38" s="49" t="str">
        <f>IF(ISNA(INDEX('Conversion Factors'!$B$6:$B$370,MATCH('Aug 1 - Aug 15'!$Z$38:$Z$44,'Conversion Factors'!$A$6:$A$370,0))),"",INDEX('Conversion Factors'!$B$6:$B$370,MATCH('Aug 1 - Aug 15'!$Z$38:$Z$44,'Conversion Factors'!$A$6:$A$370,0)))</f>
        <v/>
      </c>
      <c r="Z38" s="17" t="b">
        <f t="shared" ref="Z38:Z44" si="120">A38</f>
        <v>0</v>
      </c>
      <c r="AA38" s="57" t="str">
        <f t="shared" ref="AA38:AA44" si="121">IF(AND(ISNUMBER(N38),ISNUMBER($Z$12)),N38/$Z$12,"")</f>
        <v/>
      </c>
      <c r="AB38" s="57" t="str">
        <f t="shared" ref="AB38:AB44" si="122">IF(AND(ISNUMBER(Q38),ISNUMBER($Z$12)),Q38/$Z$12,"")</f>
        <v/>
      </c>
      <c r="AC38" s="58"/>
      <c r="AD38" s="59"/>
      <c r="AE38" s="58"/>
      <c r="AF38" s="58"/>
      <c r="AG38" s="64"/>
      <c r="AH38" s="71">
        <f t="shared" ref="AH38:AH44" si="123">E38+AH37</f>
        <v>0</v>
      </c>
      <c r="AI38" s="68">
        <f>IF(AH38&gt;$AI$12,AH38-($AI$12+AI37),0)</f>
        <v>0</v>
      </c>
      <c r="AJ38" s="145" t="b">
        <f t="shared" ref="AJ38:AJ44" si="124">IF(AND(AZ38&gt;0,AZ38),IF(BA38&gt;0,BA38,IF(BB38&gt;0,BB38,IF(BC38&gt;0,BC38,IF(BF38&gt;0,BF38,"")))))</f>
        <v>0</v>
      </c>
      <c r="AK38" s="151" t="b">
        <f>IF(AND(AO38&gt;0,AO38),IF(AP38&gt;0,AP38,IF(AQ38&gt;0,AQ38,IF(AR38&gt;0,AR38,IF(AU38&gt;0,AU38,"")))))</f>
        <v>0</v>
      </c>
      <c r="AM38" s="147">
        <f t="shared" ref="AM38:AM44" si="125">J38</f>
        <v>0</v>
      </c>
      <c r="AO38" s="152">
        <f t="shared" ref="AO38:AO44" si="126">IF(G38=0,0,"")</f>
        <v>0</v>
      </c>
      <c r="AP38" s="152">
        <f t="shared" ref="AP38:AP44" si="127">IF(AND(AH38&lt;=40,E38=G38),G38,0)</f>
        <v>0</v>
      </c>
      <c r="AQ38" s="153">
        <f t="shared" ref="AQ38:AQ44" si="128">IF(AND(AH38&lt;=40,E38&gt;=G38,G38&gt;0),O38-E38,0)</f>
        <v>0</v>
      </c>
      <c r="AR38" s="152">
        <f t="shared" ref="AR38:AR44" si="129">IF(AND(AH38&lt;=40,E38&lt;G38),O38-G38,0)</f>
        <v>0</v>
      </c>
      <c r="AS38" s="154">
        <f t="shared" ref="AS38:AS44" si="130">IF(AND(G38=0),G38,IF(AND(G38&gt;0,AI38&gt;0,G38=AT38),AT38,IF(AND(G38&gt;0,AI38&gt;0,G38-AT38),AT38,0)))</f>
        <v>0</v>
      </c>
      <c r="AT38" s="154"/>
      <c r="AU38" s="155">
        <f>AS38</f>
        <v>0</v>
      </c>
      <c r="AV38" s="156">
        <f t="shared" ref="AV38:AV44" si="131">IF(AND(AH37+AU38=40,AI38&gt;0,AI38&gt;AU38),AI38-AU38,IF(AND(AH37+AU38=40,AI38&gt;0,AI38&lt;AU38,AU38+AI38=G38),AI38,IF(AND(AH37&gt;40,AH38&gt;40,G38=AI38),AI38,0)))</f>
        <v>0</v>
      </c>
      <c r="AW38" s="157">
        <f>AV38</f>
        <v>0</v>
      </c>
      <c r="AY38" s="157">
        <f t="shared" ref="AY38:AY44" si="132">IF(AND(J38&gt;0,AI38&gt;=J38,BB38=0),O38-AI38,IF(AND(J38&gt;0,AI38&gt;0,BB38&lt;=AI38),AI38-BB38,IF(AND(J38&gt;0,AI38&gt;0,BB38&gt;AI38),J38-BB38,0)))</f>
        <v>0</v>
      </c>
      <c r="AZ38" s="152">
        <f t="shared" ref="AZ38:AZ44" si="133">IF(J38=0,0,"")</f>
        <v>0</v>
      </c>
      <c r="BA38" s="152">
        <f t="shared" ref="BA38:BA44" si="134">IF(AND(AH38&lt;=40,E38=J38),J38,0)</f>
        <v>0</v>
      </c>
      <c r="BB38" s="158">
        <f t="shared" ref="BB38:BB44" si="135">IF(AND(AZ38=0),AZ38,IF(AND(AH38&gt;40,E38&gt;=J38),BE38,IF(AND(AH38&lt;=40,E38&gt;J38),J38,0)))</f>
        <v>0</v>
      </c>
      <c r="BC38" s="152">
        <f t="shared" ref="BC38:BC44" si="136">IF(AND(AH38&lt;=40,E38&lt;J38),O38-J38,0)</f>
        <v>0</v>
      </c>
      <c r="BD38" s="154">
        <f t="shared" ref="BD38:BD44" si="137">IF(AND(J38=0),J38,IF(AND(J38&gt;0,AI38&gt;0,J38=BC38),BC38,IF(AND(J38&gt;0,AI38&gt;0,J38-BC38),BC38,0)))</f>
        <v>0</v>
      </c>
      <c r="BE38" s="154"/>
      <c r="BF38" s="159">
        <f>BD38</f>
        <v>0</v>
      </c>
      <c r="BG38" s="160"/>
      <c r="BH38" s="160">
        <f>IF(AND(G38&gt;0,E38&gt;0),1,0)</f>
        <v>0</v>
      </c>
      <c r="BI38" s="161">
        <f t="shared" ref="BI38:BI44" si="138">40-AH38</f>
        <v>40</v>
      </c>
      <c r="BJ38" s="161">
        <f t="shared" ref="BJ38:BJ44" si="139">IF(AND(BH38=1,40-BL37&gt;0,40-BL37&lt;8),40-BL37,IF(AND(E38&lt;G38),E38,G38))</f>
        <v>0</v>
      </c>
      <c r="BK38" s="161">
        <f t="shared" ref="BK38:BK44" si="140">IF(AND(BH38=1,BL38&gt;40,E38&lt;G38),E38-BJ38,(IF(AND(BH38=1,BL38&gt;0,E38&gt;=G38),G38-BJ38,0)))</f>
        <v>0</v>
      </c>
      <c r="BL38" s="161">
        <f>E38</f>
        <v>0</v>
      </c>
      <c r="BM38" s="160">
        <f>IF(AND(K38&gt;0,E38&gt;0),1,0)</f>
        <v>0</v>
      </c>
      <c r="BN38" s="161">
        <f>IF(AND(BM38=1,J38&gt;8),K38,(IF(AND(BM38=1,J38&gt;0),J38,0)))</f>
        <v>0</v>
      </c>
      <c r="BO38" s="161">
        <f t="shared" ref="BO38:BO39" si="141">IF(AND(BM38=1,40-BL37&gt;0,40-BL37&lt;8),40-BL37,IF(AND(J38&lt;K38),J38,K38))</f>
        <v>0</v>
      </c>
      <c r="BP38" s="161">
        <f t="shared" ref="BP38:BP42" si="142">IF(AND(BM38=1,BL38&gt;40,J38&lt;=K38),J38-BO38,IF(AND(BM38=1,BL38&gt;0,J38&gt;K38),K38-BO38,0))</f>
        <v>0</v>
      </c>
      <c r="BQ38" s="160"/>
    </row>
    <row r="39" spans="1:69" ht="15" customHeight="1">
      <c r="A39" s="225" t="b">
        <f t="shared" ref="A39:A44" si="143">IF(A38&lt;$O$7,A38+1,IF(A38=$O$7,""))</f>
        <v>0</v>
      </c>
      <c r="B39" s="226"/>
      <c r="C39" s="227"/>
      <c r="D39" s="32" t="s">
        <v>24</v>
      </c>
      <c r="E39" s="52"/>
      <c r="F39" s="52"/>
      <c r="G39" s="77"/>
      <c r="H39" s="52">
        <v>0</v>
      </c>
      <c r="I39" s="52"/>
      <c r="J39" s="108"/>
      <c r="K39" s="108"/>
      <c r="L39" s="109"/>
      <c r="M39" s="52"/>
      <c r="N39" s="52"/>
      <c r="O39" s="110">
        <f>SUM(E39:N39)-J39</f>
        <v>0</v>
      </c>
      <c r="P39" s="50" t="str">
        <f t="shared" ref="P39:P44" si="144">IF(AND(ISNUMBER(AA39),ISNUMBER(X39)),AA39*X39,"")</f>
        <v/>
      </c>
      <c r="Q39" s="52"/>
      <c r="R39" s="50" t="str">
        <f t="shared" ref="R39:R44" si="145">IF(AND(ISNUMBER(AB39),ISNUMBER(X39)),AB39*X39,"")</f>
        <v/>
      </c>
      <c r="S39" s="52"/>
      <c r="T39" s="52"/>
      <c r="U39" s="149">
        <f t="shared" si="34"/>
        <v>0</v>
      </c>
      <c r="V39" s="150">
        <f t="shared" ref="V39:V44" si="146">IF(BK39&gt;0,BK39,0)</f>
        <v>0</v>
      </c>
      <c r="W39" s="50"/>
      <c r="X39" s="49" t="str">
        <f>IF(ISNA(INDEX('Conversion Factors'!$B$6:$B$370,MATCH('Aug 1 - Aug 15'!$Z$38:$Z$44,'Conversion Factors'!$A$6:$A$370,0))),"",INDEX('Conversion Factors'!$B$6:$B$370,MATCH('Aug 1 - Aug 15'!$Z$38:$Z$44,'Conversion Factors'!$A$6:$A$370,0)))</f>
        <v/>
      </c>
      <c r="Z39" s="17" t="b">
        <f t="shared" si="120"/>
        <v>0</v>
      </c>
      <c r="AA39" s="57" t="str">
        <f t="shared" si="121"/>
        <v/>
      </c>
      <c r="AB39" s="57" t="str">
        <f t="shared" si="122"/>
        <v/>
      </c>
      <c r="AH39" s="71">
        <f t="shared" si="123"/>
        <v>0</v>
      </c>
      <c r="AI39" s="68">
        <f>IF(AH39&gt;$AI$12,AH39-($AI$12+AI38+AI37),0)</f>
        <v>0</v>
      </c>
      <c r="AJ39" s="145" t="b">
        <f t="shared" si="124"/>
        <v>0</v>
      </c>
      <c r="AK39" s="151" t="b">
        <f t="shared" ref="AK39:AK44" si="147">IF(AND(AO39&gt;0,AO39),IF(AP39&gt;0,AP39,IF(AQ39&gt;0,AQ39,IF(AR39&gt;0,AR39,IF(AU39&gt;0,AU39,0)))))</f>
        <v>0</v>
      </c>
      <c r="AM39" s="147">
        <f t="shared" si="125"/>
        <v>0</v>
      </c>
      <c r="AO39" s="162">
        <f t="shared" si="126"/>
        <v>0</v>
      </c>
      <c r="AP39" s="162">
        <f t="shared" si="127"/>
        <v>0</v>
      </c>
      <c r="AQ39" s="153">
        <f t="shared" si="128"/>
        <v>0</v>
      </c>
      <c r="AR39" s="162">
        <f t="shared" si="129"/>
        <v>0</v>
      </c>
      <c r="AS39" s="154">
        <f t="shared" si="130"/>
        <v>0</v>
      </c>
      <c r="AT39" s="154">
        <f t="shared" ref="AT39:AT41" si="148">IF(AND(AH38&lt;=40),40-AH38,0)</f>
        <v>40</v>
      </c>
      <c r="AU39" s="155">
        <f t="shared" ref="AU39:AU44" si="149">AS39</f>
        <v>0</v>
      </c>
      <c r="AV39" s="156">
        <f t="shared" si="131"/>
        <v>0</v>
      </c>
      <c r="AW39" s="157">
        <f t="shared" ref="AW39:AW44" si="150">AV39</f>
        <v>0</v>
      </c>
      <c r="AY39" s="157">
        <f t="shared" si="132"/>
        <v>0</v>
      </c>
      <c r="AZ39" s="152">
        <f t="shared" si="133"/>
        <v>0</v>
      </c>
      <c r="BA39" s="152">
        <f t="shared" si="134"/>
        <v>0</v>
      </c>
      <c r="BB39" s="158">
        <f t="shared" si="135"/>
        <v>0</v>
      </c>
      <c r="BC39" s="152">
        <f t="shared" si="136"/>
        <v>0</v>
      </c>
      <c r="BD39" s="154">
        <f t="shared" si="137"/>
        <v>0</v>
      </c>
      <c r="BE39" s="154">
        <f>IF(AND(AH38&lt;=40),40-AH38,0)</f>
        <v>40</v>
      </c>
      <c r="BF39" s="159">
        <f t="shared" ref="BF39:BF44" si="151">BD39</f>
        <v>0</v>
      </c>
      <c r="BG39" s="160"/>
      <c r="BH39" s="160">
        <f>IF(AND(G39&gt;0,E39&gt;0),1,0)</f>
        <v>0</v>
      </c>
      <c r="BI39" s="161">
        <f t="shared" si="138"/>
        <v>40</v>
      </c>
      <c r="BJ39" s="161">
        <f t="shared" si="139"/>
        <v>0</v>
      </c>
      <c r="BK39" s="161">
        <f t="shared" si="140"/>
        <v>0</v>
      </c>
      <c r="BL39" s="161">
        <f>SUM(E38:E39)</f>
        <v>0</v>
      </c>
      <c r="BM39" s="160">
        <f t="shared" ref="BM39:BM44" si="152">IF(AND(K39&gt;0,E39&gt;0),1,0)</f>
        <v>0</v>
      </c>
      <c r="BN39" s="161">
        <f>IF(AND(BM39=1,J39&gt;8),K39,(IF(AND(BM39=1,J39&gt;0),J39,0)))</f>
        <v>0</v>
      </c>
      <c r="BO39" s="161">
        <f t="shared" si="141"/>
        <v>0</v>
      </c>
      <c r="BP39" s="161">
        <f t="shared" si="142"/>
        <v>0</v>
      </c>
      <c r="BQ39" s="160"/>
    </row>
    <row r="40" spans="1:69" ht="15" customHeight="1">
      <c r="A40" s="225" t="b">
        <f t="shared" si="143"/>
        <v>0</v>
      </c>
      <c r="B40" s="226"/>
      <c r="C40" s="227"/>
      <c r="D40" s="32" t="s">
        <v>25</v>
      </c>
      <c r="E40" s="52"/>
      <c r="F40" s="52"/>
      <c r="G40" s="77"/>
      <c r="H40" s="52"/>
      <c r="I40" s="52"/>
      <c r="J40" s="108">
        <v>0</v>
      </c>
      <c r="K40" s="108">
        <v>0</v>
      </c>
      <c r="L40" s="109"/>
      <c r="M40" s="52"/>
      <c r="N40" s="52"/>
      <c r="O40" s="110">
        <f t="shared" ref="O40:O43" si="153">SUM(E40:N40)-J40</f>
        <v>0</v>
      </c>
      <c r="P40" s="50" t="str">
        <f t="shared" si="144"/>
        <v/>
      </c>
      <c r="Q40" s="52"/>
      <c r="R40" s="50" t="str">
        <f t="shared" si="145"/>
        <v/>
      </c>
      <c r="S40" s="52"/>
      <c r="T40" s="52"/>
      <c r="U40" s="149">
        <f t="shared" si="34"/>
        <v>0</v>
      </c>
      <c r="V40" s="150">
        <f t="shared" si="146"/>
        <v>0</v>
      </c>
      <c r="W40" s="50"/>
      <c r="X40" s="49" t="str">
        <f>IF(ISNA(INDEX('Conversion Factors'!$B$6:$B$370,MATCH('Aug 1 - Aug 15'!$Z$38:$Z$44,'Conversion Factors'!$A$6:$A$370,0))),"",INDEX('Conversion Factors'!$B$6:$B$370,MATCH('Aug 1 - Aug 15'!$Z$38:$Z$44,'Conversion Factors'!$A$6:$A$370,0)))</f>
        <v/>
      </c>
      <c r="Z40" s="17" t="b">
        <f t="shared" si="120"/>
        <v>0</v>
      </c>
      <c r="AA40" s="57" t="str">
        <f t="shared" si="121"/>
        <v/>
      </c>
      <c r="AB40" s="57" t="str">
        <f t="shared" si="122"/>
        <v/>
      </c>
      <c r="AG40" s="1"/>
      <c r="AH40" s="71">
        <f t="shared" si="123"/>
        <v>0</v>
      </c>
      <c r="AI40" s="68">
        <f>IF(AH40&gt;$AI$12,AH40-($AI$12+AI39+AI38+AI37),0)</f>
        <v>0</v>
      </c>
      <c r="AJ40" s="145" t="b">
        <f t="shared" si="124"/>
        <v>0</v>
      </c>
      <c r="AK40" s="151" t="b">
        <f t="shared" si="147"/>
        <v>0</v>
      </c>
      <c r="AM40" s="147">
        <f t="shared" si="125"/>
        <v>0</v>
      </c>
      <c r="AO40" s="162">
        <f t="shared" si="126"/>
        <v>0</v>
      </c>
      <c r="AP40" s="162">
        <f t="shared" si="127"/>
        <v>0</v>
      </c>
      <c r="AQ40" s="153">
        <f t="shared" si="128"/>
        <v>0</v>
      </c>
      <c r="AR40" s="162">
        <f t="shared" si="129"/>
        <v>0</v>
      </c>
      <c r="AS40" s="154">
        <f t="shared" si="130"/>
        <v>0</v>
      </c>
      <c r="AT40" s="154">
        <f t="shared" si="148"/>
        <v>40</v>
      </c>
      <c r="AU40" s="155">
        <f t="shared" si="149"/>
        <v>0</v>
      </c>
      <c r="AV40" s="156">
        <f t="shared" si="131"/>
        <v>0</v>
      </c>
      <c r="AW40" s="157">
        <f t="shared" si="150"/>
        <v>0</v>
      </c>
      <c r="AY40" s="157">
        <f t="shared" si="132"/>
        <v>0</v>
      </c>
      <c r="AZ40" s="152">
        <f t="shared" si="133"/>
        <v>0</v>
      </c>
      <c r="BA40" s="152">
        <f t="shared" si="134"/>
        <v>0</v>
      </c>
      <c r="BB40" s="158">
        <f t="shared" si="135"/>
        <v>0</v>
      </c>
      <c r="BC40" s="152">
        <f t="shared" si="136"/>
        <v>0</v>
      </c>
      <c r="BD40" s="154">
        <f t="shared" si="137"/>
        <v>0</v>
      </c>
      <c r="BE40" s="154">
        <f t="shared" ref="BE40:BE44" si="154">IF(AND(AH39&lt;=40),40-AH39,0)</f>
        <v>40</v>
      </c>
      <c r="BF40" s="159">
        <f t="shared" si="151"/>
        <v>0</v>
      </c>
      <c r="BG40" s="160"/>
      <c r="BH40" s="160">
        <f>IF(AND(G40&gt;0,E40&gt;0),1,0)</f>
        <v>0</v>
      </c>
      <c r="BI40" s="161">
        <f t="shared" si="138"/>
        <v>40</v>
      </c>
      <c r="BJ40" s="161">
        <f t="shared" si="139"/>
        <v>0</v>
      </c>
      <c r="BK40" s="161">
        <f t="shared" si="140"/>
        <v>0</v>
      </c>
      <c r="BL40" s="161">
        <f>SUM(E38:E40)</f>
        <v>0</v>
      </c>
      <c r="BM40" s="160">
        <f t="shared" si="152"/>
        <v>0</v>
      </c>
      <c r="BN40" s="161">
        <f>IF(AND(BM40=1,J40&gt;8),K40,(IF(AND(BM40=1,J40&gt;0),J40,0)))</f>
        <v>0</v>
      </c>
      <c r="BO40" s="161">
        <f>IF(AND(BM40=1,40-BL39&gt;0,40-BL39&lt;8),40-BL39,IF(AND(J40&lt;K40),J40,K40))</f>
        <v>0</v>
      </c>
      <c r="BP40" s="161">
        <f t="shared" si="142"/>
        <v>0</v>
      </c>
      <c r="BQ40" s="160"/>
    </row>
    <row r="41" spans="1:69" ht="15" customHeight="1">
      <c r="A41" s="225" t="b">
        <f t="shared" si="143"/>
        <v>0</v>
      </c>
      <c r="B41" s="226"/>
      <c r="C41" s="227"/>
      <c r="D41" s="32" t="s">
        <v>26</v>
      </c>
      <c r="E41" s="52"/>
      <c r="F41" s="52"/>
      <c r="G41" s="77"/>
      <c r="H41" s="52"/>
      <c r="I41" s="52"/>
      <c r="J41" s="108"/>
      <c r="K41" s="108"/>
      <c r="L41" s="109"/>
      <c r="M41" s="52"/>
      <c r="N41" s="52"/>
      <c r="O41" s="110">
        <f t="shared" si="153"/>
        <v>0</v>
      </c>
      <c r="P41" s="50" t="str">
        <f t="shared" si="144"/>
        <v/>
      </c>
      <c r="Q41" s="52"/>
      <c r="R41" s="50" t="str">
        <f t="shared" si="145"/>
        <v/>
      </c>
      <c r="S41" s="52"/>
      <c r="T41" s="52"/>
      <c r="U41" s="149">
        <f t="shared" si="34"/>
        <v>0</v>
      </c>
      <c r="V41" s="150">
        <f t="shared" si="146"/>
        <v>0</v>
      </c>
      <c r="W41" s="50"/>
      <c r="X41" s="49" t="str">
        <f>IF(ISNA(INDEX('Conversion Factors'!$B$6:$B$370,MATCH('Aug 1 - Aug 15'!$Z$38:$Z$44,'Conversion Factors'!$A$6:$A$370,0))),"",INDEX('Conversion Factors'!$B$6:$B$370,MATCH('Aug 1 - Aug 15'!$Z$38:$Z$44,'Conversion Factors'!$A$6:$A$370,0)))</f>
        <v/>
      </c>
      <c r="Z41" s="17" t="b">
        <f t="shared" si="120"/>
        <v>0</v>
      </c>
      <c r="AA41" s="57" t="str">
        <f t="shared" si="121"/>
        <v/>
      </c>
      <c r="AB41" s="57" t="str">
        <f t="shared" si="122"/>
        <v/>
      </c>
      <c r="AG41" s="1"/>
      <c r="AH41" s="71">
        <f t="shared" si="123"/>
        <v>0</v>
      </c>
      <c r="AI41" s="68">
        <f>IF(AH41&gt;$AI$12,AH41-($AI$12+AI40+AI39+AI38+AI37),0)</f>
        <v>0</v>
      </c>
      <c r="AJ41" s="145" t="b">
        <f t="shared" si="124"/>
        <v>0</v>
      </c>
      <c r="AK41" s="151" t="b">
        <f t="shared" si="147"/>
        <v>0</v>
      </c>
      <c r="AM41" s="147">
        <f t="shared" si="125"/>
        <v>0</v>
      </c>
      <c r="AO41" s="162">
        <f t="shared" si="126"/>
        <v>0</v>
      </c>
      <c r="AP41" s="162">
        <f t="shared" si="127"/>
        <v>0</v>
      </c>
      <c r="AQ41" s="153">
        <f t="shared" si="128"/>
        <v>0</v>
      </c>
      <c r="AR41" s="162">
        <f t="shared" si="129"/>
        <v>0</v>
      </c>
      <c r="AS41" s="154">
        <f t="shared" si="130"/>
        <v>0</v>
      </c>
      <c r="AT41" s="154">
        <f t="shared" si="148"/>
        <v>40</v>
      </c>
      <c r="AU41" s="155">
        <f t="shared" si="149"/>
        <v>0</v>
      </c>
      <c r="AV41" s="156">
        <f t="shared" si="131"/>
        <v>0</v>
      </c>
      <c r="AW41" s="157">
        <f t="shared" si="150"/>
        <v>0</v>
      </c>
      <c r="AY41" s="157">
        <f t="shared" si="132"/>
        <v>0</v>
      </c>
      <c r="AZ41" s="152">
        <f t="shared" si="133"/>
        <v>0</v>
      </c>
      <c r="BA41" s="152">
        <f t="shared" si="134"/>
        <v>0</v>
      </c>
      <c r="BB41" s="158">
        <f t="shared" si="135"/>
        <v>0</v>
      </c>
      <c r="BC41" s="152">
        <f t="shared" si="136"/>
        <v>0</v>
      </c>
      <c r="BD41" s="154">
        <f t="shared" si="137"/>
        <v>0</v>
      </c>
      <c r="BE41" s="154">
        <f t="shared" si="154"/>
        <v>40</v>
      </c>
      <c r="BF41" s="159">
        <f t="shared" si="151"/>
        <v>0</v>
      </c>
      <c r="BG41" s="160"/>
      <c r="BH41" s="160">
        <f t="shared" ref="BH41:BH44" si="155">IF(AND(G41&gt;0,E41&gt;0),1,0)</f>
        <v>0</v>
      </c>
      <c r="BI41" s="161">
        <f t="shared" si="138"/>
        <v>40</v>
      </c>
      <c r="BJ41" s="161">
        <f t="shared" si="139"/>
        <v>0</v>
      </c>
      <c r="BK41" s="161">
        <f t="shared" si="140"/>
        <v>0</v>
      </c>
      <c r="BL41" s="161">
        <f>SUM(E38:E41)</f>
        <v>0</v>
      </c>
      <c r="BM41" s="160">
        <f t="shared" si="152"/>
        <v>0</v>
      </c>
      <c r="BN41" s="161">
        <f t="shared" ref="BN41:BN44" si="156">IF(AND(BM41=1,J41&gt;8),K41,(IF(AND(BM41=1,J41&gt;0),J41,0)))</f>
        <v>0</v>
      </c>
      <c r="BO41" s="161">
        <f t="shared" ref="BO41:BO44" si="157">IF(AND(BM41=1,40-BL40&gt;0,40-BL40&lt;8),40-BL40,IF(AND(J41&lt;K41),J41,K41))</f>
        <v>0</v>
      </c>
      <c r="BP41" s="161">
        <f t="shared" si="142"/>
        <v>0</v>
      </c>
      <c r="BQ41" s="160"/>
    </row>
    <row r="42" spans="1:69" ht="15" customHeight="1">
      <c r="A42" s="225" t="b">
        <f t="shared" si="143"/>
        <v>0</v>
      </c>
      <c r="B42" s="226"/>
      <c r="C42" s="227"/>
      <c r="D42" s="32" t="s">
        <v>27</v>
      </c>
      <c r="E42" s="52"/>
      <c r="F42" s="52"/>
      <c r="G42" s="77"/>
      <c r="H42" s="52"/>
      <c r="I42" s="52"/>
      <c r="J42" s="108"/>
      <c r="K42" s="108"/>
      <c r="L42" s="109"/>
      <c r="M42" s="52"/>
      <c r="N42" s="52"/>
      <c r="O42" s="110">
        <f t="shared" si="153"/>
        <v>0</v>
      </c>
      <c r="P42" s="50" t="str">
        <f t="shared" si="144"/>
        <v/>
      </c>
      <c r="Q42" s="52"/>
      <c r="R42" s="50" t="str">
        <f t="shared" si="145"/>
        <v/>
      </c>
      <c r="S42" s="52"/>
      <c r="T42" s="52"/>
      <c r="U42" s="149">
        <f t="shared" si="34"/>
        <v>0</v>
      </c>
      <c r="V42" s="150">
        <f t="shared" si="146"/>
        <v>0</v>
      </c>
      <c r="W42" s="50"/>
      <c r="X42" s="49" t="str">
        <f>IF(ISNA(INDEX('Conversion Factors'!$B$6:$B$370,MATCH('Aug 1 - Aug 15'!$Z$38:$Z$44,'Conversion Factors'!$A$6:$A$370,0))),"",INDEX('Conversion Factors'!$B$6:$B$370,MATCH('Aug 1 - Aug 15'!$Z$38:$Z$44,'Conversion Factors'!$A$6:$A$370,0)))</f>
        <v/>
      </c>
      <c r="Z42" s="17" t="b">
        <f t="shared" si="120"/>
        <v>0</v>
      </c>
      <c r="AA42" s="57" t="str">
        <f t="shared" si="121"/>
        <v/>
      </c>
      <c r="AB42" s="57" t="str">
        <f t="shared" si="122"/>
        <v/>
      </c>
      <c r="AH42" s="71">
        <f t="shared" si="123"/>
        <v>0</v>
      </c>
      <c r="AI42" s="68">
        <f>IF(AH42&gt;$AI$12,AH42-($AI$12+AI41+AI40+AI39+AI38+AI37),0)</f>
        <v>0</v>
      </c>
      <c r="AJ42" s="145" t="b">
        <f t="shared" si="124"/>
        <v>0</v>
      </c>
      <c r="AK42" s="151" t="b">
        <f t="shared" si="147"/>
        <v>0</v>
      </c>
      <c r="AM42" s="147">
        <f t="shared" si="125"/>
        <v>0</v>
      </c>
      <c r="AO42" s="162">
        <f t="shared" si="126"/>
        <v>0</v>
      </c>
      <c r="AP42" s="162">
        <f t="shared" si="127"/>
        <v>0</v>
      </c>
      <c r="AQ42" s="153">
        <f t="shared" si="128"/>
        <v>0</v>
      </c>
      <c r="AR42" s="162">
        <f t="shared" si="129"/>
        <v>0</v>
      </c>
      <c r="AS42" s="154">
        <f t="shared" si="130"/>
        <v>0</v>
      </c>
      <c r="AT42" s="154">
        <f>IF(AND(AH41&lt;=40),40-AH41,0)</f>
        <v>40</v>
      </c>
      <c r="AU42" s="155">
        <f t="shared" si="149"/>
        <v>0</v>
      </c>
      <c r="AV42" s="156">
        <f t="shared" si="131"/>
        <v>0</v>
      </c>
      <c r="AW42" s="157">
        <f t="shared" si="150"/>
        <v>0</v>
      </c>
      <c r="AY42" s="157">
        <f t="shared" si="132"/>
        <v>0</v>
      </c>
      <c r="AZ42" s="152">
        <f t="shared" si="133"/>
        <v>0</v>
      </c>
      <c r="BA42" s="152">
        <f t="shared" si="134"/>
        <v>0</v>
      </c>
      <c r="BB42" s="158">
        <f t="shared" si="135"/>
        <v>0</v>
      </c>
      <c r="BC42" s="152">
        <f t="shared" si="136"/>
        <v>0</v>
      </c>
      <c r="BD42" s="154">
        <f t="shared" si="137"/>
        <v>0</v>
      </c>
      <c r="BE42" s="154">
        <f t="shared" si="154"/>
        <v>40</v>
      </c>
      <c r="BF42" s="159">
        <f t="shared" si="151"/>
        <v>0</v>
      </c>
      <c r="BG42" s="160"/>
      <c r="BH42" s="160">
        <f t="shared" si="155"/>
        <v>0</v>
      </c>
      <c r="BI42" s="161">
        <f t="shared" si="138"/>
        <v>40</v>
      </c>
      <c r="BJ42" s="161">
        <f t="shared" si="139"/>
        <v>0</v>
      </c>
      <c r="BK42" s="161">
        <f t="shared" si="140"/>
        <v>0</v>
      </c>
      <c r="BL42" s="161">
        <f>SUM(E38:E42)</f>
        <v>0</v>
      </c>
      <c r="BM42" s="160">
        <f t="shared" si="152"/>
        <v>0</v>
      </c>
      <c r="BN42" s="161">
        <f t="shared" si="156"/>
        <v>0</v>
      </c>
      <c r="BO42" s="161">
        <f t="shared" si="157"/>
        <v>0</v>
      </c>
      <c r="BP42" s="161">
        <f t="shared" si="142"/>
        <v>0</v>
      </c>
      <c r="BQ42" s="160"/>
    </row>
    <row r="43" spans="1:69" ht="15" customHeight="1">
      <c r="A43" s="225" t="b">
        <f t="shared" si="143"/>
        <v>0</v>
      </c>
      <c r="B43" s="226"/>
      <c r="C43" s="227"/>
      <c r="D43" s="32" t="s">
        <v>28</v>
      </c>
      <c r="E43" s="52"/>
      <c r="F43" s="52"/>
      <c r="G43" s="77"/>
      <c r="H43" s="52"/>
      <c r="I43" s="52"/>
      <c r="J43" s="108"/>
      <c r="K43" s="108"/>
      <c r="L43" s="109"/>
      <c r="M43" s="52"/>
      <c r="N43" s="52"/>
      <c r="O43" s="110">
        <f t="shared" si="153"/>
        <v>0</v>
      </c>
      <c r="P43" s="50" t="str">
        <f t="shared" si="144"/>
        <v/>
      </c>
      <c r="Q43" s="52"/>
      <c r="R43" s="50" t="str">
        <f t="shared" si="145"/>
        <v/>
      </c>
      <c r="S43" s="52"/>
      <c r="T43" s="52"/>
      <c r="U43" s="149">
        <f t="shared" si="34"/>
        <v>0</v>
      </c>
      <c r="V43" s="150">
        <f t="shared" si="146"/>
        <v>0</v>
      </c>
      <c r="W43" s="50"/>
      <c r="X43" s="49" t="str">
        <f>IF(ISNA(INDEX('Conversion Factors'!$B$6:$B$370,MATCH('Aug 1 - Aug 15'!$Z$38:$Z$44,'Conversion Factors'!$A$6:$A$370,0))),"",INDEX('Conversion Factors'!$B$6:$B$370,MATCH('Aug 1 - Aug 15'!$Z$38:$Z$44,'Conversion Factors'!$A$6:$A$370,0)))</f>
        <v/>
      </c>
      <c r="Z43" s="17" t="b">
        <f t="shared" si="120"/>
        <v>0</v>
      </c>
      <c r="AA43" s="57" t="str">
        <f t="shared" si="121"/>
        <v/>
      </c>
      <c r="AB43" s="57" t="str">
        <f t="shared" si="122"/>
        <v/>
      </c>
      <c r="AH43" s="71">
        <f t="shared" si="123"/>
        <v>0</v>
      </c>
      <c r="AI43" s="68">
        <f>IF(AH43&gt;$AI$12,AH43-($AI$12+AI42+AI41+AI40+AI39+AI38+AI37),0)</f>
        <v>0</v>
      </c>
      <c r="AJ43" s="145" t="b">
        <f t="shared" si="124"/>
        <v>0</v>
      </c>
      <c r="AK43" s="151" t="b">
        <f t="shared" si="147"/>
        <v>0</v>
      </c>
      <c r="AM43" s="147">
        <f t="shared" si="125"/>
        <v>0</v>
      </c>
      <c r="AO43" s="162">
        <f t="shared" si="126"/>
        <v>0</v>
      </c>
      <c r="AP43" s="162">
        <f t="shared" si="127"/>
        <v>0</v>
      </c>
      <c r="AQ43" s="153">
        <f t="shared" si="128"/>
        <v>0</v>
      </c>
      <c r="AR43" s="162">
        <f t="shared" si="129"/>
        <v>0</v>
      </c>
      <c r="AS43" s="154">
        <f t="shared" si="130"/>
        <v>0</v>
      </c>
      <c r="AT43" s="154">
        <f t="shared" ref="AT43:AT44" si="158">IF(AND(AH42&lt;=40),40-AH42,0)</f>
        <v>40</v>
      </c>
      <c r="AU43" s="155">
        <f t="shared" si="149"/>
        <v>0</v>
      </c>
      <c r="AV43" s="156">
        <f t="shared" si="131"/>
        <v>0</v>
      </c>
      <c r="AW43" s="157">
        <f t="shared" si="150"/>
        <v>0</v>
      </c>
      <c r="AY43" s="157">
        <f t="shared" si="132"/>
        <v>0</v>
      </c>
      <c r="AZ43" s="152">
        <f t="shared" si="133"/>
        <v>0</v>
      </c>
      <c r="BA43" s="152">
        <f t="shared" si="134"/>
        <v>0</v>
      </c>
      <c r="BB43" s="158">
        <f t="shared" si="135"/>
        <v>0</v>
      </c>
      <c r="BC43" s="152">
        <f t="shared" si="136"/>
        <v>0</v>
      </c>
      <c r="BD43" s="154">
        <f t="shared" si="137"/>
        <v>0</v>
      </c>
      <c r="BE43" s="154">
        <f t="shared" si="154"/>
        <v>40</v>
      </c>
      <c r="BF43" s="159">
        <f t="shared" si="151"/>
        <v>0</v>
      </c>
      <c r="BG43" s="160"/>
      <c r="BH43" s="160">
        <f t="shared" si="155"/>
        <v>0</v>
      </c>
      <c r="BI43" s="161">
        <f t="shared" si="138"/>
        <v>40</v>
      </c>
      <c r="BJ43" s="161">
        <f t="shared" si="139"/>
        <v>0</v>
      </c>
      <c r="BK43" s="161">
        <f t="shared" si="140"/>
        <v>0</v>
      </c>
      <c r="BL43" s="161">
        <f>SUM(E38:E43)</f>
        <v>0</v>
      </c>
      <c r="BM43" s="160">
        <f t="shared" si="152"/>
        <v>0</v>
      </c>
      <c r="BN43" s="161">
        <f t="shared" si="156"/>
        <v>0</v>
      </c>
      <c r="BO43" s="161">
        <f t="shared" si="157"/>
        <v>0</v>
      </c>
      <c r="BP43" s="161">
        <f>IF(AND(BM43=1,BL43&gt;40,J43&lt;=K43),J43-BO43,IF(AND(BM43=1,BL43&gt;0,J43&gt;K43),K43-BO43,0))</f>
        <v>0</v>
      </c>
      <c r="BQ43" s="160"/>
    </row>
    <row r="44" spans="1:69" ht="15" customHeight="1" thickBot="1">
      <c r="A44" s="231" t="b">
        <f t="shared" si="143"/>
        <v>0</v>
      </c>
      <c r="B44" s="232"/>
      <c r="C44" s="233"/>
      <c r="D44" s="32" t="s">
        <v>29</v>
      </c>
      <c r="E44" s="52"/>
      <c r="F44" s="52"/>
      <c r="G44" s="77"/>
      <c r="H44" s="52"/>
      <c r="I44" s="52"/>
      <c r="J44" s="108"/>
      <c r="K44" s="108"/>
      <c r="L44" s="109"/>
      <c r="M44" s="52"/>
      <c r="N44" s="52"/>
      <c r="O44" s="110">
        <f>SUM(E44:N44)-J44</f>
        <v>0</v>
      </c>
      <c r="P44" s="50" t="str">
        <f t="shared" si="144"/>
        <v/>
      </c>
      <c r="Q44" s="52"/>
      <c r="R44" s="50" t="str">
        <f t="shared" si="145"/>
        <v/>
      </c>
      <c r="S44" s="52"/>
      <c r="T44" s="52"/>
      <c r="U44" s="149">
        <f t="shared" si="34"/>
        <v>0</v>
      </c>
      <c r="V44" s="150">
        <f t="shared" si="146"/>
        <v>0</v>
      </c>
      <c r="W44" s="50"/>
      <c r="X44" s="49" t="str">
        <f>IF(ISNA(INDEX('Conversion Factors'!$B$6:$B$370,MATCH('Aug 1 - Aug 15'!$Z$38:$Z$44,'Conversion Factors'!$A$6:$A$370,0))),"",INDEX('Conversion Factors'!$B$6:$B$370,MATCH('Aug 1 - Aug 15'!$Z$38:$Z$44,'Conversion Factors'!$A$6:$A$370,0)))</f>
        <v/>
      </c>
      <c r="Z44" s="17" t="b">
        <f t="shared" si="120"/>
        <v>0</v>
      </c>
      <c r="AA44" s="57" t="str">
        <f t="shared" si="121"/>
        <v/>
      </c>
      <c r="AB44" s="57" t="str">
        <f t="shared" si="122"/>
        <v/>
      </c>
      <c r="AH44" s="71">
        <f t="shared" si="123"/>
        <v>0</v>
      </c>
      <c r="AI44" s="68">
        <f>IF(AH44&gt;$AI$12,AH44-($AI$12+AI43+AI42+AI41+AI40+AI39+AI38+AI37),0)</f>
        <v>0</v>
      </c>
      <c r="AJ44" s="145" t="b">
        <f t="shared" si="124"/>
        <v>0</v>
      </c>
      <c r="AK44" s="151" t="b">
        <f t="shared" si="147"/>
        <v>0</v>
      </c>
      <c r="AM44" s="147">
        <f t="shared" si="125"/>
        <v>0</v>
      </c>
      <c r="AO44" s="163">
        <f t="shared" si="126"/>
        <v>0</v>
      </c>
      <c r="AP44" s="163">
        <f t="shared" si="127"/>
        <v>0</v>
      </c>
      <c r="AQ44" s="153">
        <f t="shared" si="128"/>
        <v>0</v>
      </c>
      <c r="AR44" s="163">
        <f t="shared" si="129"/>
        <v>0</v>
      </c>
      <c r="AS44" s="154">
        <f t="shared" si="130"/>
        <v>0</v>
      </c>
      <c r="AT44" s="154">
        <f t="shared" si="158"/>
        <v>40</v>
      </c>
      <c r="AU44" s="155">
        <f t="shared" si="149"/>
        <v>0</v>
      </c>
      <c r="AV44" s="156">
        <f t="shared" si="131"/>
        <v>0</v>
      </c>
      <c r="AW44" s="157">
        <f t="shared" si="150"/>
        <v>0</v>
      </c>
      <c r="AY44" s="157">
        <f t="shared" si="132"/>
        <v>0</v>
      </c>
      <c r="AZ44" s="152">
        <f t="shared" si="133"/>
        <v>0</v>
      </c>
      <c r="BA44" s="152">
        <f t="shared" si="134"/>
        <v>0</v>
      </c>
      <c r="BB44" s="158">
        <f t="shared" si="135"/>
        <v>0</v>
      </c>
      <c r="BC44" s="152">
        <f t="shared" si="136"/>
        <v>0</v>
      </c>
      <c r="BD44" s="154">
        <f t="shared" si="137"/>
        <v>0</v>
      </c>
      <c r="BE44" s="154">
        <f t="shared" si="154"/>
        <v>40</v>
      </c>
      <c r="BF44" s="159">
        <f t="shared" si="151"/>
        <v>0</v>
      </c>
      <c r="BG44" s="160"/>
      <c r="BH44" s="160">
        <f t="shared" si="155"/>
        <v>0</v>
      </c>
      <c r="BI44" s="161">
        <f t="shared" si="138"/>
        <v>40</v>
      </c>
      <c r="BJ44" s="161">
        <f t="shared" si="139"/>
        <v>0</v>
      </c>
      <c r="BK44" s="161">
        <f t="shared" si="140"/>
        <v>0</v>
      </c>
      <c r="BL44" s="161">
        <f>SUM(E38:E44)</f>
        <v>0</v>
      </c>
      <c r="BM44" s="160">
        <f t="shared" si="152"/>
        <v>0</v>
      </c>
      <c r="BN44" s="161">
        <f t="shared" si="156"/>
        <v>0</v>
      </c>
      <c r="BO44" s="161">
        <f t="shared" si="157"/>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59">SUM(F38:F44)</f>
        <v>0</v>
      </c>
      <c r="G45" s="76">
        <f t="shared" si="159"/>
        <v>0</v>
      </c>
      <c r="H45" s="34">
        <f t="shared" si="159"/>
        <v>0</v>
      </c>
      <c r="I45" s="34">
        <f t="shared" si="159"/>
        <v>0</v>
      </c>
      <c r="J45" s="74"/>
      <c r="K45" s="74">
        <f t="shared" si="159"/>
        <v>0</v>
      </c>
      <c r="L45" s="34">
        <f t="shared" si="159"/>
        <v>0</v>
      </c>
      <c r="M45" s="34">
        <f t="shared" si="159"/>
        <v>0</v>
      </c>
      <c r="N45" s="34">
        <f t="shared" si="159"/>
        <v>0</v>
      </c>
      <c r="O45" s="171">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0">(P21+P29+P37+P45)-P13</f>
        <v>0</v>
      </c>
      <c r="Q46" s="34">
        <f t="shared" si="160"/>
        <v>0</v>
      </c>
      <c r="R46" s="78">
        <f t="shared" si="160"/>
        <v>0</v>
      </c>
      <c r="S46" s="34">
        <f t="shared" si="160"/>
        <v>0</v>
      </c>
      <c r="T46" s="34">
        <f t="shared" si="160"/>
        <v>0</v>
      </c>
      <c r="U46" s="164">
        <f t="shared" si="160"/>
        <v>0</v>
      </c>
      <c r="V46" s="165">
        <f t="shared" si="160"/>
        <v>0</v>
      </c>
      <c r="W46" s="78">
        <f t="shared" si="160"/>
        <v>0</v>
      </c>
      <c r="X46" s="34">
        <f t="shared" si="160"/>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O48:W48"/>
    <mergeCell ref="O49:T49"/>
    <mergeCell ref="O50:W50"/>
    <mergeCell ref="K52:W54"/>
    <mergeCell ref="K55:W57"/>
    <mergeCell ref="I46:N46"/>
    <mergeCell ref="A35:C35"/>
    <mergeCell ref="A36:C36"/>
    <mergeCell ref="A37:C37"/>
    <mergeCell ref="A38:C38"/>
    <mergeCell ref="A39:C39"/>
    <mergeCell ref="A40:C40"/>
    <mergeCell ref="A41:C41"/>
    <mergeCell ref="A42:C42"/>
    <mergeCell ref="A43:C43"/>
    <mergeCell ref="A44:C44"/>
    <mergeCell ref="A45:C45"/>
    <mergeCell ref="A34:C34"/>
    <mergeCell ref="A23:C23"/>
    <mergeCell ref="A24:C24"/>
    <mergeCell ref="A25:C25"/>
    <mergeCell ref="A26:C26"/>
    <mergeCell ref="A27:C27"/>
    <mergeCell ref="A28:C28"/>
    <mergeCell ref="A29:C29"/>
    <mergeCell ref="A30:C30"/>
    <mergeCell ref="A31:C31"/>
    <mergeCell ref="A32:C32"/>
    <mergeCell ref="A33:C33"/>
    <mergeCell ref="A22:C22"/>
    <mergeCell ref="A12:C12"/>
    <mergeCell ref="AD12:AE12"/>
    <mergeCell ref="A13:D13"/>
    <mergeCell ref="A14:C14"/>
    <mergeCell ref="A15:C15"/>
    <mergeCell ref="A16:C16"/>
    <mergeCell ref="A17:C17"/>
    <mergeCell ref="A18:C18"/>
    <mergeCell ref="A19:C19"/>
    <mergeCell ref="A20:C20"/>
    <mergeCell ref="A21:C21"/>
    <mergeCell ref="AO11:AU11"/>
    <mergeCell ref="C7:H7"/>
    <mergeCell ref="I7:N7"/>
    <mergeCell ref="O7:T7"/>
    <mergeCell ref="C8:H8"/>
    <mergeCell ref="I8:N8"/>
    <mergeCell ref="O8:T8"/>
    <mergeCell ref="A11:D11"/>
    <mergeCell ref="E11:F11"/>
    <mergeCell ref="G11:R11"/>
    <mergeCell ref="S11:V11"/>
    <mergeCell ref="W11:X11"/>
    <mergeCell ref="A1:W1"/>
    <mergeCell ref="A2:W2"/>
    <mergeCell ref="A4:X4"/>
    <mergeCell ref="C6:H6"/>
    <mergeCell ref="I6:N6"/>
    <mergeCell ref="O6:T6"/>
  </mergeCells>
  <conditionalFormatting sqref="A23:C28 A29:D44 A14:D21">
    <cfRule type="cellIs" dxfId="392" priority="26" operator="equal">
      <formula>FALSE</formula>
    </cfRule>
  </conditionalFormatting>
  <conditionalFormatting sqref="A22:C22">
    <cfRule type="cellIs" dxfId="391" priority="25" operator="equal">
      <formula>FALSE</formula>
    </cfRule>
  </conditionalFormatting>
  <conditionalFormatting sqref="D22:D28">
    <cfRule type="cellIs" dxfId="390" priority="24" operator="equal">
      <formula>FALSE</formula>
    </cfRule>
  </conditionalFormatting>
  <conditionalFormatting sqref="Z22:Z28">
    <cfRule type="cellIs" dxfId="389" priority="23" operator="equal">
      <formula>FALSE</formula>
    </cfRule>
  </conditionalFormatting>
  <conditionalFormatting sqref="Z30:Z36">
    <cfRule type="cellIs" dxfId="388" priority="22" operator="equal">
      <formula>FALSE</formula>
    </cfRule>
  </conditionalFormatting>
  <conditionalFormatting sqref="X21 X29 X37">
    <cfRule type="containsErrors" dxfId="387" priority="21">
      <formula>ISERROR(X21)</formula>
    </cfRule>
  </conditionalFormatting>
  <conditionalFormatting sqref="Z39:Z44">
    <cfRule type="cellIs" dxfId="386" priority="19" operator="equal">
      <formula>FALSE</formula>
    </cfRule>
  </conditionalFormatting>
  <conditionalFormatting sqref="Z38">
    <cfRule type="cellIs" dxfId="385" priority="20" operator="equal">
      <formula>FALSE</formula>
    </cfRule>
  </conditionalFormatting>
  <conditionalFormatting sqref="W11:X11">
    <cfRule type="cellIs" dxfId="384" priority="18" operator="equal">
      <formula>"Please Select"</formula>
    </cfRule>
  </conditionalFormatting>
  <conditionalFormatting sqref="E11:F11">
    <cfRule type="containsBlanks" dxfId="383" priority="17">
      <formula>LEN(TRIM(E11))=0</formula>
    </cfRule>
  </conditionalFormatting>
  <conditionalFormatting sqref="U14:U46">
    <cfRule type="cellIs" dxfId="382" priority="16" operator="equal">
      <formula>FALSE</formula>
    </cfRule>
  </conditionalFormatting>
  <conditionalFormatting sqref="P26">
    <cfRule type="cellIs" dxfId="381" priority="15" operator="lessThan">
      <formula>$BQ$21</formula>
    </cfRule>
  </conditionalFormatting>
  <conditionalFormatting sqref="X14:X20">
    <cfRule type="containsErrors" dxfId="380" priority="5">
      <formula>ISERROR(X14)</formula>
    </cfRule>
  </conditionalFormatting>
  <conditionalFormatting sqref="X30:X36">
    <cfRule type="containsErrors" dxfId="379" priority="4">
      <formula>ISERROR(X30)</formula>
    </cfRule>
  </conditionalFormatting>
  <conditionalFormatting sqref="X38:X44">
    <cfRule type="containsErrors" dxfId="378" priority="3">
      <formula>ISERROR(X38)</formula>
    </cfRule>
  </conditionalFormatting>
  <conditionalFormatting sqref="X22">
    <cfRule type="containsErrors" dxfId="377" priority="2">
      <formula>ISERROR(X22)</formula>
    </cfRule>
  </conditionalFormatting>
  <conditionalFormatting sqref="X23:X28">
    <cfRule type="containsErrors" dxfId="376"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FC50DFA5-8E4C-42B2-98F3-5213439B6660}">
      <formula1>$AD$6:$AD$8</formula1>
    </dataValidation>
    <dataValidation allowBlank="1" showInputMessage="1" showErrorMessage="1" promptTitle="Hours Per Week" prompt="Please enter the number of hours you are scheduled to work each week.  (Example:  40)_x000a_" sqref="E11:F11" xr:uid="{EE836B65-253D-4245-B189-3C53A2AE365D}"/>
    <dataValidation allowBlank="1" showInputMessage="1" showErrorMessage="1" prompt="Enter your MSU ID into this field and it will populate to all the other time re[prts in this workbook." sqref="C6:H6" xr:uid="{1EE6DA30-F894-4060-81D1-47697B8FA338}"/>
    <dataValidation allowBlank="1" showInputMessage="1" showErrorMessage="1" prompt="Enter your Name into this field and it will populate to all the other time reports in this workbook." sqref="C7:H7" xr:uid="{88E91389-A1D7-4F38-9E85-50D19B25E2C3}"/>
    <dataValidation allowBlank="1" showInputMessage="1" showErrorMessage="1" prompt="Enter your Department Name into this field and it will populate to all the other time reports in this workbook." sqref="C8:H8" xr:uid="{783B1892-39C5-4EEB-8874-96B4777DAB14}"/>
  </dataValidations>
  <hyperlinks>
    <hyperlink ref="O49" r:id="rId1" xr:uid="{EA13F10B-5BD3-4160-A959-5EA3501EB4CC}"/>
    <hyperlink ref="O48:W48" r:id="rId2" display="Leave/Leave Without Pay Policy" xr:uid="{A4FCE17D-B3CD-451D-9D0A-7618153B967E}"/>
    <hyperlink ref="O50:W50" r:id="rId3" display="Time Sheet Definitions/Policies" xr:uid="{3262F17A-292F-4074-A743-08233C729215}"/>
    <hyperlink ref="O49:T49" r:id="rId4" display="Overtime/Compensatory Time" xr:uid="{31CA6E9E-1206-4EC4-8D62-03A3BF697BE3}"/>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9425F-F81E-45C3-98CB-4C58D126D51B}">
  <sheetPr codeName="Sheet10">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AA14" sqref="AA14"/>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Notes'!$A$5</f>
        <v>44424</v>
      </c>
      <c r="P6" s="265"/>
      <c r="Q6" s="265"/>
      <c r="R6" s="265"/>
      <c r="S6" s="265"/>
      <c r="T6" s="265"/>
      <c r="U6" s="53"/>
      <c r="V6" s="53"/>
      <c r="W6" s="24"/>
      <c r="X6" s="30"/>
      <c r="Z6" s="4" t="str">
        <f>TEXT(O6,"dddd")</f>
        <v>Monday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Notes'!$B$5</f>
        <v>44439</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Notes'!$C$5</f>
        <v>16</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8</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f>
        <v>0</v>
      </c>
      <c r="F13" s="86">
        <f>SUM(F14)</f>
        <v>0</v>
      </c>
      <c r="G13" s="86">
        <f t="shared" ref="G13:N13" si="0">SUM(G14)</f>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'Aug 1 - Aug 15'!E30</f>
        <v>0</v>
      </c>
      <c r="F14" s="182">
        <f>'Aug 1 - Aug 15'!F30</f>
        <v>0</v>
      </c>
      <c r="G14" s="184">
        <f>'Aug 1 - Aug 15'!G30</f>
        <v>0</v>
      </c>
      <c r="H14" s="182">
        <f>'Aug 1 - Aug 15'!H30</f>
        <v>0</v>
      </c>
      <c r="I14" s="182">
        <f>'Aug 1 - Aug 15'!I30</f>
        <v>0</v>
      </c>
      <c r="J14" s="185">
        <f>'Aug 1 - Aug 15'!J30</f>
        <v>0</v>
      </c>
      <c r="K14" s="185">
        <f>'Aug 1 - Aug 15'!K30</f>
        <v>0</v>
      </c>
      <c r="L14" s="182">
        <f>'Aug 1 - Aug 15'!L30</f>
        <v>0</v>
      </c>
      <c r="M14" s="182">
        <f>'Aug 1 - Aug 15'!M30</f>
        <v>0</v>
      </c>
      <c r="N14" s="182">
        <f>'Aug 1 - Aug 15'!N30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Factors'!$B$6:$B$371,MATCH('Aug 16 - Aug 31'!$Z$14:$Z$20,'Conversion Factors'!$A$6:$A$371,0))),"",INDEX('Conversion Factors'!$B$6:$B$371,MATCH('Aug 16 - Aug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f t="shared" ref="A15:A20" si="22">IF(EXACT(D15,$Z$6)=TRUE,$O$6,IF(A14=0,"",IF(A14&lt;$O$7,A14+1,IF(A14=$O$7,""))))</f>
        <v>44424</v>
      </c>
      <c r="B15" s="238"/>
      <c r="C15" s="239"/>
      <c r="D15" s="32" t="s">
        <v>24</v>
      </c>
      <c r="E15" s="176"/>
      <c r="F15" s="176"/>
      <c r="G15" s="177"/>
      <c r="H15" s="176"/>
      <c r="I15" s="176"/>
      <c r="J15" s="178"/>
      <c r="K15" s="178"/>
      <c r="L15" s="179"/>
      <c r="M15" s="176"/>
      <c r="N15" s="176"/>
      <c r="O15" s="197">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f>IF(ISNA(INDEX('Conversion Factors'!$B$6:$B$371,MATCH('Aug 16 - Aug 31'!$Z$14:$Z$20,'Conversion Factors'!$A$6:$A$371,0))),"",INDEX('Conversion Factors'!$B$6:$B$371,MATCH('Aug 16 - Aug 31'!$Z$14:$Z$20,'Conversion Factors'!$A$6:$A$371,0)))</f>
        <v>7.2229999999999999</v>
      </c>
      <c r="Z15" s="18">
        <f t="shared" si="1"/>
        <v>44424</v>
      </c>
      <c r="AA15" s="57" t="str">
        <f t="shared" si="2"/>
        <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44425</v>
      </c>
      <c r="B16" s="238"/>
      <c r="C16" s="239"/>
      <c r="D16" s="32" t="s">
        <v>25</v>
      </c>
      <c r="E16" s="176"/>
      <c r="F16" s="176"/>
      <c r="G16" s="177"/>
      <c r="H16" s="176"/>
      <c r="I16" s="176"/>
      <c r="J16" s="178"/>
      <c r="K16" s="178"/>
      <c r="L16" s="179"/>
      <c r="M16" s="176"/>
      <c r="N16" s="176"/>
      <c r="O16" s="197">
        <f t="shared" ref="O16:O19" si="34">SUM(E16:N16)-J16</f>
        <v>0</v>
      </c>
      <c r="P16" s="187" t="str">
        <f t="shared" si="23"/>
        <v/>
      </c>
      <c r="Q16" s="182"/>
      <c r="R16" s="50" t="str">
        <f t="shared" si="24"/>
        <v/>
      </c>
      <c r="S16" s="52"/>
      <c r="T16" s="52"/>
      <c r="U16" s="149">
        <f t="shared" ref="U16:U44" si="35">IF(BJ16&gt;0,BJ16,BN16)</f>
        <v>0</v>
      </c>
      <c r="V16" s="150">
        <f t="shared" si="25"/>
        <v>0</v>
      </c>
      <c r="W16" s="50"/>
      <c r="X16" s="49">
        <f>IF(ISNA(INDEX('Conversion Factors'!$B$6:$B$371,MATCH('Aug 16 - Aug 31'!$Z$14:$Z$20,'Conversion Factors'!$A$6:$A$371,0))),"",INDEX('Conversion Factors'!$B$6:$B$371,MATCH('Aug 16 - Aug 31'!$Z$14:$Z$20,'Conversion Factors'!$A$6:$A$371,0)))</f>
        <v>7.2229999999999999</v>
      </c>
      <c r="Z16" s="18">
        <f t="shared" si="1"/>
        <v>44425</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44426</v>
      </c>
      <c r="B17" s="238"/>
      <c r="C17" s="239"/>
      <c r="D17" s="32" t="s">
        <v>26</v>
      </c>
      <c r="E17" s="176"/>
      <c r="F17" s="176"/>
      <c r="G17" s="177"/>
      <c r="H17" s="176"/>
      <c r="I17" s="176"/>
      <c r="J17" s="178"/>
      <c r="K17" s="178"/>
      <c r="L17" s="179"/>
      <c r="M17" s="176"/>
      <c r="N17" s="176"/>
      <c r="O17" s="197">
        <f t="shared" si="34"/>
        <v>0</v>
      </c>
      <c r="P17" s="187" t="str">
        <f t="shared" si="23"/>
        <v/>
      </c>
      <c r="Q17" s="182"/>
      <c r="R17" s="50" t="str">
        <f t="shared" si="24"/>
        <v/>
      </c>
      <c r="S17" s="52"/>
      <c r="T17" s="52"/>
      <c r="U17" s="149">
        <f t="shared" si="35"/>
        <v>0</v>
      </c>
      <c r="V17" s="150">
        <f t="shared" si="25"/>
        <v>0</v>
      </c>
      <c r="W17" s="50"/>
      <c r="X17" s="49">
        <f>IF(ISNA(INDEX('Conversion Factors'!$B$6:$B$371,MATCH('Aug 16 - Aug 31'!$Z$14:$Z$20,'Conversion Factors'!$A$6:$A$371,0))),"",INDEX('Conversion Factors'!$B$6:$B$371,MATCH('Aug 16 - Aug 31'!$Z$14:$Z$20,'Conversion Factors'!$A$6:$A$371,0)))</f>
        <v>7.2229999999999999</v>
      </c>
      <c r="Z17" s="18">
        <f t="shared" si="1"/>
        <v>44426</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44427</v>
      </c>
      <c r="B18" s="238"/>
      <c r="C18" s="239"/>
      <c r="D18" s="32" t="s">
        <v>27</v>
      </c>
      <c r="E18" s="176"/>
      <c r="F18" s="176"/>
      <c r="G18" s="177"/>
      <c r="H18" s="176"/>
      <c r="I18" s="176"/>
      <c r="J18" s="178"/>
      <c r="K18" s="178"/>
      <c r="L18" s="179"/>
      <c r="M18" s="176"/>
      <c r="N18" s="176"/>
      <c r="O18" s="197">
        <f t="shared" si="34"/>
        <v>0</v>
      </c>
      <c r="P18" s="187" t="str">
        <f t="shared" si="23"/>
        <v/>
      </c>
      <c r="Q18" s="182"/>
      <c r="R18" s="50" t="str">
        <f t="shared" si="24"/>
        <v/>
      </c>
      <c r="S18" s="52"/>
      <c r="T18" s="52"/>
      <c r="U18" s="149">
        <f t="shared" si="35"/>
        <v>0</v>
      </c>
      <c r="V18" s="150">
        <f t="shared" si="25"/>
        <v>0</v>
      </c>
      <c r="W18" s="50"/>
      <c r="X18" s="49">
        <f>IF(ISNA(INDEX('Conversion Factors'!$B$6:$B$371,MATCH('Aug 16 - Aug 31'!$Z$14:$Z$20,'Conversion Factors'!$A$6:$A$371,0))),"",INDEX('Conversion Factors'!$B$6:$B$371,MATCH('Aug 16 - Aug 31'!$Z$14:$Z$20,'Conversion Factors'!$A$6:$A$371,0)))</f>
        <v>7.2229999999999999</v>
      </c>
      <c r="Z18" s="18">
        <f t="shared" si="1"/>
        <v>44427</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44428</v>
      </c>
      <c r="B19" s="238"/>
      <c r="C19" s="239"/>
      <c r="D19" s="32" t="s">
        <v>28</v>
      </c>
      <c r="E19" s="176"/>
      <c r="F19" s="176"/>
      <c r="G19" s="177"/>
      <c r="H19" s="176"/>
      <c r="I19" s="176"/>
      <c r="J19" s="178"/>
      <c r="K19" s="178"/>
      <c r="L19" s="179"/>
      <c r="M19" s="176"/>
      <c r="N19" s="176"/>
      <c r="O19" s="197">
        <f t="shared" si="34"/>
        <v>0</v>
      </c>
      <c r="P19" s="50" t="str">
        <f t="shared" si="23"/>
        <v/>
      </c>
      <c r="Q19" s="51"/>
      <c r="R19" s="50" t="str">
        <f t="shared" si="24"/>
        <v/>
      </c>
      <c r="S19" s="52"/>
      <c r="T19" s="52"/>
      <c r="U19" s="149">
        <f t="shared" si="35"/>
        <v>0</v>
      </c>
      <c r="V19" s="150">
        <f t="shared" si="25"/>
        <v>0</v>
      </c>
      <c r="W19" s="50"/>
      <c r="X19" s="49">
        <f>IF(ISNA(INDEX('Conversion Factors'!$B$6:$B$371,MATCH('Aug 16 - Aug 31'!$Z$14:$Z$20,'Conversion Factors'!$A$6:$A$371,0))),"",INDEX('Conversion Factors'!$B$6:$B$371,MATCH('Aug 16 - Aug 31'!$Z$14:$Z$20,'Conversion Factors'!$A$6:$A$371,0)))</f>
        <v>7.2229999999999999</v>
      </c>
      <c r="Z19" s="18">
        <f t="shared" si="1"/>
        <v>44428</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44429</v>
      </c>
      <c r="B20" s="238"/>
      <c r="C20" s="239"/>
      <c r="D20" s="32" t="s">
        <v>29</v>
      </c>
      <c r="E20" s="176"/>
      <c r="F20" s="176"/>
      <c r="G20" s="177"/>
      <c r="H20" s="176"/>
      <c r="I20" s="176"/>
      <c r="J20" s="178"/>
      <c r="K20" s="178"/>
      <c r="L20" s="179"/>
      <c r="M20" s="176"/>
      <c r="N20" s="176"/>
      <c r="O20" s="197">
        <f>SUM(E20:N20)-J20</f>
        <v>0</v>
      </c>
      <c r="P20" s="50" t="str">
        <f t="shared" si="23"/>
        <v/>
      </c>
      <c r="Q20" s="52"/>
      <c r="R20" s="50" t="str">
        <f t="shared" si="24"/>
        <v/>
      </c>
      <c r="S20" s="52"/>
      <c r="T20" s="52"/>
      <c r="U20" s="149">
        <f t="shared" si="35"/>
        <v>0</v>
      </c>
      <c r="V20" s="150">
        <f t="shared" si="25"/>
        <v>0</v>
      </c>
      <c r="W20" s="50"/>
      <c r="X20" s="49">
        <f>IF(ISNA(INDEX('Conversion Factors'!$B$6:$B$371,MATCH('Aug 16 - Aug 31'!$Z$14:$Z$20,'Conversion Factors'!$A$6:$A$371,0))),"",INDEX('Conversion Factors'!$B$6:$B$371,MATCH('Aug 16 - Aug 31'!$Z$14:$Z$20,'Conversion Factors'!$A$6:$A$371,0)))</f>
        <v>7.2229999999999999</v>
      </c>
      <c r="Z20" s="18">
        <f t="shared" si="1"/>
        <v>44429</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8</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8</v>
      </c>
    </row>
    <row r="22" spans="1:69" ht="15" customHeight="1" thickTop="1">
      <c r="A22" s="237">
        <f>IF(A20=0,"",IF(A20&lt;$O$7,A20+1,IF(A20=$O$7,"")))</f>
        <v>44430</v>
      </c>
      <c r="B22" s="238"/>
      <c r="C22" s="239"/>
      <c r="D22" s="32" t="s">
        <v>23</v>
      </c>
      <c r="E22" s="51"/>
      <c r="F22" s="51"/>
      <c r="G22" s="112"/>
      <c r="H22" s="51"/>
      <c r="I22" s="51"/>
      <c r="J22" s="113"/>
      <c r="K22" s="113"/>
      <c r="L22" s="114"/>
      <c r="M22" s="51"/>
      <c r="N22" s="51"/>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Factors'!$B$6:$B$371,MATCH('Aug 16 - Aug 31'!$Z$22:$Z$28,'Conversion Factors'!$A$6:$A$371,0))),"",INDEX('Conversion Factors'!$B$6:$B$371,MATCH('Aug 16 - Aug 31'!$Z$22:$Z$28,'Conversion Factors'!$A$6:$A$371,0)))</f>
        <v>7.2229999999999999</v>
      </c>
      <c r="Z22" s="17">
        <f t="shared" ref="Z22:Z28" si="42">A22</f>
        <v>44430</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44431</v>
      </c>
      <c r="B23" s="226"/>
      <c r="C23" s="227"/>
      <c r="D23" s="32" t="s">
        <v>24</v>
      </c>
      <c r="E23" s="51"/>
      <c r="F23" s="51"/>
      <c r="G23" s="112"/>
      <c r="H23" s="51"/>
      <c r="I23" s="51"/>
      <c r="J23" s="113"/>
      <c r="K23" s="113"/>
      <c r="L23" s="114"/>
      <c r="M23" s="51"/>
      <c r="N23" s="51"/>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Factors'!$B$6:$B$371,MATCH('Aug 16 - Aug 31'!$Z$22:$Z$28,'Conversion Factors'!$A$6:$A$371,0))),"",INDEX('Conversion Factors'!$B$6:$B$371,MATCH('Aug 16 - Aug 31'!$Z$22:$Z$28,'Conversion Factors'!$A$6:$A$371,0)))</f>
        <v>7.2229999999999999</v>
      </c>
      <c r="Z23" s="17">
        <f t="shared" si="42"/>
        <v>44431</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44432</v>
      </c>
      <c r="B24" s="226"/>
      <c r="C24" s="227"/>
      <c r="D24" s="32" t="s">
        <v>25</v>
      </c>
      <c r="E24" s="51"/>
      <c r="F24" s="51"/>
      <c r="G24" s="112"/>
      <c r="H24" s="51"/>
      <c r="I24" s="51"/>
      <c r="J24" s="113"/>
      <c r="K24" s="113"/>
      <c r="L24" s="114"/>
      <c r="M24" s="51"/>
      <c r="N24" s="51"/>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Factors'!$B$6:$B$371,MATCH('Aug 16 - Aug 31'!$Z$22:$Z$28,'Conversion Factors'!$A$6:$A$371,0))),"",INDEX('Conversion Factors'!$B$6:$B$371,MATCH('Aug 16 - Aug 31'!$Z$22:$Z$28,'Conversion Factors'!$A$6:$A$371,0)))</f>
        <v>7.2229999999999999</v>
      </c>
      <c r="Z24" s="17">
        <f t="shared" si="42"/>
        <v>44432</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44433</v>
      </c>
      <c r="B25" s="226"/>
      <c r="C25" s="227"/>
      <c r="D25" s="32" t="s">
        <v>26</v>
      </c>
      <c r="E25" s="51"/>
      <c r="F25" s="51"/>
      <c r="G25" s="112"/>
      <c r="H25" s="51"/>
      <c r="I25" s="51"/>
      <c r="J25" s="113"/>
      <c r="K25" s="113"/>
      <c r="L25" s="114"/>
      <c r="M25" s="51"/>
      <c r="N25" s="51"/>
      <c r="O25" s="110">
        <f t="shared" si="74"/>
        <v>0</v>
      </c>
      <c r="P25" s="50" t="str">
        <f t="shared" si="65"/>
        <v/>
      </c>
      <c r="Q25" s="51"/>
      <c r="R25" s="50" t="str">
        <f t="shared" si="66"/>
        <v/>
      </c>
      <c r="S25" s="52"/>
      <c r="T25" s="52"/>
      <c r="U25" s="149">
        <f t="shared" si="35"/>
        <v>0</v>
      </c>
      <c r="V25" s="150">
        <f t="shared" si="67"/>
        <v>0</v>
      </c>
      <c r="W25" s="50"/>
      <c r="X25" s="49">
        <f>IF(ISNA(INDEX('Conversion Factors'!$B$6:$B$371,MATCH('Aug 16 - Aug 31'!$Z$22:$Z$28,'Conversion Factors'!$A$6:$A$371,0))),"",INDEX('Conversion Factors'!$B$6:$B$371,MATCH('Aug 16 - Aug 31'!$Z$22:$Z$28,'Conversion Factors'!$A$6:$A$371,0)))</f>
        <v>7.2229999999999999</v>
      </c>
      <c r="Z25" s="17">
        <f t="shared" si="42"/>
        <v>44433</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44434</v>
      </c>
      <c r="B26" s="226"/>
      <c r="C26" s="227"/>
      <c r="D26" s="32" t="s">
        <v>27</v>
      </c>
      <c r="E26" s="51"/>
      <c r="F26" s="51"/>
      <c r="G26" s="112"/>
      <c r="H26" s="51"/>
      <c r="I26" s="51"/>
      <c r="J26" s="113"/>
      <c r="K26" s="113"/>
      <c r="L26" s="114"/>
      <c r="M26" s="51"/>
      <c r="N26" s="51"/>
      <c r="O26" s="110">
        <f t="shared" si="74"/>
        <v>0</v>
      </c>
      <c r="P26" s="50" t="str">
        <f t="shared" si="65"/>
        <v/>
      </c>
      <c r="Q26" s="51"/>
      <c r="R26" s="50" t="str">
        <f t="shared" si="66"/>
        <v/>
      </c>
      <c r="S26" s="52"/>
      <c r="T26" s="52"/>
      <c r="U26" s="149">
        <f t="shared" si="35"/>
        <v>0</v>
      </c>
      <c r="V26" s="150">
        <f t="shared" si="67"/>
        <v>0</v>
      </c>
      <c r="W26" s="50"/>
      <c r="X26" s="49">
        <f>IF(ISNA(INDEX('Conversion Factors'!$B$6:$B$371,MATCH('Aug 16 - Aug 31'!$Z$22:$Z$28,'Conversion Factors'!$A$6:$A$371,0))),"",INDEX('Conversion Factors'!$B$6:$B$371,MATCH('Aug 16 - Aug 31'!$Z$22:$Z$28,'Conversion Factors'!$A$6:$A$371,0)))</f>
        <v>7.2229999999999999</v>
      </c>
      <c r="Z26" s="17">
        <f t="shared" si="42"/>
        <v>44434</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44435</v>
      </c>
      <c r="B27" s="226"/>
      <c r="C27" s="227"/>
      <c r="D27" s="32" t="s">
        <v>28</v>
      </c>
      <c r="E27" s="51"/>
      <c r="F27" s="51"/>
      <c r="G27" s="112"/>
      <c r="H27" s="51"/>
      <c r="I27" s="51"/>
      <c r="J27" s="113"/>
      <c r="K27" s="113"/>
      <c r="L27" s="114"/>
      <c r="M27" s="51"/>
      <c r="N27" s="51"/>
      <c r="O27" s="110">
        <f t="shared" si="74"/>
        <v>0</v>
      </c>
      <c r="P27" s="50" t="str">
        <f t="shared" si="65"/>
        <v/>
      </c>
      <c r="Q27" s="51"/>
      <c r="R27" s="50" t="str">
        <f t="shared" si="66"/>
        <v/>
      </c>
      <c r="S27" s="52"/>
      <c r="T27" s="52"/>
      <c r="U27" s="149">
        <f t="shared" si="35"/>
        <v>0</v>
      </c>
      <c r="V27" s="150">
        <f t="shared" si="67"/>
        <v>0</v>
      </c>
      <c r="W27" s="50"/>
      <c r="X27" s="49">
        <f>IF(ISNA(INDEX('Conversion Factors'!$B$6:$B$371,MATCH('Aug 16 - Aug 31'!$Z$22:$Z$28,'Conversion Factors'!$A$6:$A$371,0))),"",INDEX('Conversion Factors'!$B$6:$B$371,MATCH('Aug 16 - Aug 31'!$Z$22:$Z$28,'Conversion Factors'!$A$6:$A$371,0)))</f>
        <v>7.2229999999999999</v>
      </c>
      <c r="Z27" s="17">
        <f t="shared" si="42"/>
        <v>44435</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44436</v>
      </c>
      <c r="B28" s="226"/>
      <c r="C28" s="227"/>
      <c r="D28" s="32" t="s">
        <v>29</v>
      </c>
      <c r="E28" s="51"/>
      <c r="F28" s="51"/>
      <c r="G28" s="112"/>
      <c r="H28" s="51"/>
      <c r="I28" s="51"/>
      <c r="J28" s="113"/>
      <c r="K28" s="113"/>
      <c r="L28" s="114"/>
      <c r="M28" s="51"/>
      <c r="N28" s="51"/>
      <c r="O28" s="110">
        <f>SUM(E28:N28)-J28</f>
        <v>0</v>
      </c>
      <c r="P28" s="50" t="str">
        <f t="shared" si="65"/>
        <v/>
      </c>
      <c r="Q28" s="52"/>
      <c r="R28" s="50" t="str">
        <f t="shared" si="66"/>
        <v/>
      </c>
      <c r="S28" s="52"/>
      <c r="T28" s="52"/>
      <c r="U28" s="149">
        <f t="shared" si="35"/>
        <v>0</v>
      </c>
      <c r="V28" s="150">
        <f t="shared" si="67"/>
        <v>0</v>
      </c>
      <c r="W28" s="50"/>
      <c r="X28" s="49">
        <f>IF(ISNA(INDEX('Conversion Factors'!$B$6:$B$371,MATCH('Aug 16 - Aug 31'!$Z$22:$Z$28,'Conversion Factors'!$A$6:$A$371,0))),"",INDEX('Conversion Factors'!$B$6:$B$371,MATCH('Aug 16 - Aug 31'!$Z$22:$Z$28,'Conversion Factors'!$A$6:$A$371,0)))</f>
        <v>7.2229999999999999</v>
      </c>
      <c r="Z28" s="17">
        <f t="shared" si="42"/>
        <v>44436</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8</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8</v>
      </c>
    </row>
    <row r="30" spans="1:69" ht="15" customHeight="1" thickTop="1">
      <c r="A30" s="225">
        <f>IF(A28&lt;$O$7,A28+1,IF(A28=$O$7,""))</f>
        <v>44437</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Factors'!$B$6:$B$370,MATCH('Aug 16 - Aug 31'!$Z$30:$Z$36,'Conversion Factors'!$A$6:$A$370,0))),"",INDEX('Conversion Factors'!$B$6:$B$370,MATCH('Aug 16 - Aug 31'!$Z$30:$Z$36,'Conversion Factors'!$A$6:$A$370,0)))</f>
        <v>7.2229999999999999</v>
      </c>
      <c r="Z30" s="17">
        <f t="shared" ref="Z30:Z36" si="81">A30</f>
        <v>44437</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44438</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Factors'!$B$6:$B$370,MATCH('Aug 16 - Aug 31'!$Z$30:$Z$36,'Conversion Factors'!$A$6:$A$370,0))),"",INDEX('Conversion Factors'!$B$6:$B$370,MATCH('Aug 16 - Aug 31'!$Z$30:$Z$36,'Conversion Factors'!$A$6:$A$370,0)))</f>
        <v>7.2229999999999999</v>
      </c>
      <c r="Z31" s="17">
        <f t="shared" si="81"/>
        <v>44438</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44439</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Factors'!$B$6:$B$370,MATCH('Aug 16 - Aug 31'!$Z$30:$Z$36,'Conversion Factors'!$A$6:$A$370,0))),"",INDEX('Conversion Factors'!$B$6:$B$370,MATCH('Aug 16 - Aug 31'!$Z$30:$Z$36,'Conversion Factors'!$A$6:$A$370,0)))</f>
        <v>7.2229999999999999</v>
      </c>
      <c r="Z32" s="17">
        <f t="shared" si="81"/>
        <v>44439</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str">
        <f t="shared" si="104"/>
        <v/>
      </c>
      <c r="B33" s="226"/>
      <c r="C33" s="227"/>
      <c r="D33" s="32" t="s">
        <v>26</v>
      </c>
      <c r="E33" s="52"/>
      <c r="F33" s="52"/>
      <c r="G33" s="77"/>
      <c r="H33" s="52"/>
      <c r="I33" s="52"/>
      <c r="J33" s="108"/>
      <c r="K33" s="108"/>
      <c r="L33" s="109"/>
      <c r="M33" s="52"/>
      <c r="N33" s="52"/>
      <c r="O33" s="110">
        <f t="shared" si="105"/>
        <v>0</v>
      </c>
      <c r="P33" s="50" t="str">
        <f t="shared" si="106"/>
        <v/>
      </c>
      <c r="Q33" s="51"/>
      <c r="R33" s="50" t="str">
        <f t="shared" si="107"/>
        <v/>
      </c>
      <c r="S33" s="52"/>
      <c r="T33" s="52"/>
      <c r="U33" s="149">
        <f t="shared" si="35"/>
        <v>0</v>
      </c>
      <c r="V33" s="150">
        <f t="shared" si="108"/>
        <v>0</v>
      </c>
      <c r="W33" s="50"/>
      <c r="X33" s="49" t="str">
        <f>IF(ISNA(INDEX('Conversion Factors'!$B$6:$B$370,MATCH('Aug 16 - Aug 31'!$Z$30:$Z$36,'Conversion Factors'!$A$6:$A$370,0))),"",INDEX('Conversion Factors'!$B$6:$B$370,MATCH('Aug 16 - Aug 31'!$Z$30:$Z$36,'Conversion Factors'!$A$6:$A$370,0)))</f>
        <v/>
      </c>
      <c r="Z33" s="17" t="str">
        <f t="shared" si="81"/>
        <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52"/>
      <c r="F34" s="52"/>
      <c r="G34" s="77"/>
      <c r="H34" s="52"/>
      <c r="I34" s="52"/>
      <c r="J34" s="108"/>
      <c r="K34" s="108"/>
      <c r="L34" s="109"/>
      <c r="M34" s="52"/>
      <c r="N34" s="52"/>
      <c r="O34" s="110">
        <f t="shared" si="105"/>
        <v>0</v>
      </c>
      <c r="P34" s="50" t="str">
        <f t="shared" si="106"/>
        <v/>
      </c>
      <c r="Q34" s="51"/>
      <c r="R34" s="50" t="str">
        <f t="shared" si="107"/>
        <v/>
      </c>
      <c r="S34" s="52"/>
      <c r="T34" s="52"/>
      <c r="U34" s="149">
        <f t="shared" si="35"/>
        <v>0</v>
      </c>
      <c r="V34" s="150">
        <f t="shared" si="108"/>
        <v>0</v>
      </c>
      <c r="W34" s="50"/>
      <c r="X34" s="49" t="str">
        <f>IF(ISNA(INDEX('Conversion Factors'!$B$6:$B$370,MATCH('Aug 16 - Aug 31'!$Z$30:$Z$36,'Conversion Factors'!$A$6:$A$370,0))),"",INDEX('Conversion Factors'!$B$6:$B$370,MATCH('Aug 16 - Aug 31'!$Z$30:$Z$36,'Conversion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1"/>
      <c r="R35" s="50" t="str">
        <f t="shared" si="107"/>
        <v/>
      </c>
      <c r="S35" s="52"/>
      <c r="T35" s="52"/>
      <c r="U35" s="149">
        <f t="shared" si="35"/>
        <v>0</v>
      </c>
      <c r="V35" s="150">
        <f t="shared" si="108"/>
        <v>0</v>
      </c>
      <c r="W35" s="50"/>
      <c r="X35" s="49" t="str">
        <f>IF(ISNA(INDEX('Conversion Factors'!$B$6:$B$370,MATCH('Aug 16 - Aug 31'!$Z$30:$Z$36,'Conversion Factors'!$A$6:$A$370,0))),"",INDEX('Conversion Factors'!$B$6:$B$370,MATCH('Aug 16 - Aug 31'!$Z$30:$Z$36,'Conversion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Factors'!$B$6:$B$370,MATCH('Aug 16 - Aug 31'!$Z$30:$Z$36,'Conversion Factors'!$A$6:$A$370,0))),"",INDEX('Conversion Factors'!$B$6:$B$370,MATCH('Aug 16 - Aug 31'!$Z$30:$Z$36,'Conversion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8</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8</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Factors'!$B$6:$B$370,MATCH('Aug 16 - Aug 31'!$Z$38:$Z$44,'Conversion Factors'!$A$6:$A$370,0))),"",INDEX('Conversion Factors'!$B$6:$B$370,MATCH('Aug 16 - Aug 31'!$Z$38:$Z$44,'Conversion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Factors'!$B$6:$B$370,MATCH('Aug 16 - Aug 31'!$Z$38:$Z$44,'Conversion Factors'!$A$6:$A$370,0))),"",INDEX('Conversion Factors'!$B$6:$B$370,MATCH('Aug 16 - Aug 31'!$Z$38:$Z$44,'Conversion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Factors'!$B$6:$B$370,MATCH('Aug 16 - Aug 31'!$Z$38:$Z$44,'Conversion Factors'!$A$6:$A$370,0))),"",INDEX('Conversion Factors'!$B$6:$B$370,MATCH('Aug 16 - Aug 31'!$Z$38:$Z$44,'Conversion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Factors'!$B$6:$B$370,MATCH('Aug 16 - Aug 31'!$Z$38:$Z$44,'Conversion Factors'!$A$6:$A$370,0))),"",INDEX('Conversion Factors'!$B$6:$B$370,MATCH('Aug 16 - Aug 31'!$Z$38:$Z$44,'Conversion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Factors'!$B$6:$B$370,MATCH('Aug 16 - Aug 31'!$Z$38:$Z$44,'Conversion Factors'!$A$6:$A$370,0))),"",INDEX('Conversion Factors'!$B$6:$B$370,MATCH('Aug 16 - Aug 31'!$Z$38:$Z$44,'Conversion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Factors'!$B$6:$B$370,MATCH('Aug 16 - Aug 31'!$Z$38:$Z$44,'Conversion Factors'!$A$6:$A$370,0))),"",INDEX('Conversion Factors'!$B$6:$B$370,MATCH('Aug 16 - Aug 31'!$Z$38:$Z$44,'Conversion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Factors'!$B$6:$B$370,MATCH('Aug 16 - Aug 31'!$Z$38:$Z$44,'Conversion Factors'!$A$6:$A$370,0))),"",INDEX('Conversion Factors'!$B$6:$B$370,MATCH('Aug 16 - Aug 31'!$Z$38:$Z$44,'Conversion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8</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8</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75" priority="18" operator="equal">
      <formula>FALSE</formula>
    </cfRule>
  </conditionalFormatting>
  <conditionalFormatting sqref="A22:C22">
    <cfRule type="cellIs" dxfId="374" priority="17" operator="equal">
      <formula>FALSE</formula>
    </cfRule>
  </conditionalFormatting>
  <conditionalFormatting sqref="D22:D28">
    <cfRule type="cellIs" dxfId="373" priority="16" operator="equal">
      <formula>FALSE</formula>
    </cfRule>
  </conditionalFormatting>
  <conditionalFormatting sqref="Z22:Z28">
    <cfRule type="cellIs" dxfId="372" priority="15" operator="equal">
      <formula>FALSE</formula>
    </cfRule>
  </conditionalFormatting>
  <conditionalFormatting sqref="Z30:Z36">
    <cfRule type="cellIs" dxfId="371" priority="14" operator="equal">
      <formula>FALSE</formula>
    </cfRule>
  </conditionalFormatting>
  <conditionalFormatting sqref="X21 X29 X37">
    <cfRule type="containsErrors" dxfId="370" priority="13">
      <formula>ISERROR(X21)</formula>
    </cfRule>
  </conditionalFormatting>
  <conditionalFormatting sqref="Z39:Z44">
    <cfRule type="cellIs" dxfId="369" priority="11" operator="equal">
      <formula>FALSE</formula>
    </cfRule>
  </conditionalFormatting>
  <conditionalFormatting sqref="Z38">
    <cfRule type="cellIs" dxfId="368" priority="12" operator="equal">
      <formula>FALSE</formula>
    </cfRule>
  </conditionalFormatting>
  <conditionalFormatting sqref="W11:X11">
    <cfRule type="cellIs" dxfId="367" priority="10" operator="equal">
      <formula>"Please Select"</formula>
    </cfRule>
  </conditionalFormatting>
  <conditionalFormatting sqref="E11:F11">
    <cfRule type="containsBlanks" dxfId="366" priority="9">
      <formula>LEN(TRIM(E11))=0</formula>
    </cfRule>
  </conditionalFormatting>
  <conditionalFormatting sqref="U14:U46">
    <cfRule type="cellIs" dxfId="365" priority="8" operator="equal">
      <formula>FALSE</formula>
    </cfRule>
  </conditionalFormatting>
  <conditionalFormatting sqref="P26">
    <cfRule type="cellIs" dxfId="364" priority="7" operator="lessThan">
      <formula>$BQ$21</formula>
    </cfRule>
  </conditionalFormatting>
  <conditionalFormatting sqref="X14:X20">
    <cfRule type="containsErrors" dxfId="363" priority="5">
      <formula>ISERROR(X14)</formula>
    </cfRule>
  </conditionalFormatting>
  <conditionalFormatting sqref="X30:X36">
    <cfRule type="containsErrors" dxfId="362" priority="4">
      <formula>ISERROR(X30)</formula>
    </cfRule>
  </conditionalFormatting>
  <conditionalFormatting sqref="X38:X44">
    <cfRule type="containsErrors" dxfId="361" priority="3">
      <formula>ISERROR(X38)</formula>
    </cfRule>
  </conditionalFormatting>
  <conditionalFormatting sqref="X22">
    <cfRule type="containsErrors" dxfId="360" priority="2">
      <formula>ISERROR(X22)</formula>
    </cfRule>
  </conditionalFormatting>
  <conditionalFormatting sqref="X23:X28">
    <cfRule type="containsErrors" dxfId="359"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A7842DA0-D932-497E-A26C-05B3D95C8D62}"/>
    <dataValidation allowBlank="1" showInputMessage="1" showErrorMessage="1" prompt="Enter your Name into this field and it will populate to all the other time reports in this workbook." sqref="C7:H7" xr:uid="{5957D05C-E524-47FB-BF98-C8A709DB2D08}"/>
    <dataValidation allowBlank="1" showInputMessage="1" showErrorMessage="1" prompt="Enter your MSU ID into this field and it will populate to all the other time re[prts in this workbook." sqref="C6:H6" xr:uid="{A846497B-791B-41F3-9107-11DEFAEB00D9}"/>
    <dataValidation allowBlank="1" showInputMessage="1" showErrorMessage="1" promptTitle="Hours Per Week" prompt="Please enter the number of hours you are scheduled to work each week.  (Example:  40)_x000a_" sqref="E11:F11" xr:uid="{29653B92-0D8E-4885-80A9-DC695ACBA98C}"/>
    <dataValidation type="list" allowBlank="1" showInputMessage="1" showErrorMessage="1" promptTitle="Compensatory Time" prompt="Please select &quot;No&quot; if you are not receiving Compensatory time or &quot;Yes&quot; if you are receiving compensatory time." sqref="W11:X11" xr:uid="{7AD984E4-A842-464F-A1C8-1F0C5BC241FE}">
      <formula1>$AD$6:$AD$8</formula1>
    </dataValidation>
  </dataValidations>
  <hyperlinks>
    <hyperlink ref="O49" r:id="rId1" xr:uid="{47F492B4-1429-4CBE-85FB-574CA7190692}"/>
    <hyperlink ref="O48:W48" r:id="rId2" display="Leave/Leave Without Pay Policy" xr:uid="{0F23360D-BF45-4249-AEDD-D55F4CF70DAE}"/>
    <hyperlink ref="O50:W50" r:id="rId3" display="Time Sheet Definitions/Policies" xr:uid="{CD45088A-3112-4FE2-BF87-726F7567A36A}"/>
    <hyperlink ref="O49:T49" r:id="rId4" display="Overtime/Compensatory Time" xr:uid="{8D53FED5-E306-4B3D-BCB7-6116FA8D9D9A}"/>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F4749-7F17-42EA-8377-4DC5DAD124D2}">
  <sheetPr codeName="Sheet11">
    <tabColor theme="4" tint="0.79998168889431442"/>
  </sheetPr>
  <dimension ref="A1:BQ57"/>
  <sheetViews>
    <sheetView showGridLines="0" showZeros="0" zoomScaleNormal="100" workbookViewId="0">
      <pane ySplit="13" topLeftCell="A27"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Notes'!$A$6</f>
        <v>44440</v>
      </c>
      <c r="P6" s="265"/>
      <c r="Q6" s="265"/>
      <c r="R6" s="265"/>
      <c r="S6" s="265"/>
      <c r="T6" s="265"/>
      <c r="U6" s="53"/>
      <c r="V6" s="53"/>
      <c r="W6" s="24"/>
      <c r="X6" s="30"/>
      <c r="Z6" s="4" t="str">
        <f>TEXT(O6,"dddd")</f>
        <v>Wednesday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Notes'!$B$6</f>
        <v>44454</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Notes'!$C$6</f>
        <v>17</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8</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SUM(E14:E16)</f>
        <v>0</v>
      </c>
      <c r="F13" s="86">
        <f t="shared" ref="F13:N13" si="0">SUM(F14:F16)</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'Aug 16 - Aug 31'!E30</f>
        <v>0</v>
      </c>
      <c r="F14" s="182">
        <f>'Aug 16 - Aug 31'!F30</f>
        <v>0</v>
      </c>
      <c r="G14" s="184">
        <f>'Aug 16 - Aug 31'!G30</f>
        <v>0</v>
      </c>
      <c r="H14" s="182">
        <f>'Aug 16 - Aug 31'!H30</f>
        <v>0</v>
      </c>
      <c r="I14" s="182">
        <f>'Aug 16 - Aug 31'!I30</f>
        <v>0</v>
      </c>
      <c r="J14" s="185">
        <f>'Aug 16 - Aug 31'!J30</f>
        <v>0</v>
      </c>
      <c r="K14" s="185">
        <f>'Aug 16 - Aug 31'!K30</f>
        <v>0</v>
      </c>
      <c r="L14" s="186">
        <f>'Aug 16 - Aug 31'!L30</f>
        <v>0</v>
      </c>
      <c r="M14" s="182">
        <f>'Aug 16 - Aug 31'!M30</f>
        <v>0</v>
      </c>
      <c r="N14" s="182">
        <f>'Aug 16 - Aug 31'!N30</f>
        <v>0</v>
      </c>
      <c r="O14" s="183">
        <f>SUM(E14:N14)-J14</f>
        <v>0</v>
      </c>
      <c r="P14" s="50" t="str">
        <f>IF(AND(ISNUMBER(AA14),ISNUMBER(X14)),AA14*X14,"")</f>
        <v/>
      </c>
      <c r="Q14" s="52"/>
      <c r="R14" s="50" t="str">
        <f>IF(AND(ISNUMBER(AB14),ISNUMBER(X14)),AB14*X14,"")</f>
        <v/>
      </c>
      <c r="S14" s="52"/>
      <c r="T14" s="52"/>
      <c r="U14" s="149">
        <f>IF(BJ14&gt;0,BJ14,BN14)</f>
        <v>0</v>
      </c>
      <c r="V14" s="150">
        <f>IF(BK14&gt;0,BK14,0)</f>
        <v>0</v>
      </c>
      <c r="W14" s="50"/>
      <c r="X14" s="49" t="str">
        <f>IF(ISNA(INDEX('Conversion Factors'!$B$6:$B$371,MATCH('Sept 1 - Sept 15'!$Z$14:$Z$20,'Conversion Factors'!$A$6:$A$371,0))),"",INDEX('Conversion Factors'!$B$6:$B$371,MATCH('Sept 1 - Sept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'Aug 16 - Aug 31'!E31</f>
        <v>0</v>
      </c>
      <c r="F15" s="182">
        <f>'Aug 16 - Aug 31'!F31</f>
        <v>0</v>
      </c>
      <c r="G15" s="184">
        <f>'Aug 16 - Aug 31'!G31</f>
        <v>0</v>
      </c>
      <c r="H15" s="182">
        <f>'Aug 16 - Aug 31'!H31</f>
        <v>0</v>
      </c>
      <c r="I15" s="182">
        <f>'Aug 16 - Aug 31'!I31</f>
        <v>0</v>
      </c>
      <c r="J15" s="185">
        <f>'Aug 16 - Aug 31'!J31</f>
        <v>0</v>
      </c>
      <c r="K15" s="185">
        <f>'Aug 16 - Aug 31'!K31</f>
        <v>0</v>
      </c>
      <c r="L15" s="186">
        <f>'Aug 16 - Aug 31'!L31</f>
        <v>0</v>
      </c>
      <c r="M15" s="182">
        <f>'Aug 16 - Aug 31'!M31</f>
        <v>0</v>
      </c>
      <c r="N15" s="182">
        <f>'Aug 16 - Aug 31'!N31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Factors'!$B$6:$B$371,MATCH('Sept 1 - Sept 15'!$Z$14:$Z$20,'Conversion Factors'!$A$6:$A$371,0))),"",INDEX('Conversion Factors'!$B$6:$B$371,MATCH('Sept 1 - Sept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'Aug 16 - Aug 31'!E32</f>
        <v>0</v>
      </c>
      <c r="F16" s="182">
        <f>'Aug 16 - Aug 31'!F32</f>
        <v>0</v>
      </c>
      <c r="G16" s="184">
        <f>'Aug 16 - Aug 31'!G32</f>
        <v>0</v>
      </c>
      <c r="H16" s="182">
        <f>'Aug 16 - Aug 31'!H32</f>
        <v>0</v>
      </c>
      <c r="I16" s="182">
        <f>'Aug 16 - Aug 31'!I32</f>
        <v>0</v>
      </c>
      <c r="J16" s="185">
        <f>'Aug 16 - Aug 31'!J32</f>
        <v>0</v>
      </c>
      <c r="K16" s="185">
        <f>'Aug 16 - Aug 31'!K32</f>
        <v>0</v>
      </c>
      <c r="L16" s="186">
        <f>'Aug 16 - Aug 31'!L32</f>
        <v>0</v>
      </c>
      <c r="M16" s="182">
        <f>'Aug 16 - Aug 31'!M32</f>
        <v>0</v>
      </c>
      <c r="N16" s="182">
        <f>'Aug 16 - Aug 31'!N32</f>
        <v>0</v>
      </c>
      <c r="O16" s="110">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Factors'!$B$6:$B$371,MATCH('Sept 1 - Sept 15'!$Z$14:$Z$20,'Conversion Factors'!$A$6:$A$371,0))),"",INDEX('Conversion Factors'!$B$6:$B$371,MATCH('Sept 1 - Sept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44440</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Factors'!$B$6:$B$371,MATCH('Sept 1 - Sept 15'!$Z$14:$Z$20,'Conversion Factors'!$A$6:$A$371,0))),"",INDEX('Conversion Factors'!$B$6:$B$371,MATCH('Sept 1 - Sept 15'!$Z$14:$Z$20,'Conversion Factors'!$A$6:$A$371,0)))</f>
        <v>7.8789999999999996</v>
      </c>
      <c r="Z17" s="18">
        <f t="shared" si="1"/>
        <v>44440</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44441</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Factors'!$B$6:$B$371,MATCH('Sept 1 - Sept 15'!$Z$14:$Z$20,'Conversion Factors'!$A$6:$A$371,0))),"",INDEX('Conversion Factors'!$B$6:$B$371,MATCH('Sept 1 - Sept 15'!$Z$14:$Z$20,'Conversion Factors'!$A$6:$A$371,0)))</f>
        <v>7.8789999999999996</v>
      </c>
      <c r="Z18" s="18">
        <f t="shared" si="1"/>
        <v>44441</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44442</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Factors'!$B$6:$B$371,MATCH('Sept 1 - Sept 15'!$Z$14:$Z$20,'Conversion Factors'!$A$6:$A$371,0))),"",INDEX('Conversion Factors'!$B$6:$B$371,MATCH('Sept 1 - Sept 15'!$Z$14:$Z$20,'Conversion Factors'!$A$6:$A$371,0)))</f>
        <v>7.8789999999999996</v>
      </c>
      <c r="Z19" s="18">
        <f t="shared" si="1"/>
        <v>44442</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44443</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Factors'!$B$6:$B$371,MATCH('Sept 1 - Sept 15'!$Z$14:$Z$20,'Conversion Factors'!$A$6:$A$371,0))),"",INDEX('Conversion Factors'!$B$6:$B$371,MATCH('Sept 1 - Sept 15'!$Z$14:$Z$20,'Conversion Factors'!$A$6:$A$371,0)))</f>
        <v>7.8789999999999996</v>
      </c>
      <c r="Z20" s="18">
        <f t="shared" si="1"/>
        <v>44443</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8</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8</v>
      </c>
    </row>
    <row r="22" spans="1:69" ht="15" customHeight="1" thickTop="1">
      <c r="A22" s="237">
        <f>IF(A20=0,"",IF(A20&lt;$O$7,A20+1,IF(A20=$O$7,"")))</f>
        <v>44444</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Factors'!$B$6:$B$371,MATCH('Sept 1 - Sept 15'!$Z$22:$Z$28,'Conversion Factors'!$A$6:$A$371,0))),"",INDEX('Conversion Factors'!$B$6:$B$371,MATCH('Sept 1 - Sept 15'!$Z$22:$Z$28,'Conversion Factors'!$A$6:$A$371,0)))</f>
        <v>7.8789999999999996</v>
      </c>
      <c r="Z22" s="17">
        <f t="shared" ref="Z22:Z28" si="42">A22</f>
        <v>44444</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44445</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Factors'!$B$6:$B$371,MATCH('Sept 1 - Sept 15'!$Z$22:$Z$28,'Conversion Factors'!$A$6:$A$371,0))),"",INDEX('Conversion Factors'!$B$6:$B$371,MATCH('Sept 1 - Sept 15'!$Z$22:$Z$28,'Conversion Factors'!$A$6:$A$371,0)))</f>
        <v>7.8789999999999996</v>
      </c>
      <c r="Z23" s="17">
        <f t="shared" si="42"/>
        <v>44445</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44446</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Factors'!$B$6:$B$371,MATCH('Sept 1 - Sept 15'!$Z$22:$Z$28,'Conversion Factors'!$A$6:$A$371,0))),"",INDEX('Conversion Factors'!$B$6:$B$371,MATCH('Sept 1 - Sept 15'!$Z$22:$Z$28,'Conversion Factors'!$A$6:$A$371,0)))</f>
        <v>7.8789999999999996</v>
      </c>
      <c r="Z24" s="17">
        <f t="shared" si="42"/>
        <v>44446</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44447</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Factors'!$B$6:$B$371,MATCH('Sept 1 - Sept 15'!$Z$22:$Z$28,'Conversion Factors'!$A$6:$A$371,0))),"",INDEX('Conversion Factors'!$B$6:$B$371,MATCH('Sept 1 - Sept 15'!$Z$22:$Z$28,'Conversion Factors'!$A$6:$A$371,0)))</f>
        <v>7.8789999999999996</v>
      </c>
      <c r="Z25" s="17">
        <f t="shared" si="42"/>
        <v>44447</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44448</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Factors'!$B$6:$B$371,MATCH('Sept 1 - Sept 15'!$Z$22:$Z$28,'Conversion Factors'!$A$6:$A$371,0))),"",INDEX('Conversion Factors'!$B$6:$B$371,MATCH('Sept 1 - Sept 15'!$Z$22:$Z$28,'Conversion Factors'!$A$6:$A$371,0)))</f>
        <v>7.8789999999999996</v>
      </c>
      <c r="Z26" s="17">
        <f t="shared" si="42"/>
        <v>44448</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44449</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Factors'!$B$6:$B$371,MATCH('Sept 1 - Sept 15'!$Z$22:$Z$28,'Conversion Factors'!$A$6:$A$371,0))),"",INDEX('Conversion Factors'!$B$6:$B$371,MATCH('Sept 1 - Sept 15'!$Z$22:$Z$28,'Conversion Factors'!$A$6:$A$371,0)))</f>
        <v>7.8789999999999996</v>
      </c>
      <c r="Z27" s="17">
        <f t="shared" si="42"/>
        <v>44449</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44450</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Factors'!$B$6:$B$371,MATCH('Sept 1 - Sept 15'!$Z$22:$Z$28,'Conversion Factors'!$A$6:$A$371,0))),"",INDEX('Conversion Factors'!$B$6:$B$371,MATCH('Sept 1 - Sept 15'!$Z$22:$Z$28,'Conversion Factors'!$A$6:$A$371,0)))</f>
        <v>7.8789999999999996</v>
      </c>
      <c r="Z28" s="17">
        <f t="shared" si="42"/>
        <v>44450</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8</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8</v>
      </c>
    </row>
    <row r="30" spans="1:69" ht="15" customHeight="1" thickTop="1">
      <c r="A30" s="225">
        <f>IF(A28&lt;$O$7,A28+1,IF(A28=$O$7,""))</f>
        <v>44451</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Factors'!$B$6:$B$370,MATCH('Sept 1 - Sept 15'!$Z$30:$Z$36,'Conversion Factors'!$A$6:$A$370,0))),"",INDEX('Conversion Factors'!$B$6:$B$370,MATCH('Sept 1 - Sept 15'!$Z$30:$Z$36,'Conversion Factors'!$A$6:$A$370,0)))</f>
        <v>7.8789999999999996</v>
      </c>
      <c r="Z30" s="17">
        <f t="shared" ref="Z30:Z36" si="81">A30</f>
        <v>44451</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44452</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2"/>
      <c r="R31" s="50" t="str">
        <f t="shared" ref="R31:R36" si="107">IF(AND(ISNUMBER(AB31),ISNUMBER(X31)),AB31*X31,"")</f>
        <v/>
      </c>
      <c r="S31" s="52"/>
      <c r="T31" s="52"/>
      <c r="U31" s="149">
        <f t="shared" si="35"/>
        <v>0</v>
      </c>
      <c r="V31" s="150">
        <f t="shared" ref="V31:V36" si="108">IF(BK31&gt;0,BK31,0)</f>
        <v>0</v>
      </c>
      <c r="W31" s="50"/>
      <c r="X31" s="49">
        <f>IF(ISNA(INDEX('Conversion Factors'!$B$6:$B$370,MATCH('Sept 1 - Sept 15'!$Z$30:$Z$36,'Conversion Factors'!$A$6:$A$370,0))),"",INDEX('Conversion Factors'!$B$6:$B$370,MATCH('Sept 1 - Sept 15'!$Z$30:$Z$36,'Conversion Factors'!$A$6:$A$370,0)))</f>
        <v>7.8789999999999996</v>
      </c>
      <c r="Z31" s="17">
        <f t="shared" si="81"/>
        <v>44452</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44453</v>
      </c>
      <c r="B32" s="226"/>
      <c r="C32" s="227"/>
      <c r="D32" s="32" t="s">
        <v>25</v>
      </c>
      <c r="E32" s="176"/>
      <c r="F32" s="176"/>
      <c r="G32" s="177"/>
      <c r="H32" s="176"/>
      <c r="I32" s="176"/>
      <c r="J32" s="178"/>
      <c r="K32" s="178"/>
      <c r="L32" s="179"/>
      <c r="M32" s="176"/>
      <c r="N32" s="176"/>
      <c r="O32" s="110">
        <f t="shared" si="105"/>
        <v>0</v>
      </c>
      <c r="P32" s="50" t="str">
        <f t="shared" si="106"/>
        <v/>
      </c>
      <c r="Q32" s="52"/>
      <c r="R32" s="50" t="str">
        <f t="shared" si="107"/>
        <v/>
      </c>
      <c r="S32" s="52"/>
      <c r="T32" s="52"/>
      <c r="U32" s="149">
        <f t="shared" si="35"/>
        <v>0</v>
      </c>
      <c r="V32" s="150">
        <f t="shared" si="108"/>
        <v>0</v>
      </c>
      <c r="W32" s="50"/>
      <c r="X32" s="49">
        <f>IF(ISNA(INDEX('Conversion Factors'!$B$6:$B$370,MATCH('Sept 1 - Sept 15'!$Z$30:$Z$36,'Conversion Factors'!$A$6:$A$370,0))),"",INDEX('Conversion Factors'!$B$6:$B$370,MATCH('Sept 1 - Sept 15'!$Z$30:$Z$36,'Conversion Factors'!$A$6:$A$370,0)))</f>
        <v>7.8789999999999996</v>
      </c>
      <c r="Z32" s="17">
        <f t="shared" si="81"/>
        <v>44453</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44454</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Factors'!$B$6:$B$370,MATCH('Sept 1 - Sept 15'!$Z$30:$Z$36,'Conversion Factors'!$A$6:$A$370,0))),"",INDEX('Conversion Factors'!$B$6:$B$370,MATCH('Sept 1 - Sept 15'!$Z$30:$Z$36,'Conversion Factors'!$A$6:$A$370,0)))</f>
        <v>7.8789999999999996</v>
      </c>
      <c r="Z33" s="17">
        <f t="shared" si="81"/>
        <v>44454</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str">
        <f t="shared" si="104"/>
        <v/>
      </c>
      <c r="B34" s="226"/>
      <c r="C34" s="227"/>
      <c r="D34" s="32" t="s">
        <v>27</v>
      </c>
      <c r="E34" s="52"/>
      <c r="F34" s="52"/>
      <c r="G34" s="77"/>
      <c r="H34" s="52"/>
      <c r="I34" s="52"/>
      <c r="J34" s="108"/>
      <c r="K34" s="108"/>
      <c r="L34" s="109"/>
      <c r="M34" s="52"/>
      <c r="N34" s="52"/>
      <c r="O34" s="110">
        <f t="shared" si="105"/>
        <v>0</v>
      </c>
      <c r="P34" s="50" t="str">
        <f t="shared" si="106"/>
        <v/>
      </c>
      <c r="Q34" s="52"/>
      <c r="R34" s="50" t="str">
        <f t="shared" si="107"/>
        <v/>
      </c>
      <c r="S34" s="52"/>
      <c r="T34" s="52"/>
      <c r="U34" s="149">
        <f t="shared" si="35"/>
        <v>0</v>
      </c>
      <c r="V34" s="150">
        <f t="shared" si="108"/>
        <v>0</v>
      </c>
      <c r="W34" s="50"/>
      <c r="X34" s="49" t="str">
        <f>IF(ISNA(INDEX('Conversion Factors'!$B$6:$B$370,MATCH('Sept 1 - Sept 15'!$Z$30:$Z$36,'Conversion Factors'!$A$6:$A$370,0))),"",INDEX('Conversion Factors'!$B$6:$B$370,MATCH('Sept 1 - Sept 15'!$Z$30:$Z$36,'Conversion Factors'!$A$6:$A$370,0)))</f>
        <v/>
      </c>
      <c r="Z34" s="17" t="str">
        <f t="shared" si="81"/>
        <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2"/>
      <c r="R35" s="50" t="str">
        <f t="shared" si="107"/>
        <v/>
      </c>
      <c r="S35" s="52"/>
      <c r="T35" s="52"/>
      <c r="U35" s="149">
        <f t="shared" si="35"/>
        <v>0</v>
      </c>
      <c r="V35" s="150">
        <f t="shared" si="108"/>
        <v>0</v>
      </c>
      <c r="W35" s="50"/>
      <c r="X35" s="49" t="str">
        <f>IF(ISNA(INDEX('Conversion Factors'!$B$6:$B$370,MATCH('Sept 1 - Sept 15'!$Z$30:$Z$36,'Conversion Factors'!$A$6:$A$370,0))),"",INDEX('Conversion Factors'!$B$6:$B$370,MATCH('Sept 1 - Sept 15'!$Z$30:$Z$36,'Conversion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Factors'!$B$6:$B$370,MATCH('Sept 1 - Sept 15'!$Z$30:$Z$36,'Conversion Factors'!$A$6:$A$370,0))),"",INDEX('Conversion Factors'!$B$6:$B$370,MATCH('Sept 1 - Sept 15'!$Z$30:$Z$36,'Conversion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8</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8</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Factors'!$B$6:$B$370,MATCH('Sept 1 - Sept 15'!$Z$38:$Z$44,'Conversion Factors'!$A$6:$A$370,0))),"",INDEX('Conversion Factors'!$B$6:$B$370,MATCH('Sept 1 - Sept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Factors'!$B$6:$B$370,MATCH('Sept 1 - Sept 15'!$Z$38:$Z$44,'Conversion Factors'!$A$6:$A$370,0))),"",INDEX('Conversion Factors'!$B$6:$B$370,MATCH('Sept 1 - Sept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Factors'!$B$6:$B$370,MATCH('Sept 1 - Sept 15'!$Z$38:$Z$44,'Conversion Factors'!$A$6:$A$370,0))),"",INDEX('Conversion Factors'!$B$6:$B$370,MATCH('Sept 1 - Sept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Factors'!$B$6:$B$370,MATCH('Sept 1 - Sept 15'!$Z$38:$Z$44,'Conversion Factors'!$A$6:$A$370,0))),"",INDEX('Conversion Factors'!$B$6:$B$370,MATCH('Sept 1 - Sept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Factors'!$B$6:$B$370,MATCH('Sept 1 - Sept 15'!$Z$38:$Z$44,'Conversion Factors'!$A$6:$A$370,0))),"",INDEX('Conversion Factors'!$B$6:$B$370,MATCH('Sept 1 - Sept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Factors'!$B$6:$B$370,MATCH('Sept 1 - Sept 15'!$Z$38:$Z$44,'Conversion Factors'!$A$6:$A$370,0))),"",INDEX('Conversion Factors'!$B$6:$B$370,MATCH('Sept 1 - Sept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Factors'!$B$6:$B$370,MATCH('Sept 1 - Sept 15'!$Z$38:$Z$44,'Conversion Factors'!$A$6:$A$370,0))),"",INDEX('Conversion Factors'!$B$6:$B$370,MATCH('Sept 1 - Sept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8</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8</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58" priority="17" operator="equal">
      <formula>FALSE</formula>
    </cfRule>
  </conditionalFormatting>
  <conditionalFormatting sqref="A22:C22">
    <cfRule type="cellIs" dxfId="357" priority="16" operator="equal">
      <formula>FALSE</formula>
    </cfRule>
  </conditionalFormatting>
  <conditionalFormatting sqref="D22:D28">
    <cfRule type="cellIs" dxfId="356" priority="15" operator="equal">
      <formula>FALSE</formula>
    </cfRule>
  </conditionalFormatting>
  <conditionalFormatting sqref="Z22:Z28">
    <cfRule type="cellIs" dxfId="355" priority="14" operator="equal">
      <formula>FALSE</formula>
    </cfRule>
  </conditionalFormatting>
  <conditionalFormatting sqref="Z30:Z36">
    <cfRule type="cellIs" dxfId="354" priority="13" operator="equal">
      <formula>FALSE</formula>
    </cfRule>
  </conditionalFormatting>
  <conditionalFormatting sqref="X21 X29 X37">
    <cfRule type="containsErrors" dxfId="353" priority="12">
      <formula>ISERROR(X21)</formula>
    </cfRule>
  </conditionalFormatting>
  <conditionalFormatting sqref="Z39:Z44">
    <cfRule type="cellIs" dxfId="352" priority="10" operator="equal">
      <formula>FALSE</formula>
    </cfRule>
  </conditionalFormatting>
  <conditionalFormatting sqref="Z38">
    <cfRule type="cellIs" dxfId="351" priority="11" operator="equal">
      <formula>FALSE</formula>
    </cfRule>
  </conditionalFormatting>
  <conditionalFormatting sqref="W11:X11">
    <cfRule type="cellIs" dxfId="350" priority="9" operator="equal">
      <formula>"Please Select"</formula>
    </cfRule>
  </conditionalFormatting>
  <conditionalFormatting sqref="E11:F11">
    <cfRule type="containsBlanks" dxfId="349" priority="8">
      <formula>LEN(TRIM(E11))=0</formula>
    </cfRule>
  </conditionalFormatting>
  <conditionalFormatting sqref="U14:U46">
    <cfRule type="cellIs" dxfId="348" priority="7" operator="equal">
      <formula>FALSE</formula>
    </cfRule>
  </conditionalFormatting>
  <conditionalFormatting sqref="P26">
    <cfRule type="cellIs" dxfId="347" priority="6" operator="lessThan">
      <formula>$BQ$21</formula>
    </cfRule>
  </conditionalFormatting>
  <conditionalFormatting sqref="X14:X20">
    <cfRule type="containsErrors" dxfId="346" priority="5">
      <formula>ISERROR(X14)</formula>
    </cfRule>
  </conditionalFormatting>
  <conditionalFormatting sqref="X30:X36">
    <cfRule type="containsErrors" dxfId="345" priority="4">
      <formula>ISERROR(X30)</formula>
    </cfRule>
  </conditionalFormatting>
  <conditionalFormatting sqref="X38:X44">
    <cfRule type="containsErrors" dxfId="344" priority="3">
      <formula>ISERROR(X38)</formula>
    </cfRule>
  </conditionalFormatting>
  <conditionalFormatting sqref="X22">
    <cfRule type="containsErrors" dxfId="343" priority="2">
      <formula>ISERROR(X22)</formula>
    </cfRule>
  </conditionalFormatting>
  <conditionalFormatting sqref="X23:X28">
    <cfRule type="containsErrors" dxfId="342"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E235F5FF-77C7-4ECD-9DBD-9FDBF0FADDC2}">
      <formula1>$AD$6:$AD$8</formula1>
    </dataValidation>
    <dataValidation allowBlank="1" showInputMessage="1" showErrorMessage="1" promptTitle="Hours Per Week" prompt="Please enter the number of hours you are scheduled to work each week.  (Example:  40)_x000a_" sqref="E11:F11" xr:uid="{BB6B6C6D-F0CF-4553-ACB8-9BDC22F790F1}"/>
    <dataValidation allowBlank="1" showInputMessage="1" showErrorMessage="1" prompt="Enter your MSU ID into this field and it will populate to all the other time re[prts in this workbook." sqref="C6:H6" xr:uid="{A1D7CF2F-8CB7-44C8-BE89-460E8F060C6E}"/>
    <dataValidation allowBlank="1" showInputMessage="1" showErrorMessage="1" prompt="Enter your Name into this field and it will populate to all the other time reports in this workbook." sqref="C7:H7" xr:uid="{8A523C45-5D0C-48F2-A436-B039680190A2}"/>
    <dataValidation allowBlank="1" showInputMessage="1" showErrorMessage="1" prompt="Enter your Department Name into this field and it will populate to all the other time reports in this workbook." sqref="C8:H8" xr:uid="{844D825E-1547-4408-933C-FD0AE1CB71BD}"/>
  </dataValidations>
  <hyperlinks>
    <hyperlink ref="O49" r:id="rId1" xr:uid="{A44323D6-FE86-4801-9D3B-9D3C16ED3DCB}"/>
    <hyperlink ref="O48:W48" r:id="rId2" display="Leave/Leave Without Pay Policy" xr:uid="{9FD0CE23-AE2E-4A25-885C-9402629E3F12}"/>
    <hyperlink ref="O50:W50" r:id="rId3" display="Time Sheet Definitions/Policies" xr:uid="{367B8DF7-5FF8-42FD-ACE4-2A907F488757}"/>
    <hyperlink ref="O49:T49" r:id="rId4" display="Overtime/Compensatory Time" xr:uid="{E0FBE554-DAB6-461A-B99A-F65B75C5875D}"/>
  </hyperlinks>
  <printOptions horizontalCentered="1"/>
  <pageMargins left="0.5" right="0.5" top="0.5" bottom="0.5" header="0.5" footer="0"/>
  <pageSetup scale="75" orientation="portrait" r:id="rId5"/>
  <headerFooter alignWithMargins="0">
    <oddFooter>&amp;RRevised:  05/2019</oddFooter>
  </headerFooter>
  <ignoredErrors>
    <ignoredError sqref="E14:N15" unlockedFormula="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B4E5F-4622-430A-B15A-F23D852C3A42}">
  <sheetPr codeName="Sheet12">
    <tabColor theme="4" tint="0.79998168889431442"/>
  </sheetPr>
  <dimension ref="A1:BQ57"/>
  <sheetViews>
    <sheetView showGridLines="0" showZeros="0" zoomScaleNormal="100" workbookViewId="0">
      <pane ySplit="13" topLeftCell="A20"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Notes'!$A$7</f>
        <v>44455</v>
      </c>
      <c r="P6" s="265"/>
      <c r="Q6" s="265"/>
      <c r="R6" s="265"/>
      <c r="S6" s="265"/>
      <c r="T6" s="265"/>
      <c r="U6" s="53"/>
      <c r="V6" s="53"/>
      <c r="W6" s="24"/>
      <c r="X6" s="30"/>
      <c r="Z6" s="4" t="str">
        <f>TEXT(O6,"dddd")</f>
        <v>Thursday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Notes'!$B$7</f>
        <v>44469</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Notes'!$C$7</f>
        <v>18</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8</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SUM(E14:E17)</f>
        <v>0</v>
      </c>
      <c r="F13" s="86">
        <f t="shared" ref="F13:N13" si="0">SUM(F14:F17)</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'Sept 1 - Sept 15'!E30</f>
        <v>0</v>
      </c>
      <c r="F14" s="182">
        <f>'Sept 1 - Sept 15'!F30</f>
        <v>0</v>
      </c>
      <c r="G14" s="184">
        <f>'Sept 1 - Sept 15'!G30</f>
        <v>0</v>
      </c>
      <c r="H14" s="182">
        <f>'Sept 1 - Sept 15'!H30</f>
        <v>0</v>
      </c>
      <c r="I14" s="182">
        <f>'Sept 1 - Sept 15'!I30</f>
        <v>0</v>
      </c>
      <c r="J14" s="185">
        <f>'Sept 1 - Sept 15'!J30</f>
        <v>0</v>
      </c>
      <c r="K14" s="185">
        <f>'Sept 1 - Sept 15'!K30</f>
        <v>0</v>
      </c>
      <c r="L14" s="186">
        <f>'Sept 1 - Sept 15'!L30</f>
        <v>0</v>
      </c>
      <c r="M14" s="182">
        <f>'Sept 1 - Sept 15'!M30</f>
        <v>0</v>
      </c>
      <c r="N14" s="182">
        <f>'Sept 1 - Sept 15'!N30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Factors'!$B$6:$B$371,MATCH('Sept 16 - Sept 30'!$Z$14:$Z$20,'Conversion Factors'!$A$6:$A$371,0))),"",INDEX('Conversion Factors'!$B$6:$B$371,MATCH('Sept 16 - Sept 30'!$Z$14:$Z$20,'Conversion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'Sept 1 - Sept 15'!E31</f>
        <v>0</v>
      </c>
      <c r="F15" s="182">
        <f>'Sept 1 - Sept 15'!F31</f>
        <v>0</v>
      </c>
      <c r="G15" s="184">
        <f>'Sept 1 - Sept 15'!G31</f>
        <v>0</v>
      </c>
      <c r="H15" s="182">
        <f>'Sept 1 - Sept 15'!H31</f>
        <v>0</v>
      </c>
      <c r="I15" s="182">
        <f>'Sept 1 - Sept 15'!I31</f>
        <v>0</v>
      </c>
      <c r="J15" s="185">
        <f>'Sept 1 - Sept 15'!J31</f>
        <v>0</v>
      </c>
      <c r="K15" s="185">
        <f>'Sept 1 - Sept 15'!K31</f>
        <v>0</v>
      </c>
      <c r="L15" s="186">
        <f>'Sept 1 - Sept 15'!L31</f>
        <v>0</v>
      </c>
      <c r="M15" s="182">
        <f>'Sept 1 - Sept 15'!M31</f>
        <v>0</v>
      </c>
      <c r="N15" s="182">
        <f>'Sept 1 - Sept 15'!N31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Factors'!$B$6:$B$371,MATCH('Sept 16 - Sept 30'!$Z$14:$Z$20,'Conversion Factors'!$A$6:$A$371,0))),"",INDEX('Conversion Factors'!$B$6:$B$371,MATCH('Sept 16 - Sept 30'!$Z$14:$Z$20,'Conversion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'Sept 1 - Sept 15'!E32</f>
        <v>0</v>
      </c>
      <c r="F16" s="182">
        <f>'Sept 1 - Sept 15'!F32</f>
        <v>0</v>
      </c>
      <c r="G16" s="184">
        <f>'Sept 1 - Sept 15'!G32</f>
        <v>0</v>
      </c>
      <c r="H16" s="182">
        <f>'Sept 1 - Sept 15'!H32</f>
        <v>0</v>
      </c>
      <c r="I16" s="182">
        <f>'Sept 1 - Sept 15'!I32</f>
        <v>0</v>
      </c>
      <c r="J16" s="185">
        <f>'Sept 1 - Sept 15'!J32</f>
        <v>0</v>
      </c>
      <c r="K16" s="185">
        <f>'Sept 1 - Sept 15'!K32</f>
        <v>0</v>
      </c>
      <c r="L16" s="186">
        <f>'Sept 1 - Sept 15'!L32</f>
        <v>0</v>
      </c>
      <c r="M16" s="182">
        <f>'Sept 1 - Sept 15'!M32</f>
        <v>0</v>
      </c>
      <c r="N16" s="182">
        <f>'Sept 1 - Sept 15'!N32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Factors'!$B$6:$B$371,MATCH('Sept 16 - Sept 30'!$Z$14:$Z$20,'Conversion Factors'!$A$6:$A$371,0))),"",INDEX('Conversion Factors'!$B$6:$B$371,MATCH('Sept 16 - Sept 30'!$Z$14:$Z$20,'Conversion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'Sept 1 - Sept 15'!E33</f>
        <v>0</v>
      </c>
      <c r="F17" s="182">
        <f>'Sept 1 - Sept 15'!F33</f>
        <v>0</v>
      </c>
      <c r="G17" s="184">
        <f>'Sept 1 - Sept 15'!G33</f>
        <v>0</v>
      </c>
      <c r="H17" s="182">
        <f>'Sept 1 - Sept 15'!H33</f>
        <v>0</v>
      </c>
      <c r="I17" s="182">
        <f>'Sept 1 - Sept 15'!I33</f>
        <v>0</v>
      </c>
      <c r="J17" s="185">
        <f>'Sept 1 - Sept 15'!J33</f>
        <v>0</v>
      </c>
      <c r="K17" s="185">
        <f>'Sept 1 - Sept 15'!K33</f>
        <v>0</v>
      </c>
      <c r="L17" s="186">
        <f>'Sept 1 - Sept 15'!L33</f>
        <v>0</v>
      </c>
      <c r="M17" s="182">
        <f>'Sept 1 - Sept 15'!M33</f>
        <v>0</v>
      </c>
      <c r="N17" s="182">
        <f>'Sept 1 - Sept 15'!N33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Factors'!$B$6:$B$371,MATCH('Sept 16 - Sept 30'!$Z$14:$Z$20,'Conversion Factors'!$A$6:$A$371,0))),"",INDEX('Conversion Factors'!$B$6:$B$371,MATCH('Sept 16 - Sept 30'!$Z$14:$Z$20,'Conversion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44455</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Factors'!$B$6:$B$371,MATCH('Sept 16 - Sept 30'!$Z$14:$Z$20,'Conversion Factors'!$A$6:$A$371,0))),"",INDEX('Conversion Factors'!$B$6:$B$371,MATCH('Sept 16 - Sept 30'!$Z$14:$Z$20,'Conversion Factors'!$A$6:$A$371,0)))</f>
        <v>7.8789999999999996</v>
      </c>
      <c r="Z18" s="18">
        <f t="shared" si="1"/>
        <v>44455</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44456</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Factors'!$B$6:$B$371,MATCH('Sept 16 - Sept 30'!$Z$14:$Z$20,'Conversion Factors'!$A$6:$A$371,0))),"",INDEX('Conversion Factors'!$B$6:$B$371,MATCH('Sept 16 - Sept 30'!$Z$14:$Z$20,'Conversion Factors'!$A$6:$A$371,0)))</f>
        <v>7.8789999999999996</v>
      </c>
      <c r="Z19" s="18">
        <f t="shared" si="1"/>
        <v>44456</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44457</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Factors'!$B$6:$B$371,MATCH('Sept 16 - Sept 30'!$Z$14:$Z$20,'Conversion Factors'!$A$6:$A$371,0))),"",INDEX('Conversion Factors'!$B$6:$B$371,MATCH('Sept 16 - Sept 30'!$Z$14:$Z$20,'Conversion Factors'!$A$6:$A$371,0)))</f>
        <v>7.8789999999999996</v>
      </c>
      <c r="Z20" s="18">
        <f t="shared" si="1"/>
        <v>44457</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8</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8</v>
      </c>
    </row>
    <row r="22" spans="1:69" ht="15" customHeight="1" thickTop="1">
      <c r="A22" s="237">
        <f>IF(A20=0,"",IF(A20&lt;$O$7,A20+1,IF(A20=$O$7,"")))</f>
        <v>44458</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Factors'!$B$6:$B$371,MATCH('Sept 16 - Sept 30'!$Z$22:$Z$28,'Conversion Factors'!$A$6:$A$371,0))),"",INDEX('Conversion Factors'!$B$6:$B$371,MATCH('Sept 16 - Sept 30'!$Z$22:$Z$28,'Conversion Factors'!$A$6:$A$371,0)))</f>
        <v>7.8789999999999996</v>
      </c>
      <c r="Z22" s="17">
        <f t="shared" ref="Z22:Z28" si="42">A22</f>
        <v>44458</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44459</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Factors'!$B$6:$B$371,MATCH('Sept 16 - Sept 30'!$Z$22:$Z$28,'Conversion Factors'!$A$6:$A$371,0))),"",INDEX('Conversion Factors'!$B$6:$B$371,MATCH('Sept 16 - Sept 30'!$Z$22:$Z$28,'Conversion Factors'!$A$6:$A$371,0)))</f>
        <v>7.8789999999999996</v>
      </c>
      <c r="Z23" s="17">
        <f t="shared" si="42"/>
        <v>44459</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44460</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Factors'!$B$6:$B$371,MATCH('Sept 16 - Sept 30'!$Z$22:$Z$28,'Conversion Factors'!$A$6:$A$371,0))),"",INDEX('Conversion Factors'!$B$6:$B$371,MATCH('Sept 16 - Sept 30'!$Z$22:$Z$28,'Conversion Factors'!$A$6:$A$371,0)))</f>
        <v>7.8789999999999996</v>
      </c>
      <c r="Z24" s="17">
        <f t="shared" si="42"/>
        <v>44460</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44461</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Factors'!$B$6:$B$371,MATCH('Sept 16 - Sept 30'!$Z$22:$Z$28,'Conversion Factors'!$A$6:$A$371,0))),"",INDEX('Conversion Factors'!$B$6:$B$371,MATCH('Sept 16 - Sept 30'!$Z$22:$Z$28,'Conversion Factors'!$A$6:$A$371,0)))</f>
        <v>7.8789999999999996</v>
      </c>
      <c r="Z25" s="17">
        <f t="shared" si="42"/>
        <v>44461</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44462</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Factors'!$B$6:$B$371,MATCH('Sept 16 - Sept 30'!$Z$22:$Z$28,'Conversion Factors'!$A$6:$A$371,0))),"",INDEX('Conversion Factors'!$B$6:$B$371,MATCH('Sept 16 - Sept 30'!$Z$22:$Z$28,'Conversion Factors'!$A$6:$A$371,0)))</f>
        <v>7.8789999999999996</v>
      </c>
      <c r="Z26" s="17">
        <f t="shared" si="42"/>
        <v>44462</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44463</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Factors'!$B$6:$B$371,MATCH('Sept 16 - Sept 30'!$Z$22:$Z$28,'Conversion Factors'!$A$6:$A$371,0))),"",INDEX('Conversion Factors'!$B$6:$B$371,MATCH('Sept 16 - Sept 30'!$Z$22:$Z$28,'Conversion Factors'!$A$6:$A$371,0)))</f>
        <v>7.8789999999999996</v>
      </c>
      <c r="Z27" s="17">
        <f t="shared" si="42"/>
        <v>44463</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44464</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Factors'!$B$6:$B$371,MATCH('Sept 16 - Sept 30'!$Z$22:$Z$28,'Conversion Factors'!$A$6:$A$371,0))),"",INDEX('Conversion Factors'!$B$6:$B$371,MATCH('Sept 16 - Sept 30'!$Z$22:$Z$28,'Conversion Factors'!$A$6:$A$371,0)))</f>
        <v>7.8789999999999996</v>
      </c>
      <c r="Z28" s="17">
        <f t="shared" si="42"/>
        <v>44464</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SUM(E22:E28)</f>
        <v>0</v>
      </c>
      <c r="F29" s="34">
        <f t="shared" ref="F29:N29" si="80">SUM(F22:F28)</f>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8</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8</v>
      </c>
    </row>
    <row r="30" spans="1:69" ht="15" customHeight="1" thickTop="1">
      <c r="A30" s="225">
        <f>IF(A28&lt;$O$7,A28+1,IF(A28=$O$7,""))</f>
        <v>44465</v>
      </c>
      <c r="B30" s="226"/>
      <c r="C30" s="227"/>
      <c r="D30" s="32" t="s">
        <v>23</v>
      </c>
      <c r="E30" s="51"/>
      <c r="F30" s="51"/>
      <c r="G30" s="112"/>
      <c r="H30" s="51"/>
      <c r="I30" s="51"/>
      <c r="J30" s="113"/>
      <c r="K30" s="113"/>
      <c r="L30" s="114"/>
      <c r="M30" s="51"/>
      <c r="N30" s="51"/>
      <c r="O30" s="110">
        <f t="shared" ref="O30:O36" si="81">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Factors'!$B$6:$B$370,MATCH('Sept 16 - Sept 30'!$Z$30:$Z$36,'Conversion Factors'!$A$6:$A$370,0))),"",INDEX('Conversion Factors'!$B$6:$B$370,MATCH('Sept 16 - Sept 30'!$Z$30:$Z$36,'Conversion Factors'!$A$6:$A$370,0)))</f>
        <v>7.8789999999999996</v>
      </c>
      <c r="Z30" s="17">
        <f t="shared" ref="Z30:Z36" si="82">A30</f>
        <v>44465</v>
      </c>
      <c r="AA30" s="57" t="str">
        <f t="shared" ref="AA30:AA36" si="83">IF(AND(ISNUMBER(N30),ISNUMBER($Z$12)),N30/$Z$12,"")</f>
        <v/>
      </c>
      <c r="AB30" s="57" t="str">
        <f t="shared" ref="AB30:AB36" si="84">IF(AND(ISNUMBER(Q30),ISNUMBER($Z$12)),Q30/$Z$12,"")</f>
        <v/>
      </c>
      <c r="AC30" s="58"/>
      <c r="AD30" s="59"/>
      <c r="AE30" s="58"/>
      <c r="AF30" s="58"/>
      <c r="AG30" s="64"/>
      <c r="AH30" s="71">
        <f t="shared" ref="AH30:AH36" si="85">E30+AH29</f>
        <v>0</v>
      </c>
      <c r="AI30" s="68">
        <f>IF(AH30&gt;$AI$12,AH30-($AI$12+AI29),0)</f>
        <v>0</v>
      </c>
      <c r="AJ30" s="145" t="b">
        <f t="shared" ref="AJ30:AJ36" si="86">IF(AND(AZ30&gt;0,AZ30),IF(BA30&gt;0,BA30,IF(BB30&gt;0,BB30,IF(BC30&gt;0,BC30,IF(BF30&gt;0,BF30,"")))))</f>
        <v>0</v>
      </c>
      <c r="AK30" s="151" t="b">
        <f>IF(AND(AO30&gt;0,AO30),IF(AP30&gt;0,AP30,IF(AQ30&gt;0,AQ30,IF(AR30&gt;0,AR30,IF(AU30&gt;0,AU30,"")))))</f>
        <v>0</v>
      </c>
      <c r="AM30" s="147">
        <f t="shared" ref="AM30:AM36" si="87">J30</f>
        <v>0</v>
      </c>
      <c r="AO30" s="152">
        <f t="shared" ref="AO30:AO36" si="88">IF(G30=0,0,"")</f>
        <v>0</v>
      </c>
      <c r="AP30" s="152">
        <f t="shared" ref="AP30:AP36" si="89">IF(AND(AH30&lt;=40,E30=G30),G30,0)</f>
        <v>0</v>
      </c>
      <c r="AQ30" s="153">
        <f t="shared" ref="AQ30:AQ36" si="90">IF(AND(AH30&lt;=40,E30&gt;=G30,G30&gt;0),O30-E30,0)</f>
        <v>0</v>
      </c>
      <c r="AR30" s="152">
        <f t="shared" ref="AR30:AR36" si="91">IF(AND(AH30&lt;=40,E30&lt;G30),O30-G30,0)</f>
        <v>0</v>
      </c>
      <c r="AS30" s="154">
        <f t="shared" ref="AS30:AS36" si="92">IF(AND(G30=0),G30,IF(AND(G30&gt;0,AI30&gt;0,G30=AT30),AT30,IF(AND(G30&gt;0,AI30&gt;0,G30-AT30),AT30,0)))</f>
        <v>0</v>
      </c>
      <c r="AT30" s="154"/>
      <c r="AU30" s="155">
        <f>AS30</f>
        <v>0</v>
      </c>
      <c r="AV30" s="156">
        <f t="shared" ref="AV30:AV36" si="93">IF(AND(AH29+AU30=40,AI30&gt;0,AI30&gt;AU30),AI30-AU30,IF(AND(AH29+AU30=40,AI30&gt;0,AI30&lt;AU30,AU30+AI30=G30),AI30,IF(AND(AH29&gt;40,AH30&gt;40,G30=AI30),AI30,0)))</f>
        <v>0</v>
      </c>
      <c r="AW30" s="157">
        <f>AV30</f>
        <v>0</v>
      </c>
      <c r="AY30" s="157">
        <f t="shared" ref="AY30:AY36" si="94">IF(AND(J30&gt;0,AI30&gt;=J30,BB30=0),O30-AI30,IF(AND(J30&gt;0,AI30&gt;0,BB30&lt;=AI30),AI30-BB30,IF(AND(J30&gt;0,AI30&gt;0,BB30&gt;AI30),J30-BB30,0)))</f>
        <v>0</v>
      </c>
      <c r="AZ30" s="152">
        <f t="shared" ref="AZ30:AZ36" si="95">IF(J30=0,0,"")</f>
        <v>0</v>
      </c>
      <c r="BA30" s="152">
        <f t="shared" ref="BA30:BA36" si="96">IF(AND(AH30&lt;=40,E30=J30),J30,0)</f>
        <v>0</v>
      </c>
      <c r="BB30" s="158">
        <f t="shared" ref="BB30:BB36" si="97">IF(AND(AZ30=0),AZ30,IF(AND(AH30&gt;40,E30&gt;=J30),BE30,IF(AND(AH30&lt;=40,E30&gt;J30),J30,0)))</f>
        <v>0</v>
      </c>
      <c r="BC30" s="152">
        <f t="shared" ref="BC30:BC36" si="98">IF(AND(AH30&lt;=40,E30&lt;J30),O30-J30,0)</f>
        <v>0</v>
      </c>
      <c r="BD30" s="154">
        <f t="shared" ref="BD30:BD36" si="99">IF(AND(J30=0),J30,IF(AND(J30&gt;0,AI30&gt;0,J30=BC30),BC30,IF(AND(J30&gt;0,AI30&gt;0,J30-BC30),BC30,0)))</f>
        <v>0</v>
      </c>
      <c r="BE30" s="154"/>
      <c r="BF30" s="159">
        <f>BD30</f>
        <v>0</v>
      </c>
      <c r="BG30" s="160"/>
      <c r="BH30" s="160">
        <f>IF(AND(G30&gt;0,E30&gt;0),1,0)</f>
        <v>0</v>
      </c>
      <c r="BI30" s="161">
        <f t="shared" ref="BI30:BI36" si="100">40-AH30</f>
        <v>40</v>
      </c>
      <c r="BJ30" s="161">
        <f t="shared" ref="BJ30:BJ36" si="101">IF(AND(BH30=1,40-BL29&gt;0,40-BL29&lt;8),40-BL29,IF(AND(E30&lt;G30),E30,G30))</f>
        <v>0</v>
      </c>
      <c r="BK30" s="161">
        <f t="shared" ref="BK30:BK36" si="102">IF(AND(BH30=1,BL30&gt;40,E30&lt;G30),E30-BJ30,(IF(AND(BH30=1,BL30&gt;0,E30&gt;=G30),G30-BJ30,0)))</f>
        <v>0</v>
      </c>
      <c r="BL30" s="161">
        <f>E30</f>
        <v>0</v>
      </c>
      <c r="BM30" s="160">
        <f>IF(AND(K30&gt;0,E30&gt;0),1,0)</f>
        <v>0</v>
      </c>
      <c r="BN30" s="161">
        <f>IF(AND(BM30=1,J30&gt;8),K30,(IF(AND(BM30=1,J30&gt;0),J30,0)))</f>
        <v>0</v>
      </c>
      <c r="BO30" s="161">
        <f t="shared" ref="BO30:BO31" si="103">IF(AND(BM30=1,40-BL29&gt;0,40-BL29&lt;8),40-BL29,IF(AND(J30&lt;K30),J30,K30))</f>
        <v>0</v>
      </c>
      <c r="BP30" s="161">
        <f t="shared" ref="BP30:BP34" si="104">IF(AND(BM30=1,BL30&gt;40,J30&lt;=K30),J30-BO30,IF(AND(BM30=1,BL30&gt;0,J30&gt;K30),K30-BO30,0))</f>
        <v>0</v>
      </c>
      <c r="BQ30" s="160"/>
    </row>
    <row r="31" spans="1:69" ht="15" customHeight="1">
      <c r="A31" s="225">
        <f t="shared" ref="A31:A36" si="105">IF(A30&lt;$O$7,A30+1,IF(A30=$O$7,""))</f>
        <v>44466</v>
      </c>
      <c r="B31" s="226"/>
      <c r="C31" s="227"/>
      <c r="D31" s="32" t="s">
        <v>24</v>
      </c>
      <c r="E31" s="51"/>
      <c r="F31" s="51"/>
      <c r="G31" s="112"/>
      <c r="H31" s="51"/>
      <c r="I31" s="51"/>
      <c r="J31" s="113"/>
      <c r="K31" s="113"/>
      <c r="L31" s="114"/>
      <c r="M31" s="51"/>
      <c r="N31" s="51"/>
      <c r="O31" s="110">
        <f t="shared" si="81"/>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Factors'!$B$6:$B$370,MATCH('Sept 16 - Sept 30'!$Z$30:$Z$36,'Conversion Factors'!$A$6:$A$370,0))),"",INDEX('Conversion Factors'!$B$6:$B$370,MATCH('Sept 16 - Sept 30'!$Z$30:$Z$36,'Conversion Factors'!$A$6:$A$370,0)))</f>
        <v>7.8789999999999996</v>
      </c>
      <c r="Z31" s="17">
        <f t="shared" si="82"/>
        <v>44466</v>
      </c>
      <c r="AA31" s="57" t="str">
        <f t="shared" si="83"/>
        <v/>
      </c>
      <c r="AB31" s="57" t="str">
        <f t="shared" si="84"/>
        <v/>
      </c>
      <c r="AH31" s="71">
        <f t="shared" si="85"/>
        <v>0</v>
      </c>
      <c r="AI31" s="68">
        <f>IF(AH31&gt;$AI$12,AH31-($AI$12+AI30+AI29),0)</f>
        <v>0</v>
      </c>
      <c r="AJ31" s="145" t="b">
        <f t="shared" si="86"/>
        <v>0</v>
      </c>
      <c r="AK31" s="151" t="b">
        <f t="shared" ref="AK31:AK36" si="109">IF(AND(AO31&gt;0,AO31),IF(AP31&gt;0,AP31,IF(AQ31&gt;0,AQ31,IF(AR31&gt;0,AR31,IF(AU31&gt;0,AU31,0)))))</f>
        <v>0</v>
      </c>
      <c r="AM31" s="147">
        <f t="shared" si="87"/>
        <v>0</v>
      </c>
      <c r="AO31" s="162">
        <f t="shared" si="88"/>
        <v>0</v>
      </c>
      <c r="AP31" s="162">
        <f t="shared" si="89"/>
        <v>0</v>
      </c>
      <c r="AQ31" s="153">
        <f t="shared" si="90"/>
        <v>0</v>
      </c>
      <c r="AR31" s="162">
        <f t="shared" si="91"/>
        <v>0</v>
      </c>
      <c r="AS31" s="154">
        <f t="shared" si="92"/>
        <v>0</v>
      </c>
      <c r="AT31" s="154">
        <f t="shared" ref="AT31:AT33" si="110">IF(AND(AH30&lt;=40),40-AH30,0)</f>
        <v>40</v>
      </c>
      <c r="AU31" s="155">
        <f t="shared" ref="AU31:AU36" si="111">AS31</f>
        <v>0</v>
      </c>
      <c r="AV31" s="156">
        <f t="shared" si="93"/>
        <v>0</v>
      </c>
      <c r="AW31" s="157">
        <f t="shared" ref="AW31:AW36" si="112">AV31</f>
        <v>0</v>
      </c>
      <c r="AY31" s="157">
        <f t="shared" si="94"/>
        <v>0</v>
      </c>
      <c r="AZ31" s="152">
        <f t="shared" si="95"/>
        <v>0</v>
      </c>
      <c r="BA31" s="152">
        <f t="shared" si="96"/>
        <v>0</v>
      </c>
      <c r="BB31" s="158">
        <f t="shared" si="97"/>
        <v>0</v>
      </c>
      <c r="BC31" s="152">
        <f t="shared" si="98"/>
        <v>0</v>
      </c>
      <c r="BD31" s="154">
        <f t="shared" si="99"/>
        <v>0</v>
      </c>
      <c r="BE31" s="154">
        <f>IF(AND(AH30&lt;=40),40-AH30,0)</f>
        <v>40</v>
      </c>
      <c r="BF31" s="159">
        <f t="shared" ref="BF31:BF36" si="113">BD31</f>
        <v>0</v>
      </c>
      <c r="BG31" s="160"/>
      <c r="BH31" s="160">
        <f>IF(AND(G31&gt;0,E31&gt;0),1,0)</f>
        <v>0</v>
      </c>
      <c r="BI31" s="161">
        <f t="shared" si="100"/>
        <v>40</v>
      </c>
      <c r="BJ31" s="161">
        <f t="shared" si="101"/>
        <v>0</v>
      </c>
      <c r="BK31" s="161">
        <f t="shared" si="102"/>
        <v>0</v>
      </c>
      <c r="BL31" s="161">
        <f>SUM(E30:E31)</f>
        <v>0</v>
      </c>
      <c r="BM31" s="160">
        <f t="shared" ref="BM31:BM36" si="114">IF(AND(K31&gt;0,E31&gt;0),1,0)</f>
        <v>0</v>
      </c>
      <c r="BN31" s="161">
        <f>IF(AND(BM31=1,J31&gt;8),K31,(IF(AND(BM31=1,J31&gt;0),J31,0)))</f>
        <v>0</v>
      </c>
      <c r="BO31" s="161">
        <f t="shared" si="103"/>
        <v>0</v>
      </c>
      <c r="BP31" s="161">
        <f t="shared" si="104"/>
        <v>0</v>
      </c>
      <c r="BQ31" s="160"/>
    </row>
    <row r="32" spans="1:69" ht="15" customHeight="1">
      <c r="A32" s="225">
        <f t="shared" si="105"/>
        <v>44467</v>
      </c>
      <c r="B32" s="226"/>
      <c r="C32" s="227"/>
      <c r="D32" s="32" t="s">
        <v>25</v>
      </c>
      <c r="E32" s="51"/>
      <c r="F32" s="51"/>
      <c r="G32" s="112"/>
      <c r="H32" s="51"/>
      <c r="I32" s="51"/>
      <c r="J32" s="113"/>
      <c r="K32" s="113"/>
      <c r="L32" s="114"/>
      <c r="M32" s="51"/>
      <c r="N32" s="51"/>
      <c r="O32" s="110">
        <f t="shared" si="81"/>
        <v>0</v>
      </c>
      <c r="P32" s="50" t="str">
        <f t="shared" si="106"/>
        <v/>
      </c>
      <c r="Q32" s="52"/>
      <c r="R32" s="50" t="str">
        <f t="shared" si="107"/>
        <v/>
      </c>
      <c r="S32" s="52"/>
      <c r="T32" s="52"/>
      <c r="U32" s="149">
        <f t="shared" si="35"/>
        <v>0</v>
      </c>
      <c r="V32" s="150">
        <f t="shared" si="108"/>
        <v>0</v>
      </c>
      <c r="W32" s="50"/>
      <c r="X32" s="49">
        <f>IF(ISNA(INDEX('Conversion Factors'!$B$6:$B$370,MATCH('Sept 16 - Sept 30'!$Z$30:$Z$36,'Conversion Factors'!$A$6:$A$370,0))),"",INDEX('Conversion Factors'!$B$6:$B$370,MATCH('Sept 16 - Sept 30'!$Z$30:$Z$36,'Conversion Factors'!$A$6:$A$370,0)))</f>
        <v>7.8789999999999996</v>
      </c>
      <c r="Z32" s="17">
        <f t="shared" si="82"/>
        <v>44467</v>
      </c>
      <c r="AA32" s="57" t="str">
        <f t="shared" si="83"/>
        <v/>
      </c>
      <c r="AB32" s="57" t="str">
        <f t="shared" si="84"/>
        <v/>
      </c>
      <c r="AG32" s="1"/>
      <c r="AH32" s="71">
        <f t="shared" si="85"/>
        <v>0</v>
      </c>
      <c r="AI32" s="68">
        <f>IF(AH32&gt;$AI$12,AH32-($AI$12+AI31+AI30+AI29),0)</f>
        <v>0</v>
      </c>
      <c r="AJ32" s="145" t="b">
        <f t="shared" si="86"/>
        <v>0</v>
      </c>
      <c r="AK32" s="151" t="b">
        <f t="shared" si="109"/>
        <v>0</v>
      </c>
      <c r="AM32" s="147">
        <f t="shared" si="87"/>
        <v>0</v>
      </c>
      <c r="AO32" s="162">
        <f t="shared" si="88"/>
        <v>0</v>
      </c>
      <c r="AP32" s="162">
        <f t="shared" si="89"/>
        <v>0</v>
      </c>
      <c r="AQ32" s="153">
        <f t="shared" si="90"/>
        <v>0</v>
      </c>
      <c r="AR32" s="162">
        <f t="shared" si="91"/>
        <v>0</v>
      </c>
      <c r="AS32" s="154">
        <f t="shared" si="92"/>
        <v>0</v>
      </c>
      <c r="AT32" s="154">
        <f t="shared" si="110"/>
        <v>40</v>
      </c>
      <c r="AU32" s="155">
        <f t="shared" si="111"/>
        <v>0</v>
      </c>
      <c r="AV32" s="156">
        <f t="shared" si="93"/>
        <v>0</v>
      </c>
      <c r="AW32" s="157">
        <f t="shared" si="112"/>
        <v>0</v>
      </c>
      <c r="AY32" s="157">
        <f t="shared" si="94"/>
        <v>0</v>
      </c>
      <c r="AZ32" s="152">
        <f t="shared" si="95"/>
        <v>0</v>
      </c>
      <c r="BA32" s="152">
        <f t="shared" si="96"/>
        <v>0</v>
      </c>
      <c r="BB32" s="158">
        <f t="shared" si="97"/>
        <v>0</v>
      </c>
      <c r="BC32" s="152">
        <f t="shared" si="98"/>
        <v>0</v>
      </c>
      <c r="BD32" s="154">
        <f t="shared" si="99"/>
        <v>0</v>
      </c>
      <c r="BE32" s="154">
        <f t="shared" ref="BE32:BE36" si="115">IF(AND(AH31&lt;=40),40-AH31,0)</f>
        <v>40</v>
      </c>
      <c r="BF32" s="159">
        <f t="shared" si="113"/>
        <v>0</v>
      </c>
      <c r="BG32" s="160"/>
      <c r="BH32" s="160">
        <f>IF(AND(G32&gt;0,E32&gt;0),1,0)</f>
        <v>0</v>
      </c>
      <c r="BI32" s="161">
        <f t="shared" si="100"/>
        <v>40</v>
      </c>
      <c r="BJ32" s="161">
        <f t="shared" si="101"/>
        <v>0</v>
      </c>
      <c r="BK32" s="161">
        <f t="shared" si="102"/>
        <v>0</v>
      </c>
      <c r="BL32" s="161">
        <f>SUM(E30:E32)</f>
        <v>0</v>
      </c>
      <c r="BM32" s="160">
        <f t="shared" si="114"/>
        <v>0</v>
      </c>
      <c r="BN32" s="161">
        <f>IF(AND(BM32=1,J32&gt;8),K32,(IF(AND(BM32=1,J32&gt;0),J32,0)))</f>
        <v>0</v>
      </c>
      <c r="BO32" s="161">
        <f>IF(AND(BM32=1,40-BL31&gt;0,40-BL31&lt;8),40-BL31,IF(AND(J32&lt;K32),J32,K32))</f>
        <v>0</v>
      </c>
      <c r="BP32" s="161">
        <f t="shared" si="104"/>
        <v>0</v>
      </c>
      <c r="BQ32" s="160"/>
    </row>
    <row r="33" spans="1:69" ht="15" customHeight="1">
      <c r="A33" s="225">
        <f t="shared" si="105"/>
        <v>44468</v>
      </c>
      <c r="B33" s="226"/>
      <c r="C33" s="227"/>
      <c r="D33" s="32" t="s">
        <v>26</v>
      </c>
      <c r="E33" s="51"/>
      <c r="F33" s="51"/>
      <c r="G33" s="112"/>
      <c r="H33" s="51"/>
      <c r="I33" s="51"/>
      <c r="J33" s="113"/>
      <c r="K33" s="113"/>
      <c r="L33" s="114"/>
      <c r="M33" s="51"/>
      <c r="N33" s="51"/>
      <c r="O33" s="110">
        <f t="shared" si="81"/>
        <v>0</v>
      </c>
      <c r="P33" s="50" t="str">
        <f t="shared" si="106"/>
        <v/>
      </c>
      <c r="Q33" s="52"/>
      <c r="R33" s="50" t="str">
        <f t="shared" si="107"/>
        <v/>
      </c>
      <c r="S33" s="52"/>
      <c r="T33" s="52"/>
      <c r="U33" s="149">
        <f t="shared" si="35"/>
        <v>0</v>
      </c>
      <c r="V33" s="150">
        <f t="shared" si="108"/>
        <v>0</v>
      </c>
      <c r="W33" s="50"/>
      <c r="X33" s="49">
        <f>IF(ISNA(INDEX('Conversion Factors'!$B$6:$B$370,MATCH('Sept 16 - Sept 30'!$Z$30:$Z$36,'Conversion Factors'!$A$6:$A$370,0))),"",INDEX('Conversion Factors'!$B$6:$B$370,MATCH('Sept 16 - Sept 30'!$Z$30:$Z$36,'Conversion Factors'!$A$6:$A$370,0)))</f>
        <v>7.8789999999999996</v>
      </c>
      <c r="Z33" s="17">
        <f t="shared" si="82"/>
        <v>44468</v>
      </c>
      <c r="AA33" s="57" t="str">
        <f t="shared" si="83"/>
        <v/>
      </c>
      <c r="AB33" s="57" t="str">
        <f t="shared" si="84"/>
        <v/>
      </c>
      <c r="AG33" s="1"/>
      <c r="AH33" s="71">
        <f t="shared" si="85"/>
        <v>0</v>
      </c>
      <c r="AI33" s="68">
        <f>IF(AH33&gt;$AI$12,AH33-($AI$12+AI32+AI31+AI30+AI29),0)</f>
        <v>0</v>
      </c>
      <c r="AJ33" s="145" t="b">
        <f t="shared" si="86"/>
        <v>0</v>
      </c>
      <c r="AK33" s="151" t="b">
        <f t="shared" si="109"/>
        <v>0</v>
      </c>
      <c r="AM33" s="147">
        <f t="shared" si="87"/>
        <v>0</v>
      </c>
      <c r="AO33" s="162">
        <f t="shared" si="88"/>
        <v>0</v>
      </c>
      <c r="AP33" s="162">
        <f t="shared" si="89"/>
        <v>0</v>
      </c>
      <c r="AQ33" s="153">
        <f t="shared" si="90"/>
        <v>0</v>
      </c>
      <c r="AR33" s="162">
        <f t="shared" si="91"/>
        <v>0</v>
      </c>
      <c r="AS33" s="154">
        <f t="shared" si="92"/>
        <v>0</v>
      </c>
      <c r="AT33" s="154">
        <f t="shared" si="110"/>
        <v>40</v>
      </c>
      <c r="AU33" s="155">
        <f t="shared" si="111"/>
        <v>0</v>
      </c>
      <c r="AV33" s="156">
        <f t="shared" si="93"/>
        <v>0</v>
      </c>
      <c r="AW33" s="157">
        <f t="shared" si="112"/>
        <v>0</v>
      </c>
      <c r="AY33" s="157">
        <f t="shared" si="94"/>
        <v>0</v>
      </c>
      <c r="AZ33" s="152">
        <f t="shared" si="95"/>
        <v>0</v>
      </c>
      <c r="BA33" s="152">
        <f t="shared" si="96"/>
        <v>0</v>
      </c>
      <c r="BB33" s="158">
        <f t="shared" si="97"/>
        <v>0</v>
      </c>
      <c r="BC33" s="152">
        <f t="shared" si="98"/>
        <v>0</v>
      </c>
      <c r="BD33" s="154">
        <f t="shared" si="99"/>
        <v>0</v>
      </c>
      <c r="BE33" s="154">
        <f t="shared" si="115"/>
        <v>40</v>
      </c>
      <c r="BF33" s="159">
        <f t="shared" si="113"/>
        <v>0</v>
      </c>
      <c r="BG33" s="160"/>
      <c r="BH33" s="160">
        <f t="shared" ref="BH33:BH37" si="116">IF(AND(G33&gt;0,E33&gt;0),1,0)</f>
        <v>0</v>
      </c>
      <c r="BI33" s="161">
        <f t="shared" si="100"/>
        <v>40</v>
      </c>
      <c r="BJ33" s="161">
        <f t="shared" si="101"/>
        <v>0</v>
      </c>
      <c r="BK33" s="161">
        <f t="shared" si="102"/>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4"/>
        <v>0</v>
      </c>
      <c r="BQ33" s="160"/>
    </row>
    <row r="34" spans="1:69" ht="15" customHeight="1">
      <c r="A34" s="225">
        <f t="shared" si="105"/>
        <v>44469</v>
      </c>
      <c r="B34" s="226"/>
      <c r="C34" s="227"/>
      <c r="D34" s="32" t="s">
        <v>27</v>
      </c>
      <c r="E34" s="51"/>
      <c r="F34" s="51"/>
      <c r="G34" s="112"/>
      <c r="H34" s="51"/>
      <c r="I34" s="51"/>
      <c r="J34" s="113"/>
      <c r="K34" s="113"/>
      <c r="L34" s="114"/>
      <c r="M34" s="51"/>
      <c r="N34" s="51"/>
      <c r="O34" s="110">
        <f t="shared" si="81"/>
        <v>0</v>
      </c>
      <c r="P34" s="50" t="str">
        <f t="shared" si="106"/>
        <v/>
      </c>
      <c r="Q34" s="52"/>
      <c r="R34" s="50" t="str">
        <f t="shared" si="107"/>
        <v/>
      </c>
      <c r="S34" s="52"/>
      <c r="T34" s="52"/>
      <c r="U34" s="149">
        <f t="shared" si="35"/>
        <v>0</v>
      </c>
      <c r="V34" s="150">
        <f t="shared" si="108"/>
        <v>0</v>
      </c>
      <c r="W34" s="50"/>
      <c r="X34" s="49">
        <f>IF(ISNA(INDEX('Conversion Factors'!$B$6:$B$370,MATCH('Sept 16 - Sept 30'!$Z$30:$Z$36,'Conversion Factors'!$A$6:$A$370,0))),"",INDEX('Conversion Factors'!$B$6:$B$370,MATCH('Sept 16 - Sept 30'!$Z$30:$Z$36,'Conversion Factors'!$A$6:$A$370,0)))</f>
        <v>7.8789999999999996</v>
      </c>
      <c r="Z34" s="17">
        <f t="shared" si="82"/>
        <v>44469</v>
      </c>
      <c r="AA34" s="57" t="str">
        <f t="shared" si="83"/>
        <v/>
      </c>
      <c r="AB34" s="57" t="str">
        <f t="shared" si="84"/>
        <v/>
      </c>
      <c r="AH34" s="71">
        <f t="shared" si="85"/>
        <v>0</v>
      </c>
      <c r="AI34" s="68">
        <f>IF(AH34&gt;$AI$12,AH34-($AI$12+AI33+AI32+AI31+AI30+AI29),0)</f>
        <v>0</v>
      </c>
      <c r="AJ34" s="145" t="b">
        <f t="shared" si="86"/>
        <v>0</v>
      </c>
      <c r="AK34" s="151" t="b">
        <f t="shared" si="109"/>
        <v>0</v>
      </c>
      <c r="AM34" s="147">
        <f t="shared" si="87"/>
        <v>0</v>
      </c>
      <c r="AO34" s="162">
        <f t="shared" si="88"/>
        <v>0</v>
      </c>
      <c r="AP34" s="162">
        <f t="shared" si="89"/>
        <v>0</v>
      </c>
      <c r="AQ34" s="153">
        <f t="shared" si="90"/>
        <v>0</v>
      </c>
      <c r="AR34" s="162">
        <f t="shared" si="91"/>
        <v>0</v>
      </c>
      <c r="AS34" s="154">
        <f t="shared" si="92"/>
        <v>0</v>
      </c>
      <c r="AT34" s="154">
        <f>IF(AND(AH33&lt;=40),40-AH33,0)</f>
        <v>40</v>
      </c>
      <c r="AU34" s="155">
        <f t="shared" si="111"/>
        <v>0</v>
      </c>
      <c r="AV34" s="156">
        <f t="shared" si="93"/>
        <v>0</v>
      </c>
      <c r="AW34" s="157">
        <f t="shared" si="112"/>
        <v>0</v>
      </c>
      <c r="AY34" s="157">
        <f t="shared" si="94"/>
        <v>0</v>
      </c>
      <c r="AZ34" s="152">
        <f t="shared" si="95"/>
        <v>0</v>
      </c>
      <c r="BA34" s="152">
        <f t="shared" si="96"/>
        <v>0</v>
      </c>
      <c r="BB34" s="158">
        <f t="shared" si="97"/>
        <v>0</v>
      </c>
      <c r="BC34" s="152">
        <f t="shared" si="98"/>
        <v>0</v>
      </c>
      <c r="BD34" s="154">
        <f t="shared" si="99"/>
        <v>0</v>
      </c>
      <c r="BE34" s="154">
        <f t="shared" si="115"/>
        <v>40</v>
      </c>
      <c r="BF34" s="159">
        <f t="shared" si="113"/>
        <v>0</v>
      </c>
      <c r="BG34" s="160"/>
      <c r="BH34" s="160">
        <f t="shared" si="116"/>
        <v>0</v>
      </c>
      <c r="BI34" s="161">
        <f t="shared" si="100"/>
        <v>40</v>
      </c>
      <c r="BJ34" s="161">
        <f t="shared" si="101"/>
        <v>0</v>
      </c>
      <c r="BK34" s="161">
        <f t="shared" si="102"/>
        <v>0</v>
      </c>
      <c r="BL34" s="161">
        <f>SUM(E30:E34)</f>
        <v>0</v>
      </c>
      <c r="BM34" s="160">
        <f t="shared" si="114"/>
        <v>0</v>
      </c>
      <c r="BN34" s="161">
        <f t="shared" si="117"/>
        <v>0</v>
      </c>
      <c r="BO34" s="161">
        <f t="shared" si="118"/>
        <v>0</v>
      </c>
      <c r="BP34" s="161">
        <f t="shared" si="104"/>
        <v>0</v>
      </c>
      <c r="BQ34" s="160"/>
    </row>
    <row r="35" spans="1:69" ht="15" customHeight="1">
      <c r="A35" s="225" t="str">
        <f t="shared" si="105"/>
        <v/>
      </c>
      <c r="B35" s="226"/>
      <c r="C35" s="227"/>
      <c r="D35" s="32" t="s">
        <v>28</v>
      </c>
      <c r="E35" s="52"/>
      <c r="F35" s="52"/>
      <c r="G35" s="77"/>
      <c r="H35" s="52"/>
      <c r="I35" s="52"/>
      <c r="J35" s="108"/>
      <c r="K35" s="108"/>
      <c r="L35" s="109"/>
      <c r="M35" s="52"/>
      <c r="N35" s="52"/>
      <c r="O35" s="110">
        <f t="shared" si="81"/>
        <v>0</v>
      </c>
      <c r="P35" s="50" t="str">
        <f t="shared" si="106"/>
        <v/>
      </c>
      <c r="Q35" s="52"/>
      <c r="R35" s="50" t="str">
        <f t="shared" si="107"/>
        <v/>
      </c>
      <c r="S35" s="52"/>
      <c r="T35" s="52"/>
      <c r="U35" s="149">
        <f t="shared" si="35"/>
        <v>0</v>
      </c>
      <c r="V35" s="150">
        <f t="shared" si="108"/>
        <v>0</v>
      </c>
      <c r="W35" s="50"/>
      <c r="X35" s="49" t="str">
        <f>IF(ISNA(INDEX('Conversion Factors'!$B$6:$B$370,MATCH('Sept 16 - Sept 30'!$Z$30:$Z$36,'Conversion Factors'!$A$6:$A$370,0))),"",INDEX('Conversion Factors'!$B$6:$B$370,MATCH('Sept 16 - Sept 30'!$Z$30:$Z$36,'Conversion Factors'!$A$6:$A$370,0)))</f>
        <v/>
      </c>
      <c r="Z35" s="17" t="str">
        <f t="shared" si="82"/>
        <v/>
      </c>
      <c r="AA35" s="57" t="str">
        <f t="shared" si="83"/>
        <v/>
      </c>
      <c r="AB35" s="57" t="str">
        <f t="shared" si="84"/>
        <v/>
      </c>
      <c r="AH35" s="71">
        <f t="shared" si="85"/>
        <v>0</v>
      </c>
      <c r="AI35" s="68">
        <f>IF(AH35&gt;$AI$12,AH35-($AI$12+AI34+AI33+AI32+AI31+AI30+AI29),0)</f>
        <v>0</v>
      </c>
      <c r="AJ35" s="145" t="b">
        <f t="shared" si="86"/>
        <v>0</v>
      </c>
      <c r="AK35" s="151" t="b">
        <f t="shared" si="109"/>
        <v>0</v>
      </c>
      <c r="AM35" s="147">
        <f t="shared" si="87"/>
        <v>0</v>
      </c>
      <c r="AO35" s="162">
        <f t="shared" si="88"/>
        <v>0</v>
      </c>
      <c r="AP35" s="162">
        <f t="shared" si="89"/>
        <v>0</v>
      </c>
      <c r="AQ35" s="153">
        <f t="shared" si="90"/>
        <v>0</v>
      </c>
      <c r="AR35" s="162">
        <f t="shared" si="91"/>
        <v>0</v>
      </c>
      <c r="AS35" s="154">
        <f t="shared" si="92"/>
        <v>0</v>
      </c>
      <c r="AT35" s="154">
        <f t="shared" ref="AT35:AT36" si="119">IF(AND(AH34&lt;=40),40-AH34,0)</f>
        <v>40</v>
      </c>
      <c r="AU35" s="155">
        <f t="shared" si="111"/>
        <v>0</v>
      </c>
      <c r="AV35" s="156">
        <f t="shared" si="93"/>
        <v>0</v>
      </c>
      <c r="AW35" s="157">
        <f t="shared" si="112"/>
        <v>0</v>
      </c>
      <c r="AY35" s="157">
        <f t="shared" si="94"/>
        <v>0</v>
      </c>
      <c r="AZ35" s="152">
        <f t="shared" si="95"/>
        <v>0</v>
      </c>
      <c r="BA35" s="152">
        <f t="shared" si="96"/>
        <v>0</v>
      </c>
      <c r="BB35" s="158">
        <f t="shared" si="97"/>
        <v>0</v>
      </c>
      <c r="BC35" s="152">
        <f t="shared" si="98"/>
        <v>0</v>
      </c>
      <c r="BD35" s="154">
        <f t="shared" si="99"/>
        <v>0</v>
      </c>
      <c r="BE35" s="154">
        <f t="shared" si="115"/>
        <v>40</v>
      </c>
      <c r="BF35" s="159">
        <f t="shared" si="113"/>
        <v>0</v>
      </c>
      <c r="BG35" s="160"/>
      <c r="BH35" s="160">
        <f t="shared" si="116"/>
        <v>0</v>
      </c>
      <c r="BI35" s="161">
        <f t="shared" si="100"/>
        <v>40</v>
      </c>
      <c r="BJ35" s="161">
        <f t="shared" si="101"/>
        <v>0</v>
      </c>
      <c r="BK35" s="161">
        <f t="shared" si="102"/>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5"/>
        <v>0</v>
      </c>
      <c r="B36" s="226"/>
      <c r="C36" s="227"/>
      <c r="D36" s="32" t="s">
        <v>29</v>
      </c>
      <c r="E36" s="52"/>
      <c r="F36" s="52"/>
      <c r="G36" s="77"/>
      <c r="H36" s="52"/>
      <c r="I36" s="52"/>
      <c r="J36" s="108"/>
      <c r="K36" s="108"/>
      <c r="L36" s="109"/>
      <c r="M36" s="52"/>
      <c r="N36" s="52"/>
      <c r="O36" s="110">
        <f t="shared" si="81"/>
        <v>0</v>
      </c>
      <c r="P36" s="50" t="str">
        <f t="shared" si="106"/>
        <v/>
      </c>
      <c r="Q36" s="52"/>
      <c r="R36" s="50" t="str">
        <f t="shared" si="107"/>
        <v/>
      </c>
      <c r="S36" s="52"/>
      <c r="T36" s="52"/>
      <c r="U36" s="149">
        <f t="shared" si="35"/>
        <v>0</v>
      </c>
      <c r="V36" s="150">
        <f t="shared" si="108"/>
        <v>0</v>
      </c>
      <c r="W36" s="50"/>
      <c r="X36" s="49" t="str">
        <f>IF(ISNA(INDEX('Conversion Factors'!$B$6:$B$370,MATCH('Sept 16 - Sept 30'!$Z$30:$Z$36,'Conversion Factors'!$A$6:$A$370,0))),"",INDEX('Conversion Factors'!$B$6:$B$370,MATCH('Sept 16 - Sept 30'!$Z$30:$Z$36,'Conversion Factors'!$A$6:$A$370,0)))</f>
        <v/>
      </c>
      <c r="Z36" s="17" t="b">
        <f t="shared" si="82"/>
        <v>0</v>
      </c>
      <c r="AA36" s="57" t="str">
        <f t="shared" si="83"/>
        <v/>
      </c>
      <c r="AB36" s="57" t="str">
        <f t="shared" si="84"/>
        <v/>
      </c>
      <c r="AH36" s="71">
        <f t="shared" si="85"/>
        <v>0</v>
      </c>
      <c r="AI36" s="68">
        <f>IF(AH36&gt;$AI$12,AH36-($AI$12+AI35+AI34+AI33+AI32+AI31+AI30+AI29),0)</f>
        <v>0</v>
      </c>
      <c r="AJ36" s="145" t="b">
        <f t="shared" si="86"/>
        <v>0</v>
      </c>
      <c r="AK36" s="151" t="b">
        <f t="shared" si="109"/>
        <v>0</v>
      </c>
      <c r="AM36" s="147">
        <f t="shared" si="87"/>
        <v>0</v>
      </c>
      <c r="AO36" s="163">
        <f t="shared" si="88"/>
        <v>0</v>
      </c>
      <c r="AP36" s="163">
        <f t="shared" si="89"/>
        <v>0</v>
      </c>
      <c r="AQ36" s="153">
        <f t="shared" si="90"/>
        <v>0</v>
      </c>
      <c r="AR36" s="163">
        <f t="shared" si="91"/>
        <v>0</v>
      </c>
      <c r="AS36" s="154">
        <f t="shared" si="92"/>
        <v>0</v>
      </c>
      <c r="AT36" s="154">
        <f t="shared" si="119"/>
        <v>40</v>
      </c>
      <c r="AU36" s="155">
        <f t="shared" si="111"/>
        <v>0</v>
      </c>
      <c r="AV36" s="156">
        <f t="shared" si="93"/>
        <v>0</v>
      </c>
      <c r="AW36" s="157">
        <f t="shared" si="112"/>
        <v>0</v>
      </c>
      <c r="AY36" s="157">
        <f t="shared" si="94"/>
        <v>0</v>
      </c>
      <c r="AZ36" s="152">
        <f t="shared" si="95"/>
        <v>0</v>
      </c>
      <c r="BA36" s="152">
        <f t="shared" si="96"/>
        <v>0</v>
      </c>
      <c r="BB36" s="158">
        <f t="shared" si="97"/>
        <v>0</v>
      </c>
      <c r="BC36" s="152">
        <f t="shared" si="98"/>
        <v>0</v>
      </c>
      <c r="BD36" s="154">
        <f t="shared" si="99"/>
        <v>0</v>
      </c>
      <c r="BE36" s="154">
        <f t="shared" si="115"/>
        <v>40</v>
      </c>
      <c r="BF36" s="159">
        <f t="shared" si="113"/>
        <v>0</v>
      </c>
      <c r="BG36" s="160"/>
      <c r="BH36" s="160">
        <f t="shared" si="116"/>
        <v>0</v>
      </c>
      <c r="BI36" s="161">
        <f t="shared" si="100"/>
        <v>40</v>
      </c>
      <c r="BJ36" s="161">
        <f t="shared" si="101"/>
        <v>0</v>
      </c>
      <c r="BK36" s="161">
        <f t="shared" si="102"/>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8</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8</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Factors'!$B$6:$B$370,MATCH('Sept 16 - Sept 30'!$Z$38:$Z$44,'Conversion Factors'!$A$6:$A$370,0))),"",INDEX('Conversion Factors'!$B$6:$B$370,MATCH('Sept 16 - Sept 30'!$Z$38:$Z$44,'Conversion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Factors'!$B$6:$B$370,MATCH('Sept 16 - Sept 30'!$Z$38:$Z$44,'Conversion Factors'!$A$6:$A$370,0))),"",INDEX('Conversion Factors'!$B$6:$B$370,MATCH('Sept 16 - Sept 30'!$Z$38:$Z$44,'Conversion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Factors'!$B$6:$B$370,MATCH('Sept 16 - Sept 30'!$Z$38:$Z$44,'Conversion Factors'!$A$6:$A$370,0))),"",INDEX('Conversion Factors'!$B$6:$B$370,MATCH('Sept 16 - Sept 30'!$Z$38:$Z$44,'Conversion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Factors'!$B$6:$B$370,MATCH('Sept 16 - Sept 30'!$Z$38:$Z$44,'Conversion Factors'!$A$6:$A$370,0))),"",INDEX('Conversion Factors'!$B$6:$B$370,MATCH('Sept 16 - Sept 30'!$Z$38:$Z$44,'Conversion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Factors'!$B$6:$B$370,MATCH('Sept 16 - Sept 30'!$Z$38:$Z$44,'Conversion Factors'!$A$6:$A$370,0))),"",INDEX('Conversion Factors'!$B$6:$B$370,MATCH('Sept 16 - Sept 30'!$Z$38:$Z$44,'Conversion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Factors'!$B$6:$B$370,MATCH('Sept 16 - Sept 30'!$Z$38:$Z$44,'Conversion Factors'!$A$6:$A$370,0))),"",INDEX('Conversion Factors'!$B$6:$B$370,MATCH('Sept 16 - Sept 30'!$Z$38:$Z$44,'Conversion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Factors'!$B$6:$B$370,MATCH('Sept 16 - Sept 30'!$Z$38:$Z$44,'Conversion Factors'!$A$6:$A$370,0))),"",INDEX('Conversion Factors'!$B$6:$B$370,MATCH('Sept 16 - Sept 30'!$Z$38:$Z$44,'Conversion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8</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8</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41" priority="17" operator="equal">
      <formula>FALSE</formula>
    </cfRule>
  </conditionalFormatting>
  <conditionalFormatting sqref="A22:C22">
    <cfRule type="cellIs" dxfId="340" priority="16" operator="equal">
      <formula>FALSE</formula>
    </cfRule>
  </conditionalFormatting>
  <conditionalFormatting sqref="D22:D28">
    <cfRule type="cellIs" dxfId="339" priority="15" operator="equal">
      <formula>FALSE</formula>
    </cfRule>
  </conditionalFormatting>
  <conditionalFormatting sqref="Z22:Z28">
    <cfRule type="cellIs" dxfId="338" priority="14" operator="equal">
      <formula>FALSE</formula>
    </cfRule>
  </conditionalFormatting>
  <conditionalFormatting sqref="Z30:Z36">
    <cfRule type="cellIs" dxfId="337" priority="13" operator="equal">
      <formula>FALSE</formula>
    </cfRule>
  </conditionalFormatting>
  <conditionalFormatting sqref="X21 X29 X37">
    <cfRule type="containsErrors" dxfId="336" priority="12">
      <formula>ISERROR(X21)</formula>
    </cfRule>
  </conditionalFormatting>
  <conditionalFormatting sqref="Z39:Z44">
    <cfRule type="cellIs" dxfId="335" priority="10" operator="equal">
      <formula>FALSE</formula>
    </cfRule>
  </conditionalFormatting>
  <conditionalFormatting sqref="Z38">
    <cfRule type="cellIs" dxfId="334" priority="11" operator="equal">
      <formula>FALSE</formula>
    </cfRule>
  </conditionalFormatting>
  <conditionalFormatting sqref="W11:X11">
    <cfRule type="cellIs" dxfId="333" priority="9" operator="equal">
      <formula>"Please Select"</formula>
    </cfRule>
  </conditionalFormatting>
  <conditionalFormatting sqref="E11:F11">
    <cfRule type="containsBlanks" dxfId="332" priority="8">
      <formula>LEN(TRIM(E11))=0</formula>
    </cfRule>
  </conditionalFormatting>
  <conditionalFormatting sqref="U14:U46">
    <cfRule type="cellIs" dxfId="331" priority="7" operator="equal">
      <formula>FALSE</formula>
    </cfRule>
  </conditionalFormatting>
  <conditionalFormatting sqref="P26">
    <cfRule type="cellIs" dxfId="330" priority="6" operator="lessThan">
      <formula>$BQ$21</formula>
    </cfRule>
  </conditionalFormatting>
  <conditionalFormatting sqref="X14:X20">
    <cfRule type="containsErrors" dxfId="329" priority="5">
      <formula>ISERROR(X14)</formula>
    </cfRule>
  </conditionalFormatting>
  <conditionalFormatting sqref="X30:X36">
    <cfRule type="containsErrors" dxfId="328" priority="4">
      <formula>ISERROR(X30)</formula>
    </cfRule>
  </conditionalFormatting>
  <conditionalFormatting sqref="X38:X44">
    <cfRule type="containsErrors" dxfId="327" priority="3">
      <formula>ISERROR(X38)</formula>
    </cfRule>
  </conditionalFormatting>
  <conditionalFormatting sqref="X22">
    <cfRule type="containsErrors" dxfId="326" priority="2">
      <formula>ISERROR(X22)</formula>
    </cfRule>
  </conditionalFormatting>
  <conditionalFormatting sqref="X23:X28">
    <cfRule type="containsErrors" dxfId="325"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DA6007C1-01FF-4E1D-9256-D18A9633D67C}"/>
    <dataValidation allowBlank="1" showInputMessage="1" showErrorMessage="1" prompt="Enter your Name into this field and it will populate to all the other time reports in this workbook." sqref="C7:H7" xr:uid="{2AEC0843-2827-4B84-8F4B-1C38F3F8E962}"/>
    <dataValidation allowBlank="1" showInputMessage="1" showErrorMessage="1" prompt="Enter your MSU ID into this field and it will populate to all the other time re[prts in this workbook." sqref="C6:H6" xr:uid="{8FFE5EB5-2B9F-4F3E-A1C0-8CF20AE473FF}"/>
    <dataValidation allowBlank="1" showInputMessage="1" showErrorMessage="1" promptTitle="Hours Per Week" prompt="Please enter the number of hours you are scheduled to work each week.  (Example:  40)_x000a_" sqref="E11:F11" xr:uid="{D06E7B56-CAE3-4F57-B17F-47B33DA5F8D7}"/>
    <dataValidation type="list" allowBlank="1" showInputMessage="1" showErrorMessage="1" promptTitle="Compensatory Time" prompt="Please select &quot;No&quot; if you are not receiving Compensatory time or &quot;Yes&quot; if you are receiving compensatory time." sqref="W11:X11" xr:uid="{127D69D6-30EC-4136-8DC2-AC0D39828A75}">
      <formula1>$AD$6:$AD$8</formula1>
    </dataValidation>
  </dataValidations>
  <hyperlinks>
    <hyperlink ref="O49" r:id="rId1" xr:uid="{5EE40B76-47EA-42A9-8944-F621F6164E7C}"/>
    <hyperlink ref="O48:W48" r:id="rId2" display="Leave/Leave Without Pay Policy" xr:uid="{59D60778-774D-4C0B-AFA9-A22DD8F40805}"/>
    <hyperlink ref="O50:W50" r:id="rId3" display="Time Sheet Definitions/Policies" xr:uid="{144F7845-E042-407B-A460-2D0A575AE18D}"/>
    <hyperlink ref="O49:T49" r:id="rId4" display="Overtime/Compensatory Time" xr:uid="{986DA14F-2700-42CE-98A6-31291083E820}"/>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2B199-3CE8-4E07-B619-7493E0D44B74}">
  <sheetPr codeName="Sheet13">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Notes'!$A$8</f>
        <v>44470</v>
      </c>
      <c r="P6" s="265"/>
      <c r="Q6" s="265"/>
      <c r="R6" s="265"/>
      <c r="S6" s="265"/>
      <c r="T6" s="265"/>
      <c r="U6" s="53"/>
      <c r="V6" s="53"/>
      <c r="W6" s="24"/>
      <c r="X6" s="30"/>
      <c r="Z6" s="4" t="str">
        <f>TEXT(O6,"dddd")</f>
        <v>Friday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Notes'!$B$8</f>
        <v>44484</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Notes'!$C$8</f>
        <v>19</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SUM(E14:E18)</f>
        <v>0</v>
      </c>
      <c r="F13" s="86">
        <f t="shared" ref="F13:N13" si="0">SUM(F14:F18)</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'Sept 16 - Sept 30'!E30</f>
        <v>0</v>
      </c>
      <c r="F14" s="182">
        <f>'Sept 16 - Sept 30'!F30</f>
        <v>0</v>
      </c>
      <c r="G14" s="184">
        <f>'Sept 16 - Sept 30'!G30</f>
        <v>0</v>
      </c>
      <c r="H14" s="182">
        <f>'Sept 16 - Sept 30'!H30</f>
        <v>0</v>
      </c>
      <c r="I14" s="182">
        <f>'Sept 16 - Sept 30'!I30</f>
        <v>0</v>
      </c>
      <c r="J14" s="185">
        <f>'Sept 16 - Sept 30'!J30</f>
        <v>0</v>
      </c>
      <c r="K14" s="185">
        <f>'Sept 16 - Sept 30'!K30</f>
        <v>0</v>
      </c>
      <c r="L14" s="186">
        <f>'Sept 16 - Sept 30'!L30</f>
        <v>0</v>
      </c>
      <c r="M14" s="182">
        <f>'Sept 16 - Sept 30'!M30</f>
        <v>0</v>
      </c>
      <c r="N14" s="182">
        <f>'Sept 16 - Sept 30'!N30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Factors'!$B$6:$B$371,MATCH('Oct 1 - Oct 15'!$Z$14:$Z$20,'Conversion Factors'!$A$6:$A$371,0))),"",INDEX('Conversion Factors'!$B$6:$B$371,MATCH('Oct 1 - Oct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'Sept 16 - Sept 30'!E31</f>
        <v>0</v>
      </c>
      <c r="F15" s="182">
        <f>'Sept 16 - Sept 30'!F31</f>
        <v>0</v>
      </c>
      <c r="G15" s="184">
        <f>'Sept 16 - Sept 30'!G31</f>
        <v>0</v>
      </c>
      <c r="H15" s="182">
        <f>'Sept 16 - Sept 30'!H31</f>
        <v>0</v>
      </c>
      <c r="I15" s="182">
        <f>'Sept 16 - Sept 30'!I31</f>
        <v>0</v>
      </c>
      <c r="J15" s="185">
        <f>'Sept 16 - Sept 30'!J31</f>
        <v>0</v>
      </c>
      <c r="K15" s="185">
        <f>'Sept 16 - Sept 30'!K31</f>
        <v>0</v>
      </c>
      <c r="L15" s="186">
        <f>'Sept 16 - Sept 30'!L31</f>
        <v>0</v>
      </c>
      <c r="M15" s="182">
        <f>'Sept 16 - Sept 30'!M31</f>
        <v>0</v>
      </c>
      <c r="N15" s="182">
        <f>'Sept 16 - Sept 30'!N31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Factors'!$B$6:$B$371,MATCH('Oct 1 - Oct 15'!$Z$14:$Z$20,'Conversion Factors'!$A$6:$A$371,0))),"",INDEX('Conversion Factors'!$B$6:$B$371,MATCH('Oct 1 - Oct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'Sept 16 - Sept 30'!E32</f>
        <v>0</v>
      </c>
      <c r="F16" s="182">
        <f>'Sept 16 - Sept 30'!F32</f>
        <v>0</v>
      </c>
      <c r="G16" s="184">
        <f>'Sept 16 - Sept 30'!G32</f>
        <v>0</v>
      </c>
      <c r="H16" s="182">
        <f>'Sept 16 - Sept 30'!H32</f>
        <v>0</v>
      </c>
      <c r="I16" s="182">
        <f>'Sept 16 - Sept 30'!I32</f>
        <v>0</v>
      </c>
      <c r="J16" s="185">
        <f>'Sept 16 - Sept 30'!J32</f>
        <v>0</v>
      </c>
      <c r="K16" s="185">
        <f>'Sept 16 - Sept 30'!K32</f>
        <v>0</v>
      </c>
      <c r="L16" s="186">
        <f>'Sept 16 - Sept 30'!L32</f>
        <v>0</v>
      </c>
      <c r="M16" s="182">
        <f>'Sept 16 - Sept 30'!M32</f>
        <v>0</v>
      </c>
      <c r="N16" s="182">
        <f>'Sept 16 - Sept 30'!N32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Factors'!$B$6:$B$371,MATCH('Oct 1 - Oct 15'!$Z$14:$Z$20,'Conversion Factors'!$A$6:$A$371,0))),"",INDEX('Conversion Factors'!$B$6:$B$371,MATCH('Oct 1 - Oct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'Sept 16 - Sept 30'!E33</f>
        <v>0</v>
      </c>
      <c r="F17" s="182">
        <f>'Sept 16 - Sept 30'!F33</f>
        <v>0</v>
      </c>
      <c r="G17" s="184">
        <f>'Sept 16 - Sept 30'!G33</f>
        <v>0</v>
      </c>
      <c r="H17" s="182">
        <f>'Sept 16 - Sept 30'!H33</f>
        <v>0</v>
      </c>
      <c r="I17" s="182">
        <f>'Sept 16 - Sept 30'!I33</f>
        <v>0</v>
      </c>
      <c r="J17" s="185">
        <f>'Sept 16 - Sept 30'!J33</f>
        <v>0</v>
      </c>
      <c r="K17" s="185">
        <f>'Sept 16 - Sept 30'!K33</f>
        <v>0</v>
      </c>
      <c r="L17" s="186">
        <f>'Sept 16 - Sept 30'!L33</f>
        <v>0</v>
      </c>
      <c r="M17" s="182">
        <f>'Sept 16 - Sept 30'!M33</f>
        <v>0</v>
      </c>
      <c r="N17" s="182">
        <f>'Sept 16 - Sept 30'!N33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Factors'!$B$6:$B$371,MATCH('Oct 1 - Oct 15'!$Z$14:$Z$20,'Conversion Factors'!$A$6:$A$371,0))),"",INDEX('Conversion Factors'!$B$6:$B$371,MATCH('Oct 1 - Oct 15'!$Z$14:$Z$20,'Conversion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'Sept 16 - Sept 30'!E34</f>
        <v>0</v>
      </c>
      <c r="F18" s="182">
        <f>'Sept 16 - Sept 30'!F34</f>
        <v>0</v>
      </c>
      <c r="G18" s="184">
        <f>'Sept 16 - Sept 30'!G34</f>
        <v>0</v>
      </c>
      <c r="H18" s="182">
        <f>'Sept 16 - Sept 30'!H34</f>
        <v>0</v>
      </c>
      <c r="I18" s="182">
        <f>'Sept 16 - Sept 30'!I34</f>
        <v>0</v>
      </c>
      <c r="J18" s="185">
        <f>'Sept 16 - Sept 30'!J34</f>
        <v>0</v>
      </c>
      <c r="K18" s="185">
        <f>'Sept 16 - Sept 30'!K34</f>
        <v>0</v>
      </c>
      <c r="L18" s="186">
        <f>'Sept 16 - Sept 30'!L34</f>
        <v>0</v>
      </c>
      <c r="M18" s="182">
        <f>'Sept 16 - Sept 30'!M34</f>
        <v>0</v>
      </c>
      <c r="N18" s="182">
        <f>'Sept 16 - Sept 30'!N34</f>
        <v>0</v>
      </c>
      <c r="O18" s="183">
        <f t="shared" si="34"/>
        <v>0</v>
      </c>
      <c r="P18" s="50" t="str">
        <f t="shared" si="23"/>
        <v/>
      </c>
      <c r="Q18" s="51"/>
      <c r="R18" s="50" t="str">
        <f t="shared" si="24"/>
        <v/>
      </c>
      <c r="S18" s="52"/>
      <c r="T18" s="52"/>
      <c r="U18" s="149">
        <f t="shared" si="35"/>
        <v>0</v>
      </c>
      <c r="V18" s="150">
        <f t="shared" si="25"/>
        <v>0</v>
      </c>
      <c r="W18" s="50"/>
      <c r="X18" s="49" t="str">
        <f>IF(ISNA(INDEX('Conversion Factors'!$B$6:$B$371,MATCH('Oct 1 - Oct 15'!$Z$14:$Z$20,'Conversion Factors'!$A$6:$A$371,0))),"",INDEX('Conversion Factors'!$B$6:$B$371,MATCH('Oct 1 - Oct 15'!$Z$14:$Z$20,'Conversion Factors'!$A$6:$A$371,0)))</f>
        <v/>
      </c>
      <c r="Z18" s="18" t="b">
        <f t="shared" si="1"/>
        <v>0</v>
      </c>
      <c r="AA18" s="57">
        <f t="shared" si="2"/>
        <v>0</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44470</v>
      </c>
      <c r="B19" s="238"/>
      <c r="C19" s="239"/>
      <c r="D19" s="32" t="s">
        <v>28</v>
      </c>
      <c r="E19" s="51"/>
      <c r="F19" s="51"/>
      <c r="G19" s="112"/>
      <c r="H19" s="51"/>
      <c r="I19" s="51"/>
      <c r="J19" s="113"/>
      <c r="K19" s="113"/>
      <c r="L19" s="114"/>
      <c r="M19" s="51"/>
      <c r="N19" s="51"/>
      <c r="O19" s="110">
        <f t="shared" si="34"/>
        <v>0</v>
      </c>
      <c r="P19" s="50" t="str">
        <f t="shared" si="23"/>
        <v/>
      </c>
      <c r="Q19" s="51"/>
      <c r="R19" s="50" t="str">
        <f t="shared" si="24"/>
        <v/>
      </c>
      <c r="S19" s="52"/>
      <c r="T19" s="52"/>
      <c r="U19" s="149">
        <f t="shared" si="35"/>
        <v>0</v>
      </c>
      <c r="V19" s="150">
        <f t="shared" si="25"/>
        <v>0</v>
      </c>
      <c r="W19" s="50"/>
      <c r="X19" s="49">
        <f>IF(ISNA(INDEX('Conversion Factors'!$B$6:$B$371,MATCH('Oct 1 - Oct 15'!$Z$14:$Z$20,'Conversion Factors'!$A$6:$A$371,0))),"",INDEX('Conversion Factors'!$B$6:$B$371,MATCH('Oct 1 - Oct 15'!$Z$14:$Z$20,'Conversion Factors'!$A$6:$A$371,0)))</f>
        <v>7.8789999999999996</v>
      </c>
      <c r="Z19" s="18">
        <f t="shared" si="1"/>
        <v>44470</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44471</v>
      </c>
      <c r="B20" s="238"/>
      <c r="C20" s="239"/>
      <c r="D20" s="32" t="s">
        <v>29</v>
      </c>
      <c r="E20" s="51"/>
      <c r="F20" s="51"/>
      <c r="G20" s="112"/>
      <c r="H20" s="51"/>
      <c r="I20" s="51"/>
      <c r="J20" s="113"/>
      <c r="K20" s="113"/>
      <c r="L20" s="114"/>
      <c r="M20" s="51"/>
      <c r="N20" s="51"/>
      <c r="O20" s="110">
        <f>SUM(E20:N20)-J20</f>
        <v>0</v>
      </c>
      <c r="P20" s="50" t="str">
        <f t="shared" si="23"/>
        <v/>
      </c>
      <c r="Q20" s="52"/>
      <c r="R20" s="50" t="str">
        <f t="shared" si="24"/>
        <v/>
      </c>
      <c r="S20" s="52"/>
      <c r="T20" s="52"/>
      <c r="U20" s="149">
        <f t="shared" si="35"/>
        <v>0</v>
      </c>
      <c r="V20" s="150">
        <f t="shared" si="25"/>
        <v>0</v>
      </c>
      <c r="W20" s="50"/>
      <c r="X20" s="49">
        <f>IF(ISNA(INDEX('Conversion Factors'!$B$6:$B$371,MATCH('Oct 1 - Oct 15'!$Z$14:$Z$20,'Conversion Factors'!$A$6:$A$371,0))),"",INDEX('Conversion Factors'!$B$6:$B$371,MATCH('Oct 1 - Oct 15'!$Z$14:$Z$20,'Conversion Factors'!$A$6:$A$371,0)))</f>
        <v>7.8789999999999996</v>
      </c>
      <c r="Z20" s="18">
        <f t="shared" si="1"/>
        <v>44471</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44472</v>
      </c>
      <c r="B22" s="238"/>
      <c r="C22" s="239"/>
      <c r="D22" s="32" t="s">
        <v>23</v>
      </c>
      <c r="E22" s="51"/>
      <c r="F22" s="51"/>
      <c r="G22" s="112"/>
      <c r="H22" s="51"/>
      <c r="I22" s="51"/>
      <c r="J22" s="113"/>
      <c r="K22" s="113"/>
      <c r="L22" s="114"/>
      <c r="M22" s="51"/>
      <c r="N22" s="51"/>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Factors'!$B$6:$B$371,MATCH('Oct 1 - Oct 15'!$Z$22:$Z$28,'Conversion Factors'!$A$6:$A$371,0))),"",INDEX('Conversion Factors'!$B$6:$B$371,MATCH('Oct 1 - Oct 15'!$Z$22:$Z$28,'Conversion Factors'!$A$6:$A$371,0)))</f>
        <v>7.8789999999999996</v>
      </c>
      <c r="Z22" s="17">
        <f t="shared" ref="Z22:Z28" si="42">A22</f>
        <v>44472</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44473</v>
      </c>
      <c r="B23" s="226"/>
      <c r="C23" s="227"/>
      <c r="D23" s="32" t="s">
        <v>24</v>
      </c>
      <c r="E23" s="51"/>
      <c r="F23" s="51"/>
      <c r="G23" s="112"/>
      <c r="H23" s="51"/>
      <c r="I23" s="51"/>
      <c r="J23" s="113"/>
      <c r="K23" s="113"/>
      <c r="L23" s="114"/>
      <c r="M23" s="51"/>
      <c r="N23" s="51"/>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Factors'!$B$6:$B$371,MATCH('Oct 1 - Oct 15'!$Z$22:$Z$28,'Conversion Factors'!$A$6:$A$371,0))),"",INDEX('Conversion Factors'!$B$6:$B$371,MATCH('Oct 1 - Oct 15'!$Z$22:$Z$28,'Conversion Factors'!$A$6:$A$371,0)))</f>
        <v>7.8789999999999996</v>
      </c>
      <c r="Z23" s="17">
        <f t="shared" si="42"/>
        <v>44473</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44474</v>
      </c>
      <c r="B24" s="226"/>
      <c r="C24" s="227"/>
      <c r="D24" s="32" t="s">
        <v>25</v>
      </c>
      <c r="E24" s="51"/>
      <c r="F24" s="51"/>
      <c r="G24" s="112"/>
      <c r="H24" s="51"/>
      <c r="I24" s="51"/>
      <c r="J24" s="113"/>
      <c r="K24" s="113"/>
      <c r="L24" s="114"/>
      <c r="M24" s="51"/>
      <c r="N24" s="51"/>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Factors'!$B$6:$B$371,MATCH('Oct 1 - Oct 15'!$Z$22:$Z$28,'Conversion Factors'!$A$6:$A$371,0))),"",INDEX('Conversion Factors'!$B$6:$B$371,MATCH('Oct 1 - Oct 15'!$Z$22:$Z$28,'Conversion Factors'!$A$6:$A$371,0)))</f>
        <v>7.8789999999999996</v>
      </c>
      <c r="Z24" s="17">
        <f t="shared" si="42"/>
        <v>44474</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44475</v>
      </c>
      <c r="B25" s="226"/>
      <c r="C25" s="227"/>
      <c r="D25" s="32" t="s">
        <v>26</v>
      </c>
      <c r="E25" s="51"/>
      <c r="F25" s="51"/>
      <c r="G25" s="112"/>
      <c r="H25" s="51"/>
      <c r="I25" s="51"/>
      <c r="J25" s="113"/>
      <c r="K25" s="113"/>
      <c r="L25" s="114"/>
      <c r="M25" s="51"/>
      <c r="N25" s="51"/>
      <c r="O25" s="110">
        <f t="shared" si="74"/>
        <v>0</v>
      </c>
      <c r="P25" s="50" t="str">
        <f t="shared" si="65"/>
        <v/>
      </c>
      <c r="Q25" s="51"/>
      <c r="R25" s="50" t="str">
        <f t="shared" si="66"/>
        <v/>
      </c>
      <c r="S25" s="52"/>
      <c r="T25" s="52"/>
      <c r="U25" s="149">
        <f t="shared" si="35"/>
        <v>0</v>
      </c>
      <c r="V25" s="150">
        <f t="shared" si="67"/>
        <v>0</v>
      </c>
      <c r="W25" s="50"/>
      <c r="X25" s="49">
        <f>IF(ISNA(INDEX('Conversion Factors'!$B$6:$B$371,MATCH('Oct 1 - Oct 15'!$Z$22:$Z$28,'Conversion Factors'!$A$6:$A$371,0))),"",INDEX('Conversion Factors'!$B$6:$B$371,MATCH('Oct 1 - Oct 15'!$Z$22:$Z$28,'Conversion Factors'!$A$6:$A$371,0)))</f>
        <v>7.8789999999999996</v>
      </c>
      <c r="Z25" s="17">
        <f t="shared" si="42"/>
        <v>44475</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44476</v>
      </c>
      <c r="B26" s="226"/>
      <c r="C26" s="227"/>
      <c r="D26" s="32" t="s">
        <v>27</v>
      </c>
      <c r="E26" s="51"/>
      <c r="F26" s="51"/>
      <c r="G26" s="112"/>
      <c r="H26" s="51"/>
      <c r="I26" s="51"/>
      <c r="J26" s="113"/>
      <c r="K26" s="113"/>
      <c r="L26" s="114"/>
      <c r="M26" s="51"/>
      <c r="N26" s="51"/>
      <c r="O26" s="110">
        <f t="shared" si="74"/>
        <v>0</v>
      </c>
      <c r="P26" s="50" t="str">
        <f t="shared" si="65"/>
        <v/>
      </c>
      <c r="Q26" s="51"/>
      <c r="R26" s="50" t="str">
        <f t="shared" si="66"/>
        <v/>
      </c>
      <c r="S26" s="52"/>
      <c r="T26" s="52"/>
      <c r="U26" s="149">
        <f t="shared" si="35"/>
        <v>0</v>
      </c>
      <c r="V26" s="150">
        <f t="shared" si="67"/>
        <v>0</v>
      </c>
      <c r="W26" s="50"/>
      <c r="X26" s="49">
        <f>IF(ISNA(INDEX('Conversion Factors'!$B$6:$B$371,MATCH('Oct 1 - Oct 15'!$Z$22:$Z$28,'Conversion Factors'!$A$6:$A$371,0))),"",INDEX('Conversion Factors'!$B$6:$B$371,MATCH('Oct 1 - Oct 15'!$Z$22:$Z$28,'Conversion Factors'!$A$6:$A$371,0)))</f>
        <v>7.8789999999999996</v>
      </c>
      <c r="Z26" s="17">
        <f t="shared" si="42"/>
        <v>44476</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44477</v>
      </c>
      <c r="B27" s="226"/>
      <c r="C27" s="227"/>
      <c r="D27" s="32" t="s">
        <v>28</v>
      </c>
      <c r="E27" s="51"/>
      <c r="F27" s="51"/>
      <c r="G27" s="112"/>
      <c r="H27" s="51"/>
      <c r="I27" s="51"/>
      <c r="J27" s="113"/>
      <c r="K27" s="113"/>
      <c r="L27" s="114"/>
      <c r="M27" s="51"/>
      <c r="N27" s="51"/>
      <c r="O27" s="110">
        <f t="shared" si="74"/>
        <v>0</v>
      </c>
      <c r="P27" s="50" t="str">
        <f t="shared" si="65"/>
        <v/>
      </c>
      <c r="Q27" s="51"/>
      <c r="R27" s="50" t="str">
        <f t="shared" si="66"/>
        <v/>
      </c>
      <c r="S27" s="52"/>
      <c r="T27" s="52"/>
      <c r="U27" s="149">
        <f t="shared" si="35"/>
        <v>0</v>
      </c>
      <c r="V27" s="150">
        <f t="shared" si="67"/>
        <v>0</v>
      </c>
      <c r="W27" s="50"/>
      <c r="X27" s="49">
        <f>IF(ISNA(INDEX('Conversion Factors'!$B$6:$B$371,MATCH('Oct 1 - Oct 15'!$Z$22:$Z$28,'Conversion Factors'!$A$6:$A$371,0))),"",INDEX('Conversion Factors'!$B$6:$B$371,MATCH('Oct 1 - Oct 15'!$Z$22:$Z$28,'Conversion Factors'!$A$6:$A$371,0)))</f>
        <v>7.8789999999999996</v>
      </c>
      <c r="Z27" s="17">
        <f t="shared" si="42"/>
        <v>44477</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44478</v>
      </c>
      <c r="B28" s="226"/>
      <c r="C28" s="227"/>
      <c r="D28" s="32" t="s">
        <v>29</v>
      </c>
      <c r="E28" s="51"/>
      <c r="F28" s="51"/>
      <c r="G28" s="112"/>
      <c r="H28" s="51"/>
      <c r="I28" s="51"/>
      <c r="J28" s="113"/>
      <c r="K28" s="113"/>
      <c r="L28" s="114"/>
      <c r="M28" s="51"/>
      <c r="N28" s="51"/>
      <c r="O28" s="110">
        <f>SUM(E28:N28)-J28</f>
        <v>0</v>
      </c>
      <c r="P28" s="50" t="str">
        <f t="shared" si="65"/>
        <v/>
      </c>
      <c r="Q28" s="52"/>
      <c r="R28" s="50" t="str">
        <f t="shared" si="66"/>
        <v/>
      </c>
      <c r="S28" s="52"/>
      <c r="T28" s="52"/>
      <c r="U28" s="149">
        <f t="shared" si="35"/>
        <v>0</v>
      </c>
      <c r="V28" s="150">
        <f t="shared" si="67"/>
        <v>0</v>
      </c>
      <c r="W28" s="50"/>
      <c r="X28" s="49">
        <f>IF(ISNA(INDEX('Conversion Factors'!$B$6:$B$371,MATCH('Oct 1 - Oct 15'!$Z$22:$Z$28,'Conversion Factors'!$A$6:$A$371,0))),"",INDEX('Conversion Factors'!$B$6:$B$371,MATCH('Oct 1 - Oct 15'!$Z$22:$Z$28,'Conversion Factors'!$A$6:$A$371,0)))</f>
        <v>7.8789999999999996</v>
      </c>
      <c r="Z28" s="17">
        <f t="shared" si="42"/>
        <v>44478</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44479</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Factors'!$B$6:$B$370,MATCH('Oct 1 - Oct 15'!$Z$30:$Z$36,'Conversion Factors'!$A$6:$A$370,0))),"",INDEX('Conversion Factors'!$B$6:$B$370,MATCH('Oct 1 - Oct 15'!$Z$30:$Z$36,'Conversion Factors'!$A$6:$A$370,0)))</f>
        <v>7.8789999999999996</v>
      </c>
      <c r="Z30" s="17">
        <f t="shared" ref="Z30:Z36" si="81">A30</f>
        <v>44479</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44480</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Factors'!$B$6:$B$370,MATCH('Oct 1 - Oct 15'!$Z$30:$Z$36,'Conversion Factors'!$A$6:$A$370,0))),"",INDEX('Conversion Factors'!$B$6:$B$370,MATCH('Oct 1 - Oct 15'!$Z$30:$Z$36,'Conversion Factors'!$A$6:$A$370,0)))</f>
        <v>7.8789999999999996</v>
      </c>
      <c r="Z31" s="17">
        <f t="shared" si="81"/>
        <v>44480</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44481</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Factors'!$B$6:$B$370,MATCH('Oct 1 - Oct 15'!$Z$30:$Z$36,'Conversion Factors'!$A$6:$A$370,0))),"",INDEX('Conversion Factors'!$B$6:$B$370,MATCH('Oct 1 - Oct 15'!$Z$30:$Z$36,'Conversion Factors'!$A$6:$A$370,0)))</f>
        <v>7.8789999999999996</v>
      </c>
      <c r="Z32" s="17">
        <f t="shared" si="81"/>
        <v>44481</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44482</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Factors'!$B$6:$B$370,MATCH('Oct 1 - Oct 15'!$Z$30:$Z$36,'Conversion Factors'!$A$6:$A$370,0))),"",INDEX('Conversion Factors'!$B$6:$B$370,MATCH('Oct 1 - Oct 15'!$Z$30:$Z$36,'Conversion Factors'!$A$6:$A$370,0)))</f>
        <v>7.8789999999999996</v>
      </c>
      <c r="Z33" s="17">
        <f t="shared" si="81"/>
        <v>44482</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44483</v>
      </c>
      <c r="B34" s="226"/>
      <c r="C34" s="227"/>
      <c r="D34" s="32" t="s">
        <v>27</v>
      </c>
      <c r="E34" s="176"/>
      <c r="F34" s="176"/>
      <c r="G34" s="177"/>
      <c r="H34" s="176"/>
      <c r="I34" s="176"/>
      <c r="J34" s="178"/>
      <c r="K34" s="178"/>
      <c r="L34" s="179"/>
      <c r="M34" s="176"/>
      <c r="N34" s="176"/>
      <c r="O34" s="110">
        <f t="shared" si="105"/>
        <v>0</v>
      </c>
      <c r="P34" s="50" t="str">
        <f t="shared" si="106"/>
        <v/>
      </c>
      <c r="Q34" s="52"/>
      <c r="R34" s="50" t="str">
        <f t="shared" si="107"/>
        <v/>
      </c>
      <c r="S34" s="52"/>
      <c r="T34" s="52"/>
      <c r="U34" s="149">
        <f t="shared" si="35"/>
        <v>0</v>
      </c>
      <c r="V34" s="150">
        <f t="shared" si="108"/>
        <v>0</v>
      </c>
      <c r="W34" s="50"/>
      <c r="X34" s="49">
        <f>IF(ISNA(INDEX('Conversion Factors'!$B$6:$B$370,MATCH('Oct 1 - Oct 15'!$Z$30:$Z$36,'Conversion Factors'!$A$6:$A$370,0))),"",INDEX('Conversion Factors'!$B$6:$B$370,MATCH('Oct 1 - Oct 15'!$Z$30:$Z$36,'Conversion Factors'!$A$6:$A$370,0)))</f>
        <v>7.8789999999999996</v>
      </c>
      <c r="Z34" s="17">
        <f t="shared" si="81"/>
        <v>44483</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f t="shared" si="104"/>
        <v>44484</v>
      </c>
      <c r="B35" s="226"/>
      <c r="C35" s="227"/>
      <c r="D35" s="32" t="s">
        <v>28</v>
      </c>
      <c r="E35" s="176"/>
      <c r="F35" s="176"/>
      <c r="G35" s="177"/>
      <c r="H35" s="176"/>
      <c r="I35" s="176"/>
      <c r="J35" s="178"/>
      <c r="K35" s="178"/>
      <c r="L35" s="179"/>
      <c r="M35" s="176"/>
      <c r="N35" s="176"/>
      <c r="O35" s="110">
        <f t="shared" si="105"/>
        <v>0</v>
      </c>
      <c r="P35" s="50" t="str">
        <f t="shared" si="106"/>
        <v/>
      </c>
      <c r="Q35" s="52"/>
      <c r="R35" s="50" t="str">
        <f t="shared" si="107"/>
        <v/>
      </c>
      <c r="S35" s="52"/>
      <c r="T35" s="52"/>
      <c r="U35" s="149">
        <f t="shared" si="35"/>
        <v>0</v>
      </c>
      <c r="V35" s="150">
        <f t="shared" si="108"/>
        <v>0</v>
      </c>
      <c r="W35" s="50"/>
      <c r="X35" s="49">
        <f>IF(ISNA(INDEX('Conversion Factors'!$B$6:$B$370,MATCH('Oct 1 - Oct 15'!$Z$30:$Z$36,'Conversion Factors'!$A$6:$A$370,0))),"",INDEX('Conversion Factors'!$B$6:$B$370,MATCH('Oct 1 - Oct 15'!$Z$30:$Z$36,'Conversion Factors'!$A$6:$A$370,0)))</f>
        <v>7.8789999999999996</v>
      </c>
      <c r="Z35" s="17">
        <f t="shared" si="81"/>
        <v>44484</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str">
        <f t="shared" si="104"/>
        <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Factors'!$B$6:$B$370,MATCH('Oct 1 - Oct 15'!$Z$30:$Z$36,'Conversion Factors'!$A$6:$A$370,0))),"",INDEX('Conversion Factors'!$B$6:$B$370,MATCH('Oct 1 - Oct 15'!$Z$30:$Z$36,'Conversion Factors'!$A$6:$A$370,0)))</f>
        <v/>
      </c>
      <c r="Z36" s="17" t="str">
        <f t="shared" si="81"/>
        <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Factors'!$B$6:$B$370,MATCH('Oct 1 - Oct 15'!$Z$38:$Z$44,'Conversion Factors'!$A$6:$A$370,0))),"",INDEX('Conversion Factors'!$B$6:$B$370,MATCH('Oct 1 - Oct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Factors'!$B$6:$B$370,MATCH('Oct 1 - Oct 15'!$Z$38:$Z$44,'Conversion Factors'!$A$6:$A$370,0))),"",INDEX('Conversion Factors'!$B$6:$B$370,MATCH('Oct 1 - Oct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Factors'!$B$6:$B$370,MATCH('Oct 1 - Oct 15'!$Z$38:$Z$44,'Conversion Factors'!$A$6:$A$370,0))),"",INDEX('Conversion Factors'!$B$6:$B$370,MATCH('Oct 1 - Oct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Factors'!$B$6:$B$370,MATCH('Oct 1 - Oct 15'!$Z$38:$Z$44,'Conversion Factors'!$A$6:$A$370,0))),"",INDEX('Conversion Factors'!$B$6:$B$370,MATCH('Oct 1 - Oct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Factors'!$B$6:$B$370,MATCH('Oct 1 - Oct 15'!$Z$38:$Z$44,'Conversion Factors'!$A$6:$A$370,0))),"",INDEX('Conversion Factors'!$B$6:$B$370,MATCH('Oct 1 - Oct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Factors'!$B$6:$B$370,MATCH('Oct 1 - Oct 15'!$Z$38:$Z$44,'Conversion Factors'!$A$6:$A$370,0))),"",INDEX('Conversion Factors'!$B$6:$B$370,MATCH('Oct 1 - Oct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Factors'!$B$6:$B$370,MATCH('Oct 1 - Oct 15'!$Z$38:$Z$44,'Conversion Factors'!$A$6:$A$370,0))),"",INDEX('Conversion Factors'!$B$6:$B$370,MATCH('Oct 1 - Oct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24" priority="17" operator="equal">
      <formula>FALSE</formula>
    </cfRule>
  </conditionalFormatting>
  <conditionalFormatting sqref="A22:C22">
    <cfRule type="cellIs" dxfId="323" priority="16" operator="equal">
      <formula>FALSE</formula>
    </cfRule>
  </conditionalFormatting>
  <conditionalFormatting sqref="D22:D28">
    <cfRule type="cellIs" dxfId="322" priority="15" operator="equal">
      <formula>FALSE</formula>
    </cfRule>
  </conditionalFormatting>
  <conditionalFormatting sqref="Z22:Z28">
    <cfRule type="cellIs" dxfId="321" priority="14" operator="equal">
      <formula>FALSE</formula>
    </cfRule>
  </conditionalFormatting>
  <conditionalFormatting sqref="Z30:Z36">
    <cfRule type="cellIs" dxfId="320" priority="13" operator="equal">
      <formula>FALSE</formula>
    </cfRule>
  </conditionalFormatting>
  <conditionalFormatting sqref="X21 X29 X37">
    <cfRule type="containsErrors" dxfId="319" priority="12">
      <formula>ISERROR(X21)</formula>
    </cfRule>
  </conditionalFormatting>
  <conditionalFormatting sqref="Z39:Z44">
    <cfRule type="cellIs" dxfId="318" priority="10" operator="equal">
      <formula>FALSE</formula>
    </cfRule>
  </conditionalFormatting>
  <conditionalFormatting sqref="Z38">
    <cfRule type="cellIs" dxfId="317" priority="11" operator="equal">
      <formula>FALSE</formula>
    </cfRule>
  </conditionalFormatting>
  <conditionalFormatting sqref="W11:X11">
    <cfRule type="cellIs" dxfId="316" priority="9" operator="equal">
      <formula>"Please Select"</formula>
    </cfRule>
  </conditionalFormatting>
  <conditionalFormatting sqref="E11:F11">
    <cfRule type="containsBlanks" dxfId="315" priority="8">
      <formula>LEN(TRIM(E11))=0</formula>
    </cfRule>
  </conditionalFormatting>
  <conditionalFormatting sqref="U14:U46">
    <cfRule type="cellIs" dxfId="314" priority="7" operator="equal">
      <formula>FALSE</formula>
    </cfRule>
  </conditionalFormatting>
  <conditionalFormatting sqref="P26">
    <cfRule type="cellIs" dxfId="313" priority="6" operator="lessThan">
      <formula>$BQ$21</formula>
    </cfRule>
  </conditionalFormatting>
  <conditionalFormatting sqref="X14:X20">
    <cfRule type="containsErrors" dxfId="312" priority="5">
      <formula>ISERROR(X14)</formula>
    </cfRule>
  </conditionalFormatting>
  <conditionalFormatting sqref="X30:X36">
    <cfRule type="containsErrors" dxfId="311" priority="4">
      <formula>ISERROR(X30)</formula>
    </cfRule>
  </conditionalFormatting>
  <conditionalFormatting sqref="X38:X44">
    <cfRule type="containsErrors" dxfId="310" priority="3">
      <formula>ISERROR(X38)</formula>
    </cfRule>
  </conditionalFormatting>
  <conditionalFormatting sqref="X22">
    <cfRule type="containsErrors" dxfId="309" priority="2">
      <formula>ISERROR(X22)</formula>
    </cfRule>
  </conditionalFormatting>
  <conditionalFormatting sqref="X23:X28">
    <cfRule type="containsErrors" dxfId="308"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135906B8-09A4-485E-93C8-8C43E2C7F22F}">
      <formula1>$AD$6:$AD$8</formula1>
    </dataValidation>
    <dataValidation allowBlank="1" showInputMessage="1" showErrorMessage="1" promptTitle="Hours Per Week" prompt="Please enter the number of hours you are scheduled to work each week.  (Example:  40)_x000a_" sqref="E11:F11" xr:uid="{40BB2161-A06E-4DA1-9396-DAA67653F959}"/>
    <dataValidation allowBlank="1" showInputMessage="1" showErrorMessage="1" prompt="Enter your MSU ID into this field and it will populate to all the other time re[prts in this workbook." sqref="C6:H6" xr:uid="{D18CDD6C-8335-45D6-A6D6-E2535BDC57E2}"/>
    <dataValidation allowBlank="1" showInputMessage="1" showErrorMessage="1" prompt="Enter your Name into this field and it will populate to all the other time reports in this workbook." sqref="C7:H7" xr:uid="{D0D1679F-41AA-47D6-A448-DE2FD11B3BCF}"/>
    <dataValidation allowBlank="1" showInputMessage="1" showErrorMessage="1" prompt="Enter your Department Name into this field and it will populate to all the other time reports in this workbook." sqref="C8:H8" xr:uid="{795F17DD-E4EB-4798-B910-7A8ADB56F721}"/>
  </dataValidations>
  <hyperlinks>
    <hyperlink ref="O49" r:id="rId1" xr:uid="{B5FC83B8-E024-4BE0-810F-6ECB3E7944D7}"/>
    <hyperlink ref="O48:W48" r:id="rId2" display="Leave/Leave Without Pay Policy" xr:uid="{16D16C2F-FD1D-4464-9303-8B9F12AE5912}"/>
    <hyperlink ref="O50:W50" r:id="rId3" display="Time Sheet Definitions/Policies" xr:uid="{217D4B49-3648-48A6-BB88-A23613D1DD5C}"/>
    <hyperlink ref="O49:T49" r:id="rId4" display="Overtime/Compensatory Time" xr:uid="{29B28BEF-188C-44B0-AAB0-C26C5FEF6438}"/>
  </hyperlinks>
  <printOptions horizontalCentered="1"/>
  <pageMargins left="0.5" right="0.5" top="0.5" bottom="0.5" header="0.5" footer="0"/>
  <pageSetup scale="75" orientation="portrait" r:id="rId5"/>
  <headerFooter alignWithMargins="0">
    <oddFooter>&amp;RRevised:  05/2019</oddFooter>
  </headerFooter>
  <ignoredErrors>
    <ignoredError sqref="E14:N17" unlockedFormula="1"/>
  </ignoredErrors>
  <drawing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26CE-7581-4D61-9BF6-B1F733D1404E}">
  <sheetPr codeName="Sheet14">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Notes'!$A$9</f>
        <v>44485</v>
      </c>
      <c r="P6" s="265"/>
      <c r="Q6" s="265"/>
      <c r="R6" s="265"/>
      <c r="S6" s="265"/>
      <c r="T6" s="265"/>
      <c r="U6" s="53"/>
      <c r="V6" s="53"/>
      <c r="W6" s="24"/>
      <c r="X6" s="30"/>
      <c r="Z6" s="4" t="str">
        <f>TEXT(O6,"dddd")</f>
        <v>Saturday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Notes'!$B$9</f>
        <v>44500</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Notes'!$C$9</f>
        <v>20</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SUM(E14:E19)</f>
        <v>0</v>
      </c>
      <c r="F13" s="86">
        <f>SUM(F14:F19)</f>
        <v>0</v>
      </c>
      <c r="G13" s="86">
        <f t="shared" ref="G13:N13" si="0">SUM(G14:G19)</f>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'Oct 1 - Oct 15'!E30</f>
        <v>0</v>
      </c>
      <c r="F14" s="182">
        <f>'Oct 1 - Oct 15'!F30</f>
        <v>0</v>
      </c>
      <c r="G14" s="184">
        <f>'Oct 1 - Oct 15'!G30</f>
        <v>0</v>
      </c>
      <c r="H14" s="182">
        <f>'Oct 1 - Oct 15'!H30</f>
        <v>0</v>
      </c>
      <c r="I14" s="182">
        <f>'Oct 1 - Oct 15'!I30</f>
        <v>0</v>
      </c>
      <c r="J14" s="185">
        <f>'Oct 1 - Oct 15'!J30</f>
        <v>0</v>
      </c>
      <c r="K14" s="185">
        <f>'Oct 1 - Oct 15'!K30</f>
        <v>0</v>
      </c>
      <c r="L14" s="186">
        <f>'Oct 1 - Oct 15'!L30</f>
        <v>0</v>
      </c>
      <c r="M14" s="182">
        <f>'Oct 1 - Oct 15'!M30</f>
        <v>0</v>
      </c>
      <c r="N14" s="182">
        <f>'Oct 1 - Oct 15'!N30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Factors'!$B$6:$B$371,MATCH('Oct 16 - Oct 31'!$Z$14:$Z$20,'Conversion Factors'!$A$6:$A$371,0))),"",INDEX('Conversion Factors'!$B$6:$B$371,MATCH('Oct 16 - Oct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'Oct 1 - Oct 15'!E31</f>
        <v>0</v>
      </c>
      <c r="F15" s="182">
        <f>'Oct 1 - Oct 15'!F31</f>
        <v>0</v>
      </c>
      <c r="G15" s="184">
        <f>'Oct 1 - Oct 15'!G31</f>
        <v>0</v>
      </c>
      <c r="H15" s="182">
        <f>'Oct 1 - Oct 15'!H31</f>
        <v>0</v>
      </c>
      <c r="I15" s="182">
        <f>'Oct 1 - Oct 15'!I31</f>
        <v>0</v>
      </c>
      <c r="J15" s="185">
        <f>'Oct 1 - Oct 15'!J31</f>
        <v>0</v>
      </c>
      <c r="K15" s="185">
        <f>'Oct 1 - Oct 15'!K31</f>
        <v>0</v>
      </c>
      <c r="L15" s="186">
        <f>'Oct 1 - Oct 15'!L31</f>
        <v>0</v>
      </c>
      <c r="M15" s="182">
        <f>'Oct 1 - Oct 15'!M31</f>
        <v>0</v>
      </c>
      <c r="N15" s="182">
        <f>'Oct 1 - Oct 15'!N31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Factors'!$B$6:$B$371,MATCH('Oct 16 - Oct 31'!$Z$14:$Z$20,'Conversion Factors'!$A$6:$A$371,0))),"",INDEX('Conversion Factors'!$B$6:$B$371,MATCH('Oct 16 - Oct 31'!$Z$14:$Z$20,'Conversion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'Oct 1 - Oct 15'!E32</f>
        <v>0</v>
      </c>
      <c r="F16" s="182">
        <f>'Oct 1 - Oct 15'!F32</f>
        <v>0</v>
      </c>
      <c r="G16" s="184">
        <f>'Oct 1 - Oct 15'!G32</f>
        <v>0</v>
      </c>
      <c r="H16" s="182">
        <f>'Oct 1 - Oct 15'!H32</f>
        <v>0</v>
      </c>
      <c r="I16" s="182">
        <f>'Oct 1 - Oct 15'!I32</f>
        <v>0</v>
      </c>
      <c r="J16" s="185">
        <f>'Oct 1 - Oct 15'!J32</f>
        <v>0</v>
      </c>
      <c r="K16" s="185">
        <f>'Oct 1 - Oct 15'!K32</f>
        <v>0</v>
      </c>
      <c r="L16" s="186">
        <f>'Oct 1 - Oct 15'!L32</f>
        <v>0</v>
      </c>
      <c r="M16" s="182">
        <f>'Oct 1 - Oct 15'!M32</f>
        <v>0</v>
      </c>
      <c r="N16" s="182">
        <f>'Oct 1 - Oct 15'!N32</f>
        <v>0</v>
      </c>
      <c r="O16" s="183">
        <f t="shared" ref="O16:O19" si="34">SUM(E16:N16)-J16</f>
        <v>0</v>
      </c>
      <c r="P16" s="187" t="str">
        <f t="shared" si="23"/>
        <v/>
      </c>
      <c r="Q16" s="182"/>
      <c r="R16" s="50" t="str">
        <f t="shared" si="24"/>
        <v/>
      </c>
      <c r="S16" s="52"/>
      <c r="T16" s="52"/>
      <c r="U16" s="149">
        <f t="shared" ref="U16:U44" si="35">IF(BJ16&gt;0,BJ16,BN16)</f>
        <v>0</v>
      </c>
      <c r="V16" s="150">
        <f t="shared" si="25"/>
        <v>0</v>
      </c>
      <c r="W16" s="50"/>
      <c r="X16" s="49" t="str">
        <f>IF(ISNA(INDEX('Conversion Factors'!$B$6:$B$371,MATCH('Oct 16 - Oct 31'!$Z$14:$Z$20,'Conversion Factors'!$A$6:$A$371,0))),"",INDEX('Conversion Factors'!$B$6:$B$371,MATCH('Oct 16 - Oct 31'!$Z$14:$Z$20,'Conversion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'Oct 1 - Oct 15'!E33</f>
        <v>0</v>
      </c>
      <c r="F17" s="182">
        <f>'Oct 1 - Oct 15'!F33</f>
        <v>0</v>
      </c>
      <c r="G17" s="184">
        <f>'Oct 1 - Oct 15'!G33</f>
        <v>0</v>
      </c>
      <c r="H17" s="182">
        <f>'Oct 1 - Oct 15'!H33</f>
        <v>0</v>
      </c>
      <c r="I17" s="182">
        <f>'Oct 1 - Oct 15'!I33</f>
        <v>0</v>
      </c>
      <c r="J17" s="185">
        <f>'Oct 1 - Oct 15'!J33</f>
        <v>0</v>
      </c>
      <c r="K17" s="185">
        <f>'Oct 1 - Oct 15'!K33</f>
        <v>0</v>
      </c>
      <c r="L17" s="186">
        <f>'Oct 1 - Oct 15'!L33</f>
        <v>0</v>
      </c>
      <c r="M17" s="182">
        <f>'Oct 1 - Oct 15'!M33</f>
        <v>0</v>
      </c>
      <c r="N17" s="182">
        <f>'Oct 1 - Oct 15'!N33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Factors'!$B$6:$B$371,MATCH('Oct 16 - Oct 31'!$Z$14:$Z$20,'Conversion Factors'!$A$6:$A$371,0))),"",INDEX('Conversion Factors'!$B$6:$B$371,MATCH('Oct 16 - Oct 31'!$Z$14:$Z$20,'Conversion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'Oct 1 - Oct 15'!E34</f>
        <v>0</v>
      </c>
      <c r="F18" s="182">
        <f>'Oct 1 - Oct 15'!F34</f>
        <v>0</v>
      </c>
      <c r="G18" s="184">
        <f>'Oct 1 - Oct 15'!G34</f>
        <v>0</v>
      </c>
      <c r="H18" s="182">
        <f>'Oct 1 - Oct 15'!H34</f>
        <v>0</v>
      </c>
      <c r="I18" s="182">
        <f>'Oct 1 - Oct 15'!I34</f>
        <v>0</v>
      </c>
      <c r="J18" s="185">
        <f>'Oct 1 - Oct 15'!J34</f>
        <v>0</v>
      </c>
      <c r="K18" s="185">
        <f>'Oct 1 - Oct 15'!K34</f>
        <v>0</v>
      </c>
      <c r="L18" s="186">
        <f>'Oct 1 - Oct 15'!L34</f>
        <v>0</v>
      </c>
      <c r="M18" s="182">
        <f>'Oct 1 - Oct 15'!M34</f>
        <v>0</v>
      </c>
      <c r="N18" s="182">
        <f>'Oct 1 - Oct 15'!N34</f>
        <v>0</v>
      </c>
      <c r="O18" s="183">
        <f t="shared" si="34"/>
        <v>0</v>
      </c>
      <c r="P18" s="50" t="str">
        <f t="shared" si="23"/>
        <v/>
      </c>
      <c r="Q18" s="51"/>
      <c r="R18" s="50" t="str">
        <f t="shared" si="24"/>
        <v/>
      </c>
      <c r="S18" s="52"/>
      <c r="T18" s="52"/>
      <c r="U18" s="149">
        <f t="shared" si="35"/>
        <v>0</v>
      </c>
      <c r="V18" s="150">
        <f t="shared" si="25"/>
        <v>0</v>
      </c>
      <c r="W18" s="50"/>
      <c r="X18" s="49" t="str">
        <f>IF(ISNA(INDEX('Conversion Factors'!$B$6:$B$371,MATCH('Oct 16 - Oct 31'!$Z$14:$Z$20,'Conversion Factors'!$A$6:$A$371,0))),"",INDEX('Conversion Factors'!$B$6:$B$371,MATCH('Oct 16 - Oct 31'!$Z$14:$Z$20,'Conversion Factors'!$A$6:$A$371,0)))</f>
        <v/>
      </c>
      <c r="Z18" s="18" t="b">
        <f t="shared" si="1"/>
        <v>0</v>
      </c>
      <c r="AA18" s="57">
        <f t="shared" si="2"/>
        <v>0</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t="b">
        <f t="shared" si="22"/>
        <v>0</v>
      </c>
      <c r="B19" s="238"/>
      <c r="C19" s="239"/>
      <c r="D19" s="32" t="s">
        <v>28</v>
      </c>
      <c r="E19" s="182">
        <f>'Oct 1 - Oct 15'!E35</f>
        <v>0</v>
      </c>
      <c r="F19" s="182">
        <f>'Oct 1 - Oct 15'!F35</f>
        <v>0</v>
      </c>
      <c r="G19" s="184">
        <f>'Oct 1 - Oct 15'!G35</f>
        <v>0</v>
      </c>
      <c r="H19" s="182">
        <f>'Oct 1 - Oct 15'!H35</f>
        <v>0</v>
      </c>
      <c r="I19" s="182">
        <f>'Oct 1 - Oct 15'!I35</f>
        <v>0</v>
      </c>
      <c r="J19" s="185">
        <f>'Oct 1 - Oct 15'!J35</f>
        <v>0</v>
      </c>
      <c r="K19" s="185">
        <f>'Oct 1 - Oct 15'!K35</f>
        <v>0</v>
      </c>
      <c r="L19" s="186">
        <f>'Oct 1 - Oct 15'!L35</f>
        <v>0</v>
      </c>
      <c r="M19" s="182">
        <f>'Oct 1 - Oct 15'!M35</f>
        <v>0</v>
      </c>
      <c r="N19" s="182">
        <f>'Oct 1 - Oct 15'!N35</f>
        <v>0</v>
      </c>
      <c r="O19" s="183">
        <f t="shared" si="34"/>
        <v>0</v>
      </c>
      <c r="P19" s="50" t="str">
        <f t="shared" si="23"/>
        <v/>
      </c>
      <c r="Q19" s="51"/>
      <c r="R19" s="50" t="str">
        <f t="shared" si="24"/>
        <v/>
      </c>
      <c r="S19" s="52"/>
      <c r="T19" s="52"/>
      <c r="U19" s="149">
        <f t="shared" si="35"/>
        <v>0</v>
      </c>
      <c r="V19" s="150">
        <f t="shared" si="25"/>
        <v>0</v>
      </c>
      <c r="W19" s="50"/>
      <c r="X19" s="49" t="str">
        <f>IF(ISNA(INDEX('Conversion Factors'!$B$6:$B$371,MATCH('Oct 16 - Oct 31'!$Z$14:$Z$20,'Conversion Factors'!$A$6:$A$371,0))),"",INDEX('Conversion Factors'!$B$6:$B$371,MATCH('Oct 16 - Oct 31'!$Z$14:$Z$20,'Conversion Factors'!$A$6:$A$371,0)))</f>
        <v/>
      </c>
      <c r="Z19" s="18" t="b">
        <f t="shared" si="1"/>
        <v>0</v>
      </c>
      <c r="AA19" s="57">
        <f t="shared" si="2"/>
        <v>0</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44485</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Factors'!$B$6:$B$371,MATCH('Oct 16 - Oct 31'!$Z$14:$Z$20,'Conversion Factors'!$A$6:$A$371,0))),"",INDEX('Conversion Factors'!$B$6:$B$371,MATCH('Oct 16 - Oct 31'!$Z$14:$Z$20,'Conversion Factors'!$A$6:$A$371,0)))</f>
        <v>8.6669999999999998</v>
      </c>
      <c r="Z20" s="18">
        <f t="shared" si="1"/>
        <v>44485</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44486</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Factors'!$B$6:$B$371,MATCH('Oct 16 - Oct 31'!$Z$22:$Z$28,'Conversion Factors'!$A$6:$A$371,0))),"",INDEX('Conversion Factors'!$B$6:$B$371,MATCH('Oct 16 - Oct 31'!$Z$22:$Z$28,'Conversion Factors'!$A$6:$A$371,0)))</f>
        <v>8.6669999999999998</v>
      </c>
      <c r="Z22" s="17">
        <f t="shared" ref="Z22:Z28" si="42">A22</f>
        <v>44486</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44487</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Factors'!$B$6:$B$371,MATCH('Oct 16 - Oct 31'!$Z$22:$Z$28,'Conversion Factors'!$A$6:$A$371,0))),"",INDEX('Conversion Factors'!$B$6:$B$371,MATCH('Oct 16 - Oct 31'!$Z$22:$Z$28,'Conversion Factors'!$A$6:$A$371,0)))</f>
        <v>8.6669999999999998</v>
      </c>
      <c r="Z23" s="17">
        <f t="shared" si="42"/>
        <v>44487</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44488</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Factors'!$B$6:$B$371,MATCH('Oct 16 - Oct 31'!$Z$22:$Z$28,'Conversion Factors'!$A$6:$A$371,0))),"",INDEX('Conversion Factors'!$B$6:$B$371,MATCH('Oct 16 - Oct 31'!$Z$22:$Z$28,'Conversion Factors'!$A$6:$A$371,0)))</f>
        <v>8.6669999999999998</v>
      </c>
      <c r="Z24" s="17">
        <f t="shared" si="42"/>
        <v>44488</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44489</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Factors'!$B$6:$B$371,MATCH('Oct 16 - Oct 31'!$Z$22:$Z$28,'Conversion Factors'!$A$6:$A$371,0))),"",INDEX('Conversion Factors'!$B$6:$B$371,MATCH('Oct 16 - Oct 31'!$Z$22:$Z$28,'Conversion Factors'!$A$6:$A$371,0)))</f>
        <v>8.6669999999999998</v>
      </c>
      <c r="Z25" s="17">
        <f t="shared" si="42"/>
        <v>44489</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44490</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Factors'!$B$6:$B$371,MATCH('Oct 16 - Oct 31'!$Z$22:$Z$28,'Conversion Factors'!$A$6:$A$371,0))),"",INDEX('Conversion Factors'!$B$6:$B$371,MATCH('Oct 16 - Oct 31'!$Z$22:$Z$28,'Conversion Factors'!$A$6:$A$371,0)))</f>
        <v>8.6669999999999998</v>
      </c>
      <c r="Z26" s="17">
        <f t="shared" si="42"/>
        <v>44490</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44491</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Factors'!$B$6:$B$371,MATCH('Oct 16 - Oct 31'!$Z$22:$Z$28,'Conversion Factors'!$A$6:$A$371,0))),"",INDEX('Conversion Factors'!$B$6:$B$371,MATCH('Oct 16 - Oct 31'!$Z$22:$Z$28,'Conversion Factors'!$A$6:$A$371,0)))</f>
        <v>8.6669999999999998</v>
      </c>
      <c r="Z27" s="17">
        <f t="shared" si="42"/>
        <v>44491</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44492</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Factors'!$B$6:$B$371,MATCH('Oct 16 - Oct 31'!$Z$22:$Z$28,'Conversion Factors'!$A$6:$A$371,0))),"",INDEX('Conversion Factors'!$B$6:$B$371,MATCH('Oct 16 - Oct 31'!$Z$22:$Z$28,'Conversion Factors'!$A$6:$A$371,0)))</f>
        <v>8.6669999999999998</v>
      </c>
      <c r="Z28" s="17">
        <f t="shared" si="42"/>
        <v>44492</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44493</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Factors'!$B$6:$B$370,MATCH('Oct 16 - Oct 31'!$Z$30:$Z$36,'Conversion Factors'!$A$6:$A$370,0))),"",INDEX('Conversion Factors'!$B$6:$B$370,MATCH('Oct 16 - Oct 31'!$Z$30:$Z$36,'Conversion Factors'!$A$6:$A$370,0)))</f>
        <v>8.6669999999999998</v>
      </c>
      <c r="Z30" s="17">
        <f t="shared" ref="Z30:Z36" si="81">A30</f>
        <v>44493</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44494</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Factors'!$B$6:$B$370,MATCH('Oct 16 - Oct 31'!$Z$30:$Z$36,'Conversion Factors'!$A$6:$A$370,0))),"",INDEX('Conversion Factors'!$B$6:$B$370,MATCH('Oct 16 - Oct 31'!$Z$30:$Z$36,'Conversion Factors'!$A$6:$A$370,0)))</f>
        <v>8.6669999999999998</v>
      </c>
      <c r="Z31" s="17">
        <f t="shared" si="81"/>
        <v>44494</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44495</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Factors'!$B$6:$B$370,MATCH('Oct 16 - Oct 31'!$Z$30:$Z$36,'Conversion Factors'!$A$6:$A$370,0))),"",INDEX('Conversion Factors'!$B$6:$B$370,MATCH('Oct 16 - Oct 31'!$Z$30:$Z$36,'Conversion Factors'!$A$6:$A$370,0)))</f>
        <v>8.6669999999999998</v>
      </c>
      <c r="Z32" s="17">
        <f t="shared" si="81"/>
        <v>44495</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44496</v>
      </c>
      <c r="B33" s="226"/>
      <c r="C33" s="227"/>
      <c r="D33" s="32" t="s">
        <v>26</v>
      </c>
      <c r="E33" s="176"/>
      <c r="F33" s="176"/>
      <c r="G33" s="177"/>
      <c r="H33" s="176"/>
      <c r="I33" s="176"/>
      <c r="J33" s="178"/>
      <c r="K33" s="178"/>
      <c r="L33" s="179"/>
      <c r="M33" s="176"/>
      <c r="N33" s="176"/>
      <c r="O33" s="110">
        <f t="shared" si="105"/>
        <v>0</v>
      </c>
      <c r="P33" s="50" t="str">
        <f t="shared" si="106"/>
        <v/>
      </c>
      <c r="Q33" s="51"/>
      <c r="R33" s="50" t="str">
        <f t="shared" si="107"/>
        <v/>
      </c>
      <c r="S33" s="52"/>
      <c r="T33" s="52"/>
      <c r="U33" s="149">
        <f t="shared" si="35"/>
        <v>0</v>
      </c>
      <c r="V33" s="150">
        <f t="shared" si="108"/>
        <v>0</v>
      </c>
      <c r="W33" s="50"/>
      <c r="X33" s="49">
        <f>IF(ISNA(INDEX('Conversion Factors'!$B$6:$B$370,MATCH('Oct 16 - Oct 31'!$Z$30:$Z$36,'Conversion Factors'!$A$6:$A$370,0))),"",INDEX('Conversion Factors'!$B$6:$B$370,MATCH('Oct 16 - Oct 31'!$Z$30:$Z$36,'Conversion Factors'!$A$6:$A$370,0)))</f>
        <v>8.6669999999999998</v>
      </c>
      <c r="Z33" s="17">
        <f t="shared" si="81"/>
        <v>44496</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44497</v>
      </c>
      <c r="B34" s="226"/>
      <c r="C34" s="227"/>
      <c r="D34" s="32" t="s">
        <v>27</v>
      </c>
      <c r="E34" s="176"/>
      <c r="F34" s="176"/>
      <c r="G34" s="177"/>
      <c r="H34" s="176"/>
      <c r="I34" s="176"/>
      <c r="J34" s="178"/>
      <c r="K34" s="178"/>
      <c r="L34" s="179"/>
      <c r="M34" s="176"/>
      <c r="N34" s="176"/>
      <c r="O34" s="110">
        <f t="shared" si="105"/>
        <v>0</v>
      </c>
      <c r="P34" s="50" t="str">
        <f t="shared" si="106"/>
        <v/>
      </c>
      <c r="Q34" s="51"/>
      <c r="R34" s="50" t="str">
        <f t="shared" si="107"/>
        <v/>
      </c>
      <c r="S34" s="52"/>
      <c r="T34" s="52"/>
      <c r="U34" s="149">
        <f t="shared" si="35"/>
        <v>0</v>
      </c>
      <c r="V34" s="150">
        <f t="shared" si="108"/>
        <v>0</v>
      </c>
      <c r="W34" s="50"/>
      <c r="X34" s="49">
        <f>IF(ISNA(INDEX('Conversion Factors'!$B$6:$B$370,MATCH('Oct 16 - Oct 31'!$Z$30:$Z$36,'Conversion Factors'!$A$6:$A$370,0))),"",INDEX('Conversion Factors'!$B$6:$B$370,MATCH('Oct 16 - Oct 31'!$Z$30:$Z$36,'Conversion Factors'!$A$6:$A$370,0)))</f>
        <v>8.6669999999999998</v>
      </c>
      <c r="Z34" s="17">
        <f t="shared" si="81"/>
        <v>44497</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f t="shared" si="104"/>
        <v>44498</v>
      </c>
      <c r="B35" s="226"/>
      <c r="C35" s="227"/>
      <c r="D35" s="32" t="s">
        <v>28</v>
      </c>
      <c r="E35" s="176"/>
      <c r="F35" s="176"/>
      <c r="G35" s="177"/>
      <c r="H35" s="176"/>
      <c r="I35" s="176"/>
      <c r="J35" s="178"/>
      <c r="K35" s="178"/>
      <c r="L35" s="179"/>
      <c r="M35" s="176"/>
      <c r="N35" s="176"/>
      <c r="O35" s="110">
        <f t="shared" si="105"/>
        <v>0</v>
      </c>
      <c r="P35" s="50" t="str">
        <f t="shared" si="106"/>
        <v/>
      </c>
      <c r="Q35" s="52"/>
      <c r="R35" s="50" t="str">
        <f t="shared" si="107"/>
        <v/>
      </c>
      <c r="S35" s="52"/>
      <c r="T35" s="52"/>
      <c r="U35" s="149">
        <f t="shared" si="35"/>
        <v>0</v>
      </c>
      <c r="V35" s="150">
        <f t="shared" si="108"/>
        <v>0</v>
      </c>
      <c r="W35" s="50"/>
      <c r="X35" s="49">
        <f>IF(ISNA(INDEX('Conversion Factors'!$B$6:$B$370,MATCH('Oct 16 - Oct 31'!$Z$30:$Z$36,'Conversion Factors'!$A$6:$A$370,0))),"",INDEX('Conversion Factors'!$B$6:$B$370,MATCH('Oct 16 - Oct 31'!$Z$30:$Z$36,'Conversion Factors'!$A$6:$A$370,0)))</f>
        <v>8.6669999999999998</v>
      </c>
      <c r="Z35" s="17">
        <f t="shared" si="81"/>
        <v>44498</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f t="shared" si="104"/>
        <v>44499</v>
      </c>
      <c r="B36" s="226"/>
      <c r="C36" s="227"/>
      <c r="D36" s="32" t="s">
        <v>29</v>
      </c>
      <c r="E36" s="176"/>
      <c r="F36" s="176"/>
      <c r="G36" s="177"/>
      <c r="H36" s="176"/>
      <c r="I36" s="176"/>
      <c r="J36" s="178"/>
      <c r="K36" s="178"/>
      <c r="L36" s="179"/>
      <c r="M36" s="176"/>
      <c r="N36" s="176"/>
      <c r="O36" s="110">
        <f t="shared" si="105"/>
        <v>0</v>
      </c>
      <c r="P36" s="50" t="str">
        <f t="shared" si="106"/>
        <v/>
      </c>
      <c r="Q36" s="52"/>
      <c r="R36" s="50" t="str">
        <f t="shared" si="107"/>
        <v/>
      </c>
      <c r="S36" s="52"/>
      <c r="T36" s="52"/>
      <c r="U36" s="149">
        <f t="shared" si="35"/>
        <v>0</v>
      </c>
      <c r="V36" s="150">
        <f t="shared" si="108"/>
        <v>0</v>
      </c>
      <c r="W36" s="50"/>
      <c r="X36" s="49">
        <f>IF(ISNA(INDEX('Conversion Factors'!$B$6:$B$370,MATCH('Oct 16 - Oct 31'!$Z$30:$Z$36,'Conversion Factors'!$A$6:$A$370,0))),"",INDEX('Conversion Factors'!$B$6:$B$370,MATCH('Oct 16 - Oct 31'!$Z$30:$Z$36,'Conversion Factors'!$A$6:$A$370,0)))</f>
        <v>8.6669999999999998</v>
      </c>
      <c r="Z36" s="17">
        <f t="shared" si="81"/>
        <v>44499</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f>IF(A36&lt;$O$7,A36+1,IF(A36=$O$7,""))</f>
        <v>44500</v>
      </c>
      <c r="B38" s="226"/>
      <c r="C38" s="227"/>
      <c r="D38" s="32" t="s">
        <v>23</v>
      </c>
      <c r="E38" s="176"/>
      <c r="F38" s="176"/>
      <c r="G38" s="177"/>
      <c r="H38" s="176"/>
      <c r="I38" s="176"/>
      <c r="J38" s="178"/>
      <c r="K38" s="178"/>
      <c r="L38" s="179"/>
      <c r="M38" s="176"/>
      <c r="N38" s="176"/>
      <c r="O38" s="110">
        <f>SUM(E38:N38)-J38</f>
        <v>0</v>
      </c>
      <c r="P38" s="50" t="str">
        <f>IF(AND(ISNUMBER(AA38),ISNUMBER(X38)),AA38*X38,"")</f>
        <v/>
      </c>
      <c r="Q38" s="52"/>
      <c r="R38" s="50" t="str">
        <f>IF(AND(ISNUMBER(AB38),ISNUMBER(X38)),AB38*X38,"")</f>
        <v/>
      </c>
      <c r="S38" s="52"/>
      <c r="T38" s="52"/>
      <c r="U38" s="149">
        <f t="shared" si="35"/>
        <v>0</v>
      </c>
      <c r="V38" s="150">
        <f>IF(BK38&gt;0,BK38,0)</f>
        <v>0</v>
      </c>
      <c r="W38" s="50"/>
      <c r="X38" s="49">
        <f>IF(ISNA(INDEX('Conversion Factors'!$B$6:$B$370,MATCH('Oct 16 - Oct 31'!$Z$38:$Z$44,'Conversion Factors'!$A$6:$A$370,0))),"",INDEX('Conversion Factors'!$B$6:$B$370,MATCH('Oct 16 - Oct 31'!$Z$38:$Z$44,'Conversion Factors'!$A$6:$A$370,0)))</f>
        <v>8.6669999999999998</v>
      </c>
      <c r="Z38" s="17">
        <f t="shared" ref="Z38:Z44" si="121">A38</f>
        <v>44500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str">
        <f t="shared" ref="A39:A44" si="144">IF(A38&lt;$O$7,A38+1,IF(A38=$O$7,""))</f>
        <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Factors'!$B$6:$B$370,MATCH('Oct 16 - Oct 31'!$Z$38:$Z$44,'Conversion Factors'!$A$6:$A$370,0))),"",INDEX('Conversion Factors'!$B$6:$B$370,MATCH('Oct 16 - Oct 31'!$Z$38:$Z$44,'Conversion Factors'!$A$6:$A$370,0)))</f>
        <v/>
      </c>
      <c r="Z39" s="17" t="str">
        <f t="shared" si="121"/>
        <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Factors'!$B$6:$B$370,MATCH('Oct 16 - Oct 31'!$Z$38:$Z$44,'Conversion Factors'!$A$6:$A$370,0))),"",INDEX('Conversion Factors'!$B$6:$B$370,MATCH('Oct 16 - Oct 31'!$Z$38:$Z$44,'Conversion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Factors'!$B$6:$B$370,MATCH('Oct 16 - Oct 31'!$Z$38:$Z$44,'Conversion Factors'!$A$6:$A$370,0))),"",INDEX('Conversion Factors'!$B$6:$B$370,MATCH('Oct 16 - Oct 31'!$Z$38:$Z$44,'Conversion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Factors'!$B$6:$B$370,MATCH('Oct 16 - Oct 31'!$Z$38:$Z$44,'Conversion Factors'!$A$6:$A$370,0))),"",INDEX('Conversion Factors'!$B$6:$B$370,MATCH('Oct 16 - Oct 31'!$Z$38:$Z$44,'Conversion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Factors'!$B$6:$B$370,MATCH('Oct 16 - Oct 31'!$Z$38:$Z$44,'Conversion Factors'!$A$6:$A$370,0))),"",INDEX('Conversion Factors'!$B$6:$B$370,MATCH('Oct 16 - Oct 31'!$Z$38:$Z$44,'Conversion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Factors'!$B$6:$B$370,MATCH('Oct 16 - Oct 31'!$Z$38:$Z$44,'Conversion Factors'!$A$6:$A$370,0))),"",INDEX('Conversion Factors'!$B$6:$B$370,MATCH('Oct 16 - Oct 31'!$Z$38:$Z$44,'Conversion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07" priority="17" operator="equal">
      <formula>FALSE</formula>
    </cfRule>
  </conditionalFormatting>
  <conditionalFormatting sqref="A22:C22">
    <cfRule type="cellIs" dxfId="306" priority="16" operator="equal">
      <formula>FALSE</formula>
    </cfRule>
  </conditionalFormatting>
  <conditionalFormatting sqref="D22:D28">
    <cfRule type="cellIs" dxfId="305" priority="15" operator="equal">
      <formula>FALSE</formula>
    </cfRule>
  </conditionalFormatting>
  <conditionalFormatting sqref="Z22:Z28">
    <cfRule type="cellIs" dxfId="304" priority="14" operator="equal">
      <formula>FALSE</formula>
    </cfRule>
  </conditionalFormatting>
  <conditionalFormatting sqref="Z30:Z36">
    <cfRule type="cellIs" dxfId="303" priority="13" operator="equal">
      <formula>FALSE</formula>
    </cfRule>
  </conditionalFormatting>
  <conditionalFormatting sqref="X21 X29 X37">
    <cfRule type="containsErrors" dxfId="302" priority="12">
      <formula>ISERROR(X21)</formula>
    </cfRule>
  </conditionalFormatting>
  <conditionalFormatting sqref="Z39:Z44">
    <cfRule type="cellIs" dxfId="301" priority="10" operator="equal">
      <formula>FALSE</formula>
    </cfRule>
  </conditionalFormatting>
  <conditionalFormatting sqref="Z38">
    <cfRule type="cellIs" dxfId="300" priority="11" operator="equal">
      <formula>FALSE</formula>
    </cfRule>
  </conditionalFormatting>
  <conditionalFormatting sqref="W11:X11">
    <cfRule type="cellIs" dxfId="299" priority="9" operator="equal">
      <formula>"Please Select"</formula>
    </cfRule>
  </conditionalFormatting>
  <conditionalFormatting sqref="E11:F11">
    <cfRule type="containsBlanks" dxfId="298" priority="8">
      <formula>LEN(TRIM(E11))=0</formula>
    </cfRule>
  </conditionalFormatting>
  <conditionalFormatting sqref="U14:U46">
    <cfRule type="cellIs" dxfId="297" priority="7" operator="equal">
      <formula>FALSE</formula>
    </cfRule>
  </conditionalFormatting>
  <conditionalFormatting sqref="P26">
    <cfRule type="cellIs" dxfId="296" priority="6" operator="lessThan">
      <formula>$BQ$21</formula>
    </cfRule>
  </conditionalFormatting>
  <conditionalFormatting sqref="X14:X20">
    <cfRule type="containsErrors" dxfId="295" priority="5">
      <formula>ISERROR(X14)</formula>
    </cfRule>
  </conditionalFormatting>
  <conditionalFormatting sqref="X30:X36">
    <cfRule type="containsErrors" dxfId="294" priority="4">
      <formula>ISERROR(X30)</formula>
    </cfRule>
  </conditionalFormatting>
  <conditionalFormatting sqref="X38:X44">
    <cfRule type="containsErrors" dxfId="293" priority="3">
      <formula>ISERROR(X38)</formula>
    </cfRule>
  </conditionalFormatting>
  <conditionalFormatting sqref="X22">
    <cfRule type="containsErrors" dxfId="292" priority="2">
      <formula>ISERROR(X22)</formula>
    </cfRule>
  </conditionalFormatting>
  <conditionalFormatting sqref="X23:X28">
    <cfRule type="containsErrors" dxfId="291"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8C0D7D4B-D1E9-4282-AE98-1BD63A918B84}"/>
    <dataValidation allowBlank="1" showInputMessage="1" showErrorMessage="1" prompt="Enter your Name into this field and it will populate to all the other time reports in this workbook." sqref="C7:H7" xr:uid="{706B4CF2-1159-4C3F-A40E-68B80485515D}"/>
    <dataValidation allowBlank="1" showInputMessage="1" showErrorMessage="1" prompt="Enter your MSU ID into this field and it will populate to all the other time re[prts in this workbook." sqref="C6:H6" xr:uid="{32AE18B6-55A7-4349-A82D-972AE3CEA2C5}"/>
    <dataValidation allowBlank="1" showInputMessage="1" showErrorMessage="1" promptTitle="Hours Per Week" prompt="Please enter the number of hours you are scheduled to work each week.  (Example:  40)_x000a_" sqref="E11:F11" xr:uid="{17D3CB54-CFFD-4836-BBE3-CEC57254A725}"/>
    <dataValidation type="list" allowBlank="1" showInputMessage="1" showErrorMessage="1" promptTitle="Compensatory Time" prompt="Please select &quot;No&quot; if you are not receiving Compensatory time or &quot;Yes&quot; if you are receiving compensatory time." sqref="W11:X11" xr:uid="{E312F9B6-2E56-48CB-B250-55379FFE05B5}">
      <formula1>$AD$6:$AD$8</formula1>
    </dataValidation>
  </dataValidations>
  <hyperlinks>
    <hyperlink ref="O49" r:id="rId1" xr:uid="{A306CCCB-691E-4FB4-8227-EF56AC1B5D20}"/>
    <hyperlink ref="O48:W48" r:id="rId2" display="Leave/Leave Without Pay Policy" xr:uid="{739FCA18-9CC5-4AE3-87C7-D922DD0A555F}"/>
    <hyperlink ref="O50:W50" r:id="rId3" display="Time Sheet Definitions/Policies" xr:uid="{E232BF13-DE1E-43FB-909D-C077E3A1299E}"/>
    <hyperlink ref="O49:T49" r:id="rId4" display="Overtime/Compensatory Time" xr:uid="{DF5128B7-F9D1-4727-BAE6-0C423DB439A4}"/>
  </hyperlinks>
  <printOptions horizontalCentered="1"/>
  <pageMargins left="0.5" right="0.5" top="0.5" bottom="0.5" header="0.5" footer="0"/>
  <pageSetup scale="75" orientation="portrait" r:id="rId5"/>
  <headerFooter alignWithMargins="0">
    <oddFooter>&amp;RRevised:  05/2019</oddFooter>
  </headerFooter>
  <ignoredErrors>
    <ignoredError sqref="E14:N18" unlockedFormula="1"/>
  </ignoredErrors>
  <drawing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6378-E611-43CA-B3BD-2D289ED61725}">
  <sheetPr codeName="Sheet15">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Notes'!$A$10</f>
        <v>44501</v>
      </c>
      <c r="P6" s="265"/>
      <c r="Q6" s="265"/>
      <c r="R6" s="265"/>
      <c r="S6" s="265"/>
      <c r="T6" s="265"/>
      <c r="U6" s="53"/>
      <c r="V6" s="53"/>
      <c r="W6" s="24"/>
      <c r="X6" s="30"/>
      <c r="Z6" s="4" t="str">
        <f>TEXT(O6,"dddd")</f>
        <v>Monday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Notes'!$B$10</f>
        <v>44515</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Notes'!$C$10</f>
        <v>21</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f>
        <v>0</v>
      </c>
      <c r="F13" s="86">
        <f t="shared" ref="F13:N13" si="0">SUM(F14)</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'Oct 16 - Oct 31'!E38</f>
        <v>0</v>
      </c>
      <c r="F14" s="182">
        <f>'Oct 16 - Oct 31'!F38</f>
        <v>0</v>
      </c>
      <c r="G14" s="184">
        <f>'Oct 16 - Oct 31'!G38</f>
        <v>0</v>
      </c>
      <c r="H14" s="182">
        <f>'Oct 16 - Oct 31'!H38</f>
        <v>0</v>
      </c>
      <c r="I14" s="182">
        <f>'Oct 16 - Oct 31'!I38</f>
        <v>0</v>
      </c>
      <c r="J14" s="185">
        <f>'Oct 16 - Oct 31'!J38</f>
        <v>0</v>
      </c>
      <c r="K14" s="185">
        <f>'Oct 16 - Oct 31'!K38</f>
        <v>0</v>
      </c>
      <c r="L14" s="182">
        <f>'Oct 16 - Oct 31'!L38</f>
        <v>0</v>
      </c>
      <c r="M14" s="182">
        <f>'Oct 16 - Oct 31'!M38</f>
        <v>0</v>
      </c>
      <c r="N14" s="182">
        <f>'Oct 16 - Oct 31'!N38</f>
        <v>0</v>
      </c>
      <c r="O14" s="205">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Factors'!$B$6:$B$371,MATCH('Nov 1 - Nov 15'!$Z$14:$Z$20,'Conversion Factors'!$A$6:$A$371,0))),"",INDEX('Conversion Factors'!$B$6:$B$371,MATCH('Nov 1 - Nov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f t="shared" ref="A15:A20" si="22">IF(EXACT(D15,$Z$6)=TRUE,$O$6,IF(A14=0,"",IF(A14&lt;$O$7,A14+1,IF(A14=$O$7,""))))</f>
        <v>44501</v>
      </c>
      <c r="B15" s="238"/>
      <c r="C15" s="239"/>
      <c r="D15" s="32" t="s">
        <v>24</v>
      </c>
      <c r="E15" s="176"/>
      <c r="F15" s="176"/>
      <c r="G15" s="177"/>
      <c r="H15" s="176"/>
      <c r="I15" s="176"/>
      <c r="J15" s="178"/>
      <c r="K15" s="178"/>
      <c r="L15" s="179"/>
      <c r="M15" s="176"/>
      <c r="N15" s="176"/>
      <c r="O15" s="197">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f>IF(ISNA(INDEX('Conversion Factors'!$B$6:$B$371,MATCH('Nov 1 - Nov 15'!$Z$14:$Z$20,'Conversion Factors'!$A$6:$A$371,0))),"",INDEX('Conversion Factors'!$B$6:$B$371,MATCH('Nov 1 - Nov 15'!$Z$14:$Z$20,'Conversion Factors'!$A$6:$A$371,0)))</f>
        <v>7.8789999999999996</v>
      </c>
      <c r="Z15" s="18">
        <f t="shared" si="1"/>
        <v>44501</v>
      </c>
      <c r="AA15" s="57" t="str">
        <f t="shared" si="2"/>
        <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44502</v>
      </c>
      <c r="B16" s="238"/>
      <c r="C16" s="239"/>
      <c r="D16" s="32" t="s">
        <v>25</v>
      </c>
      <c r="E16" s="176"/>
      <c r="F16" s="176"/>
      <c r="G16" s="177"/>
      <c r="H16" s="176"/>
      <c r="I16" s="176"/>
      <c r="J16" s="178"/>
      <c r="K16" s="178"/>
      <c r="L16" s="179"/>
      <c r="M16" s="176"/>
      <c r="N16" s="176"/>
      <c r="O16" s="197">
        <f t="shared" ref="O16:O19" si="34">SUM(E16:N16)-J16</f>
        <v>0</v>
      </c>
      <c r="P16" s="187" t="str">
        <f t="shared" si="23"/>
        <v/>
      </c>
      <c r="Q16" s="182"/>
      <c r="R16" s="50" t="str">
        <f t="shared" si="24"/>
        <v/>
      </c>
      <c r="S16" s="52"/>
      <c r="T16" s="52"/>
      <c r="U16" s="149">
        <f t="shared" ref="U16:U44" si="35">IF(BJ16&gt;0,BJ16,BN16)</f>
        <v>0</v>
      </c>
      <c r="V16" s="150">
        <f t="shared" si="25"/>
        <v>0</v>
      </c>
      <c r="W16" s="50"/>
      <c r="X16" s="49">
        <f>IF(ISNA(INDEX('Conversion Factors'!$B$6:$B$371,MATCH('Nov 1 - Nov 15'!$Z$14:$Z$20,'Conversion Factors'!$A$6:$A$371,0))),"",INDEX('Conversion Factors'!$B$6:$B$371,MATCH('Nov 1 - Nov 15'!$Z$14:$Z$20,'Conversion Factors'!$A$6:$A$371,0)))</f>
        <v>7.8789999999999996</v>
      </c>
      <c r="Z16" s="18">
        <f t="shared" si="1"/>
        <v>44502</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44503</v>
      </c>
      <c r="B17" s="238"/>
      <c r="C17" s="239"/>
      <c r="D17" s="32" t="s">
        <v>26</v>
      </c>
      <c r="E17" s="176"/>
      <c r="F17" s="176"/>
      <c r="G17" s="177"/>
      <c r="H17" s="176"/>
      <c r="I17" s="176"/>
      <c r="J17" s="178"/>
      <c r="K17" s="178"/>
      <c r="L17" s="179"/>
      <c r="M17" s="176"/>
      <c r="N17" s="176"/>
      <c r="O17" s="197">
        <f t="shared" si="34"/>
        <v>0</v>
      </c>
      <c r="P17" s="187" t="str">
        <f t="shared" si="23"/>
        <v/>
      </c>
      <c r="Q17" s="182"/>
      <c r="R17" s="50" t="str">
        <f t="shared" si="24"/>
        <v/>
      </c>
      <c r="S17" s="52"/>
      <c r="T17" s="52"/>
      <c r="U17" s="149">
        <f t="shared" si="35"/>
        <v>0</v>
      </c>
      <c r="V17" s="150">
        <f t="shared" si="25"/>
        <v>0</v>
      </c>
      <c r="W17" s="50"/>
      <c r="X17" s="49">
        <f>IF(ISNA(INDEX('Conversion Factors'!$B$6:$B$371,MATCH('Nov 1 - Nov 15'!$Z$14:$Z$20,'Conversion Factors'!$A$6:$A$371,0))),"",INDEX('Conversion Factors'!$B$6:$B$371,MATCH('Nov 1 - Nov 15'!$Z$14:$Z$20,'Conversion Factors'!$A$6:$A$371,0)))</f>
        <v>7.8789999999999996</v>
      </c>
      <c r="Z17" s="18">
        <f t="shared" si="1"/>
        <v>44503</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44504</v>
      </c>
      <c r="B18" s="238"/>
      <c r="C18" s="239"/>
      <c r="D18" s="32" t="s">
        <v>27</v>
      </c>
      <c r="E18" s="176"/>
      <c r="F18" s="176"/>
      <c r="G18" s="177"/>
      <c r="H18" s="176"/>
      <c r="I18" s="176"/>
      <c r="J18" s="178"/>
      <c r="K18" s="178"/>
      <c r="L18" s="179"/>
      <c r="M18" s="176"/>
      <c r="N18" s="176"/>
      <c r="O18" s="197">
        <f t="shared" si="34"/>
        <v>0</v>
      </c>
      <c r="P18" s="187" t="str">
        <f t="shared" si="23"/>
        <v/>
      </c>
      <c r="Q18" s="182"/>
      <c r="R18" s="50" t="str">
        <f t="shared" si="24"/>
        <v/>
      </c>
      <c r="S18" s="52"/>
      <c r="T18" s="52"/>
      <c r="U18" s="149">
        <f t="shared" si="35"/>
        <v>0</v>
      </c>
      <c r="V18" s="150">
        <f t="shared" si="25"/>
        <v>0</v>
      </c>
      <c r="W18" s="50"/>
      <c r="X18" s="49">
        <f>IF(ISNA(INDEX('Conversion Factors'!$B$6:$B$371,MATCH('Nov 1 - Nov 15'!$Z$14:$Z$20,'Conversion Factors'!$A$6:$A$371,0))),"",INDEX('Conversion Factors'!$B$6:$B$371,MATCH('Nov 1 - Nov 15'!$Z$14:$Z$20,'Conversion Factors'!$A$6:$A$371,0)))</f>
        <v>7.8789999999999996</v>
      </c>
      <c r="Z18" s="18">
        <f t="shared" si="1"/>
        <v>44504</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44505</v>
      </c>
      <c r="B19" s="238"/>
      <c r="C19" s="239"/>
      <c r="D19" s="32" t="s">
        <v>28</v>
      </c>
      <c r="E19" s="176"/>
      <c r="F19" s="176"/>
      <c r="G19" s="177"/>
      <c r="H19" s="176"/>
      <c r="I19" s="176"/>
      <c r="J19" s="178"/>
      <c r="K19" s="178"/>
      <c r="L19" s="179"/>
      <c r="M19" s="176"/>
      <c r="N19" s="176"/>
      <c r="O19" s="197">
        <f t="shared" si="34"/>
        <v>0</v>
      </c>
      <c r="P19" s="50" t="str">
        <f t="shared" si="23"/>
        <v/>
      </c>
      <c r="Q19" s="51"/>
      <c r="R19" s="50" t="str">
        <f t="shared" si="24"/>
        <v/>
      </c>
      <c r="S19" s="52"/>
      <c r="T19" s="52"/>
      <c r="U19" s="149">
        <f t="shared" si="35"/>
        <v>0</v>
      </c>
      <c r="V19" s="150">
        <f t="shared" si="25"/>
        <v>0</v>
      </c>
      <c r="W19" s="50"/>
      <c r="X19" s="49">
        <f>IF(ISNA(INDEX('Conversion Factors'!$B$6:$B$371,MATCH('Nov 1 - Nov 15'!$Z$14:$Z$20,'Conversion Factors'!$A$6:$A$371,0))),"",INDEX('Conversion Factors'!$B$6:$B$371,MATCH('Nov 1 - Nov 15'!$Z$14:$Z$20,'Conversion Factors'!$A$6:$A$371,0)))</f>
        <v>7.8789999999999996</v>
      </c>
      <c r="Z19" s="18">
        <f t="shared" si="1"/>
        <v>44505</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44506</v>
      </c>
      <c r="B20" s="238"/>
      <c r="C20" s="239"/>
      <c r="D20" s="32" t="s">
        <v>29</v>
      </c>
      <c r="E20" s="176"/>
      <c r="F20" s="176"/>
      <c r="G20" s="177"/>
      <c r="H20" s="176"/>
      <c r="I20" s="176"/>
      <c r="J20" s="178"/>
      <c r="K20" s="178"/>
      <c r="L20" s="179"/>
      <c r="M20" s="176"/>
      <c r="N20" s="176"/>
      <c r="O20" s="197">
        <f>SUM(E20:N20)-J20</f>
        <v>0</v>
      </c>
      <c r="P20" s="50" t="str">
        <f t="shared" si="23"/>
        <v/>
      </c>
      <c r="Q20" s="52"/>
      <c r="R20" s="50" t="str">
        <f t="shared" si="24"/>
        <v/>
      </c>
      <c r="S20" s="52"/>
      <c r="T20" s="52"/>
      <c r="U20" s="149">
        <f t="shared" si="35"/>
        <v>0</v>
      </c>
      <c r="V20" s="150">
        <f t="shared" si="25"/>
        <v>0</v>
      </c>
      <c r="W20" s="50"/>
      <c r="X20" s="49">
        <f>IF(ISNA(INDEX('Conversion Factors'!$B$6:$B$371,MATCH('Nov 1 - Nov 15'!$Z$14:$Z$20,'Conversion Factors'!$A$6:$A$371,0))),"",INDEX('Conversion Factors'!$B$6:$B$371,MATCH('Nov 1 - Nov 15'!$Z$14:$Z$20,'Conversion Factors'!$A$6:$A$371,0)))</f>
        <v>7.8789999999999996</v>
      </c>
      <c r="Z20" s="18">
        <f t="shared" si="1"/>
        <v>44506</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44507</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Factors'!$B$6:$B$371,MATCH('Nov 1 - Nov 15'!$Z$22:$Z$28,'Conversion Factors'!$A$6:$A$371,0))),"",INDEX('Conversion Factors'!$B$6:$B$371,MATCH('Nov 1 - Nov 15'!$Z$22:$Z$28,'Conversion Factors'!$A$6:$A$371,0)))</f>
        <v>7.8789999999999996</v>
      </c>
      <c r="Z22" s="17">
        <f t="shared" ref="Z22:Z28" si="42">A22</f>
        <v>44507</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44508</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Factors'!$B$6:$B$371,MATCH('Nov 1 - Nov 15'!$Z$22:$Z$28,'Conversion Factors'!$A$6:$A$371,0))),"",INDEX('Conversion Factors'!$B$6:$B$371,MATCH('Nov 1 - Nov 15'!$Z$22:$Z$28,'Conversion Factors'!$A$6:$A$371,0)))</f>
        <v>7.8789999999999996</v>
      </c>
      <c r="Z23" s="17">
        <f t="shared" si="42"/>
        <v>44508</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44509</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Factors'!$B$6:$B$371,MATCH('Nov 1 - Nov 15'!$Z$22:$Z$28,'Conversion Factors'!$A$6:$A$371,0))),"",INDEX('Conversion Factors'!$B$6:$B$371,MATCH('Nov 1 - Nov 15'!$Z$22:$Z$28,'Conversion Factors'!$A$6:$A$371,0)))</f>
        <v>7.8789999999999996</v>
      </c>
      <c r="Z24" s="17">
        <f t="shared" si="42"/>
        <v>44509</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44510</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Factors'!$B$6:$B$371,MATCH('Nov 1 - Nov 15'!$Z$22:$Z$28,'Conversion Factors'!$A$6:$A$371,0))),"",INDEX('Conversion Factors'!$B$6:$B$371,MATCH('Nov 1 - Nov 15'!$Z$22:$Z$28,'Conversion Factors'!$A$6:$A$371,0)))</f>
        <v>7.8789999999999996</v>
      </c>
      <c r="Z25" s="17">
        <f t="shared" si="42"/>
        <v>44510</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44511</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Factors'!$B$6:$B$371,MATCH('Nov 1 - Nov 15'!$Z$22:$Z$28,'Conversion Factors'!$A$6:$A$371,0))),"",INDEX('Conversion Factors'!$B$6:$B$371,MATCH('Nov 1 - Nov 15'!$Z$22:$Z$28,'Conversion Factors'!$A$6:$A$371,0)))</f>
        <v>7.8789999999999996</v>
      </c>
      <c r="Z26" s="17">
        <f t="shared" si="42"/>
        <v>44511</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44512</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Factors'!$B$6:$B$371,MATCH('Nov 1 - Nov 15'!$Z$22:$Z$28,'Conversion Factors'!$A$6:$A$371,0))),"",INDEX('Conversion Factors'!$B$6:$B$371,MATCH('Nov 1 - Nov 15'!$Z$22:$Z$28,'Conversion Factors'!$A$6:$A$371,0)))</f>
        <v>7.8789999999999996</v>
      </c>
      <c r="Z27" s="17">
        <f t="shared" si="42"/>
        <v>44512</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44513</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Factors'!$B$6:$B$371,MATCH('Nov 1 - Nov 15'!$Z$22:$Z$28,'Conversion Factors'!$A$6:$A$371,0))),"",INDEX('Conversion Factors'!$B$6:$B$371,MATCH('Nov 1 - Nov 15'!$Z$22:$Z$28,'Conversion Factors'!$A$6:$A$371,0)))</f>
        <v>7.8789999999999996</v>
      </c>
      <c r="Z28" s="17">
        <f t="shared" si="42"/>
        <v>44513</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44514</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Factors'!$B$6:$B$370,MATCH('Nov 1 - Nov 15'!$Z$30:$Z$36,'Conversion Factors'!$A$6:$A$370,0))),"",INDEX('Conversion Factors'!$B$6:$B$370,MATCH('Nov 1 - Nov 15'!$Z$30:$Z$36,'Conversion Factors'!$A$6:$A$370,0)))</f>
        <v>7.8789999999999996</v>
      </c>
      <c r="Z30" s="17">
        <f t="shared" ref="Z30:Z36" si="81">A30</f>
        <v>44514</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44515</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Factors'!$B$6:$B$370,MATCH('Nov 1 - Nov 15'!$Z$30:$Z$36,'Conversion Factors'!$A$6:$A$370,0))),"",INDEX('Conversion Factors'!$B$6:$B$370,MATCH('Nov 1 - Nov 15'!$Z$30:$Z$36,'Conversion Factors'!$A$6:$A$370,0)))</f>
        <v>7.8789999999999996</v>
      </c>
      <c r="Z31" s="17">
        <f t="shared" si="81"/>
        <v>44515</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t="str">
        <f t="shared" si="104"/>
        <v/>
      </c>
      <c r="B32" s="226"/>
      <c r="C32" s="227"/>
      <c r="D32" s="32" t="s">
        <v>25</v>
      </c>
      <c r="E32" s="52"/>
      <c r="F32" s="52"/>
      <c r="G32" s="77"/>
      <c r="H32" s="52"/>
      <c r="I32" s="52"/>
      <c r="J32" s="108"/>
      <c r="K32" s="108"/>
      <c r="L32" s="109"/>
      <c r="M32" s="52"/>
      <c r="N32" s="52"/>
      <c r="O32" s="110">
        <f t="shared" si="105"/>
        <v>0</v>
      </c>
      <c r="P32" s="50" t="str">
        <f t="shared" si="106"/>
        <v/>
      </c>
      <c r="Q32" s="51"/>
      <c r="R32" s="50" t="str">
        <f t="shared" si="107"/>
        <v/>
      </c>
      <c r="S32" s="52"/>
      <c r="T32" s="52"/>
      <c r="U32" s="149">
        <f t="shared" si="35"/>
        <v>0</v>
      </c>
      <c r="V32" s="150">
        <f t="shared" si="108"/>
        <v>0</v>
      </c>
      <c r="W32" s="50"/>
      <c r="X32" s="49" t="str">
        <f>IF(ISNA(INDEX('Conversion Factors'!$B$6:$B$370,MATCH('Nov 1 - Nov 15'!$Z$30:$Z$36,'Conversion Factors'!$A$6:$A$370,0))),"",INDEX('Conversion Factors'!$B$6:$B$370,MATCH('Nov 1 - Nov 15'!$Z$30:$Z$36,'Conversion Factors'!$A$6:$A$370,0)))</f>
        <v/>
      </c>
      <c r="Z32" s="17" t="str">
        <f t="shared" si="81"/>
        <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b">
        <f t="shared" si="104"/>
        <v>0</v>
      </c>
      <c r="B33" s="226"/>
      <c r="C33" s="227"/>
      <c r="D33" s="32" t="s">
        <v>26</v>
      </c>
      <c r="E33" s="52"/>
      <c r="F33" s="52"/>
      <c r="G33" s="77"/>
      <c r="H33" s="52"/>
      <c r="I33" s="52"/>
      <c r="J33" s="108"/>
      <c r="K33" s="108"/>
      <c r="L33" s="109"/>
      <c r="M33" s="52"/>
      <c r="N33" s="52"/>
      <c r="O33" s="110">
        <f t="shared" si="105"/>
        <v>0</v>
      </c>
      <c r="P33" s="50" t="str">
        <f t="shared" si="106"/>
        <v/>
      </c>
      <c r="Q33" s="51"/>
      <c r="R33" s="50" t="str">
        <f t="shared" si="107"/>
        <v/>
      </c>
      <c r="S33" s="52"/>
      <c r="T33" s="52"/>
      <c r="U33" s="149">
        <f t="shared" si="35"/>
        <v>0</v>
      </c>
      <c r="V33" s="150">
        <f t="shared" si="108"/>
        <v>0</v>
      </c>
      <c r="W33" s="50"/>
      <c r="X33" s="49" t="str">
        <f>IF(ISNA(INDEX('Conversion Factors'!$B$6:$B$370,MATCH('Nov 1 - Nov 15'!$Z$30:$Z$36,'Conversion Factors'!$A$6:$A$370,0))),"",INDEX('Conversion Factors'!$B$6:$B$370,MATCH('Nov 1 - Nov 15'!$Z$30:$Z$36,'Conversion Factors'!$A$6:$A$370,0)))</f>
        <v/>
      </c>
      <c r="Z33" s="17" t="b">
        <f t="shared" si="81"/>
        <v>0</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52"/>
      <c r="F34" s="52"/>
      <c r="G34" s="77"/>
      <c r="H34" s="52"/>
      <c r="I34" s="52"/>
      <c r="J34" s="108"/>
      <c r="K34" s="108"/>
      <c r="L34" s="109"/>
      <c r="M34" s="52"/>
      <c r="N34" s="52"/>
      <c r="O34" s="110">
        <f t="shared" si="105"/>
        <v>0</v>
      </c>
      <c r="P34" s="50" t="str">
        <f t="shared" si="106"/>
        <v/>
      </c>
      <c r="Q34" s="51"/>
      <c r="R34" s="50" t="str">
        <f t="shared" si="107"/>
        <v/>
      </c>
      <c r="S34" s="52"/>
      <c r="T34" s="52"/>
      <c r="U34" s="149">
        <f t="shared" si="35"/>
        <v>0</v>
      </c>
      <c r="V34" s="150">
        <f t="shared" si="108"/>
        <v>0</v>
      </c>
      <c r="W34" s="50"/>
      <c r="X34" s="49" t="str">
        <f>IF(ISNA(INDEX('Conversion Factors'!$B$6:$B$370,MATCH('Nov 1 - Nov 15'!$Z$30:$Z$36,'Conversion Factors'!$A$6:$A$370,0))),"",INDEX('Conversion Factors'!$B$6:$B$370,MATCH('Nov 1 - Nov 15'!$Z$30:$Z$36,'Conversion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1"/>
      <c r="R35" s="50" t="str">
        <f t="shared" si="107"/>
        <v/>
      </c>
      <c r="S35" s="52"/>
      <c r="T35" s="52"/>
      <c r="U35" s="149">
        <f t="shared" si="35"/>
        <v>0</v>
      </c>
      <c r="V35" s="150">
        <f t="shared" si="108"/>
        <v>0</v>
      </c>
      <c r="W35" s="50"/>
      <c r="X35" s="49" t="str">
        <f>IF(ISNA(INDEX('Conversion Factors'!$B$6:$B$370,MATCH('Nov 1 - Nov 15'!$Z$30:$Z$36,'Conversion Factors'!$A$6:$A$370,0))),"",INDEX('Conversion Factors'!$B$6:$B$370,MATCH('Nov 1 - Nov 15'!$Z$30:$Z$36,'Conversion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Factors'!$B$6:$B$370,MATCH('Nov 1 - Nov 15'!$Z$30:$Z$36,'Conversion Factors'!$A$6:$A$370,0))),"",INDEX('Conversion Factors'!$B$6:$B$370,MATCH('Nov 1 - Nov 15'!$Z$30:$Z$36,'Conversion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Factors'!$B$6:$B$370,MATCH('Nov 1 - Nov 15'!$Z$38:$Z$44,'Conversion Factors'!$A$6:$A$370,0))),"",INDEX('Conversion Factors'!$B$6:$B$370,MATCH('Nov 1 - Nov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Factors'!$B$6:$B$370,MATCH('Nov 1 - Nov 15'!$Z$38:$Z$44,'Conversion Factors'!$A$6:$A$370,0))),"",INDEX('Conversion Factors'!$B$6:$B$370,MATCH('Nov 1 - Nov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Factors'!$B$6:$B$370,MATCH('Nov 1 - Nov 15'!$Z$38:$Z$44,'Conversion Factors'!$A$6:$A$370,0))),"",INDEX('Conversion Factors'!$B$6:$B$370,MATCH('Nov 1 - Nov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Factors'!$B$6:$B$370,MATCH('Nov 1 - Nov 15'!$Z$38:$Z$44,'Conversion Factors'!$A$6:$A$370,0))),"",INDEX('Conversion Factors'!$B$6:$B$370,MATCH('Nov 1 - Nov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Factors'!$B$6:$B$370,MATCH('Nov 1 - Nov 15'!$Z$38:$Z$44,'Conversion Factors'!$A$6:$A$370,0))),"",INDEX('Conversion Factors'!$B$6:$B$370,MATCH('Nov 1 - Nov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Factors'!$B$6:$B$370,MATCH('Nov 1 - Nov 15'!$Z$38:$Z$44,'Conversion Factors'!$A$6:$A$370,0))),"",INDEX('Conversion Factors'!$B$6:$B$370,MATCH('Nov 1 - Nov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Factors'!$B$6:$B$370,MATCH('Nov 1 - Nov 15'!$Z$38:$Z$44,'Conversion Factors'!$A$6:$A$370,0))),"",INDEX('Conversion Factors'!$B$6:$B$370,MATCH('Nov 1 - Nov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90" priority="17" operator="equal">
      <formula>FALSE</formula>
    </cfRule>
  </conditionalFormatting>
  <conditionalFormatting sqref="A22:C22">
    <cfRule type="cellIs" dxfId="289" priority="16" operator="equal">
      <formula>FALSE</formula>
    </cfRule>
  </conditionalFormatting>
  <conditionalFormatting sqref="D22:D28">
    <cfRule type="cellIs" dxfId="288" priority="15" operator="equal">
      <formula>FALSE</formula>
    </cfRule>
  </conditionalFormatting>
  <conditionalFormatting sqref="Z22:Z28">
    <cfRule type="cellIs" dxfId="287" priority="14" operator="equal">
      <formula>FALSE</formula>
    </cfRule>
  </conditionalFormatting>
  <conditionalFormatting sqref="Z30:Z36">
    <cfRule type="cellIs" dxfId="286" priority="13" operator="equal">
      <formula>FALSE</formula>
    </cfRule>
  </conditionalFormatting>
  <conditionalFormatting sqref="X21 X29 X37">
    <cfRule type="containsErrors" dxfId="285" priority="12">
      <formula>ISERROR(X21)</formula>
    </cfRule>
  </conditionalFormatting>
  <conditionalFormatting sqref="Z39:Z44">
    <cfRule type="cellIs" dxfId="284" priority="10" operator="equal">
      <formula>FALSE</formula>
    </cfRule>
  </conditionalFormatting>
  <conditionalFormatting sqref="Z38">
    <cfRule type="cellIs" dxfId="283" priority="11" operator="equal">
      <formula>FALSE</formula>
    </cfRule>
  </conditionalFormatting>
  <conditionalFormatting sqref="W11:X11">
    <cfRule type="cellIs" dxfId="282" priority="9" operator="equal">
      <formula>"Please Select"</formula>
    </cfRule>
  </conditionalFormatting>
  <conditionalFormatting sqref="E11:F11">
    <cfRule type="containsBlanks" dxfId="281" priority="8">
      <formula>LEN(TRIM(E11))=0</formula>
    </cfRule>
  </conditionalFormatting>
  <conditionalFormatting sqref="U14:U46">
    <cfRule type="cellIs" dxfId="280" priority="7" operator="equal">
      <formula>FALSE</formula>
    </cfRule>
  </conditionalFormatting>
  <conditionalFormatting sqref="P26">
    <cfRule type="cellIs" dxfId="279" priority="6" operator="lessThan">
      <formula>$BQ$21</formula>
    </cfRule>
  </conditionalFormatting>
  <conditionalFormatting sqref="X14:X20">
    <cfRule type="containsErrors" dxfId="278" priority="5">
      <formula>ISERROR(X14)</formula>
    </cfRule>
  </conditionalFormatting>
  <conditionalFormatting sqref="X30:X36">
    <cfRule type="containsErrors" dxfId="277" priority="4">
      <formula>ISERROR(X30)</formula>
    </cfRule>
  </conditionalFormatting>
  <conditionalFormatting sqref="X38:X44">
    <cfRule type="containsErrors" dxfId="276" priority="3">
      <formula>ISERROR(X38)</formula>
    </cfRule>
  </conditionalFormatting>
  <conditionalFormatting sqref="X22">
    <cfRule type="containsErrors" dxfId="275" priority="2">
      <formula>ISERROR(X22)</formula>
    </cfRule>
  </conditionalFormatting>
  <conditionalFormatting sqref="X23:X28">
    <cfRule type="containsErrors" dxfId="274"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8269B74A-B6AC-43FD-AABE-31E9FAAB5F9D}">
      <formula1>$AD$6:$AD$8</formula1>
    </dataValidation>
    <dataValidation allowBlank="1" showInputMessage="1" showErrorMessage="1" promptTitle="Hours Per Week" prompt="Please enter the number of hours you are scheduled to work each week.  (Example:  40)_x000a_" sqref="E11:F11" xr:uid="{28B9150A-F820-46B2-9944-CF8C0CDDFCD4}"/>
    <dataValidation allowBlank="1" showInputMessage="1" showErrorMessage="1" prompt="Enter your MSU ID into this field and it will populate to all the other time re[prts in this workbook." sqref="C6:H6" xr:uid="{506EBC4F-C904-4FF7-B1C3-D6E5909D88EC}"/>
    <dataValidation allowBlank="1" showInputMessage="1" showErrorMessage="1" prompt="Enter your Name into this field and it will populate to all the other time reports in this workbook." sqref="C7:H7" xr:uid="{B24F9B07-EB1F-4884-A838-2058CD309083}"/>
    <dataValidation allowBlank="1" showInputMessage="1" showErrorMessage="1" prompt="Enter your Department Name into this field and it will populate to all the other time reports in this workbook." sqref="C8:H8" xr:uid="{E409FDCD-3E12-4379-A34C-E67976516B50}"/>
  </dataValidations>
  <hyperlinks>
    <hyperlink ref="O49" r:id="rId1" xr:uid="{712154B3-9FC0-4461-AEF3-6AC2CDFF4F5C}"/>
    <hyperlink ref="O48:W48" r:id="rId2" display="Leave/Leave Without Pay Policy" xr:uid="{E637F50F-262A-4AF3-9FB1-4CBFD31AE30A}"/>
    <hyperlink ref="O50:W50" r:id="rId3" display="Time Sheet Definitions/Policies" xr:uid="{B04993C9-C091-4B4C-A9A2-1E2AAE3E5457}"/>
    <hyperlink ref="O49:T49" r:id="rId4" display="Overtime/Compensatory Time" xr:uid="{A350373B-224B-4784-81C5-DCFD4FC4F568}"/>
  </hyperlinks>
  <printOptions horizontalCentered="1"/>
  <pageMargins left="0.5" right="0.5" top="0.5" bottom="0.5" header="0.5" footer="0"/>
  <pageSetup scale="75" orientation="portrait" r:id="rId5"/>
  <headerFooter alignWithMargins="0">
    <oddFooter>&amp;RRevised:  05/2019</oddFooter>
  </headerFooter>
  <ignoredErrors>
    <ignoredError sqref="O20 O14 O15 O16 O17 O18 O19" unlockedFormula="1"/>
  </ignoredError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F968A-4E79-4BB6-A79D-D79A6B06B067}">
  <sheetPr codeName="Sheet16">
    <tabColor theme="4" tint="0.79998168889431442"/>
  </sheetPr>
  <dimension ref="A1:BQ57"/>
  <sheetViews>
    <sheetView showGridLines="0" showZeros="0" zoomScaleNormal="100" workbookViewId="0">
      <pane ySplit="13" topLeftCell="A30"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Notes'!$A$11</f>
        <v>44516</v>
      </c>
      <c r="P6" s="265"/>
      <c r="Q6" s="265"/>
      <c r="R6" s="265"/>
      <c r="S6" s="265"/>
      <c r="T6" s="265"/>
      <c r="U6" s="53"/>
      <c r="V6" s="53"/>
      <c r="W6" s="24"/>
      <c r="X6" s="30"/>
      <c r="Z6" s="4" t="str">
        <f>TEXT(O6,"dddd")</f>
        <v>Tuesday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Notes'!$B$11</f>
        <v>44530</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Notes'!$C$11</f>
        <v>22</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SUM(E14:E15)</f>
        <v>0</v>
      </c>
      <c r="F13" s="86">
        <f t="shared" ref="F13:N13" si="0">SUM(F14:F15)</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'Nov 1 - Nov 15'!E30</f>
        <v>0</v>
      </c>
      <c r="F14" s="182">
        <f>'Nov 1 - Nov 15'!F30</f>
        <v>0</v>
      </c>
      <c r="G14" s="184">
        <f>'Nov 1 - Nov 15'!G30</f>
        <v>0</v>
      </c>
      <c r="H14" s="182">
        <f>'Nov 1 - Nov 15'!H30</f>
        <v>0</v>
      </c>
      <c r="I14" s="182">
        <f>'Nov 1 - Nov 15'!I30</f>
        <v>0</v>
      </c>
      <c r="J14" s="185">
        <f>'Nov 1 - Nov 15'!J30</f>
        <v>0</v>
      </c>
      <c r="K14" s="185">
        <f>'Nov 1 - Nov 15'!K30</f>
        <v>0</v>
      </c>
      <c r="L14" s="186">
        <f>'Nov 1 - Nov 15'!L30</f>
        <v>0</v>
      </c>
      <c r="M14" s="182">
        <f>'Nov 1 - Nov 15'!M30</f>
        <v>0</v>
      </c>
      <c r="N14" s="182">
        <f>'Nov 1 - Nov 15'!N30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Factors'!$B$6:$B$371,MATCH('Nov 16 - Nov 30'!$Z$14:$Z$20,'Conversion Factors'!$A$6:$A$371,0))),"",INDEX('Conversion Factors'!$B$6:$B$371,MATCH('Nov 16 - Nov 30'!$Z$14:$Z$20,'Conversion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'Nov 1 - Nov 15'!E31</f>
        <v>0</v>
      </c>
      <c r="F15" s="182">
        <f>'Nov 1 - Nov 15'!F31</f>
        <v>0</v>
      </c>
      <c r="G15" s="184">
        <f>'Nov 1 - Nov 15'!G31</f>
        <v>0</v>
      </c>
      <c r="H15" s="182">
        <f>'Nov 1 - Nov 15'!H31</f>
        <v>0</v>
      </c>
      <c r="I15" s="182">
        <f>'Nov 1 - Nov 15'!I31</f>
        <v>0</v>
      </c>
      <c r="J15" s="185">
        <f>'Nov 1 - Nov 15'!J31</f>
        <v>0</v>
      </c>
      <c r="K15" s="185">
        <f>'Nov 1 - Nov 15'!K31</f>
        <v>0</v>
      </c>
      <c r="L15" s="186">
        <f>'Nov 1 - Nov 15'!L31</f>
        <v>0</v>
      </c>
      <c r="M15" s="182">
        <f>'Nov 1 - Nov 15'!M31</f>
        <v>0</v>
      </c>
      <c r="N15" s="182">
        <f>'Nov 1 - Nov 15'!N31</f>
        <v>0</v>
      </c>
      <c r="O15" s="110">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Factors'!$B$6:$B$371,MATCH('Nov 16 - Nov 30'!$Z$14:$Z$20,'Conversion Factors'!$A$6:$A$371,0))),"",INDEX('Conversion Factors'!$B$6:$B$371,MATCH('Nov 16 - Nov 30'!$Z$14:$Z$20,'Conversion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44516</v>
      </c>
      <c r="B16" s="238"/>
      <c r="C16" s="239"/>
      <c r="D16" s="32" t="s">
        <v>25</v>
      </c>
      <c r="E16" s="176"/>
      <c r="F16" s="176"/>
      <c r="G16" s="177"/>
      <c r="H16" s="176"/>
      <c r="I16" s="176"/>
      <c r="J16" s="178"/>
      <c r="K16" s="178"/>
      <c r="L16" s="179"/>
      <c r="M16" s="176"/>
      <c r="N16" s="176"/>
      <c r="O16" s="110">
        <f t="shared" ref="O16:O19" si="34">SUM(E16:N16)-J16</f>
        <v>0</v>
      </c>
      <c r="P16" s="187" t="str">
        <f t="shared" si="23"/>
        <v/>
      </c>
      <c r="Q16" s="182"/>
      <c r="R16" s="50" t="str">
        <f t="shared" si="24"/>
        <v/>
      </c>
      <c r="S16" s="52"/>
      <c r="T16" s="52"/>
      <c r="U16" s="149">
        <f t="shared" ref="U16:U44" si="35">IF(BJ16&gt;0,BJ16,BN16)</f>
        <v>0</v>
      </c>
      <c r="V16" s="150">
        <f t="shared" si="25"/>
        <v>0</v>
      </c>
      <c r="W16" s="50"/>
      <c r="X16" s="49">
        <f>IF(ISNA(INDEX('Conversion Factors'!$B$6:$B$371,MATCH('Nov 16 - Nov 30'!$Z$14:$Z$20,'Conversion Factors'!$A$6:$A$371,0))),"",INDEX('Conversion Factors'!$B$6:$B$371,MATCH('Nov 16 - Nov 30'!$Z$14:$Z$20,'Conversion Factors'!$A$6:$A$371,0)))</f>
        <v>7.8789999999999996</v>
      </c>
      <c r="Z16" s="18">
        <f t="shared" si="1"/>
        <v>44516</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44517</v>
      </c>
      <c r="B17" s="238"/>
      <c r="C17" s="239"/>
      <c r="D17" s="32" t="s">
        <v>26</v>
      </c>
      <c r="E17" s="176"/>
      <c r="F17" s="176"/>
      <c r="G17" s="177"/>
      <c r="H17" s="176"/>
      <c r="I17" s="176"/>
      <c r="J17" s="178"/>
      <c r="K17" s="178"/>
      <c r="L17" s="179"/>
      <c r="M17" s="176"/>
      <c r="N17" s="176"/>
      <c r="O17" s="110">
        <f t="shared" si="34"/>
        <v>0</v>
      </c>
      <c r="P17" s="187" t="str">
        <f t="shared" si="23"/>
        <v/>
      </c>
      <c r="Q17" s="182"/>
      <c r="R17" s="50" t="str">
        <f t="shared" si="24"/>
        <v/>
      </c>
      <c r="S17" s="52"/>
      <c r="T17" s="52"/>
      <c r="U17" s="149">
        <f t="shared" si="35"/>
        <v>0</v>
      </c>
      <c r="V17" s="150">
        <f t="shared" si="25"/>
        <v>0</v>
      </c>
      <c r="W17" s="50"/>
      <c r="X17" s="49">
        <f>IF(ISNA(INDEX('Conversion Factors'!$B$6:$B$371,MATCH('Nov 16 - Nov 30'!$Z$14:$Z$20,'Conversion Factors'!$A$6:$A$371,0))),"",INDEX('Conversion Factors'!$B$6:$B$371,MATCH('Nov 16 - Nov 30'!$Z$14:$Z$20,'Conversion Factors'!$A$6:$A$371,0)))</f>
        <v>7.8789999999999996</v>
      </c>
      <c r="Z17" s="18">
        <f t="shared" si="1"/>
        <v>44517</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44518</v>
      </c>
      <c r="B18" s="238"/>
      <c r="C18" s="239"/>
      <c r="D18" s="32" t="s">
        <v>27</v>
      </c>
      <c r="E18" s="176"/>
      <c r="F18" s="176"/>
      <c r="G18" s="177"/>
      <c r="H18" s="176"/>
      <c r="I18" s="176"/>
      <c r="J18" s="178"/>
      <c r="K18" s="178"/>
      <c r="L18" s="179"/>
      <c r="M18" s="176"/>
      <c r="N18" s="176"/>
      <c r="O18" s="110">
        <f t="shared" si="34"/>
        <v>0</v>
      </c>
      <c r="P18" s="187" t="str">
        <f t="shared" si="23"/>
        <v/>
      </c>
      <c r="Q18" s="182"/>
      <c r="R18" s="50" t="str">
        <f t="shared" si="24"/>
        <v/>
      </c>
      <c r="S18" s="52"/>
      <c r="T18" s="52"/>
      <c r="U18" s="149">
        <f t="shared" si="35"/>
        <v>0</v>
      </c>
      <c r="V18" s="150">
        <f t="shared" si="25"/>
        <v>0</v>
      </c>
      <c r="W18" s="50"/>
      <c r="X18" s="49">
        <f>IF(ISNA(INDEX('Conversion Factors'!$B$6:$B$371,MATCH('Nov 16 - Nov 30'!$Z$14:$Z$20,'Conversion Factors'!$A$6:$A$371,0))),"",INDEX('Conversion Factors'!$B$6:$B$371,MATCH('Nov 16 - Nov 30'!$Z$14:$Z$20,'Conversion Factors'!$A$6:$A$371,0)))</f>
        <v>7.8789999999999996</v>
      </c>
      <c r="Z18" s="18">
        <f t="shared" si="1"/>
        <v>44518</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44519</v>
      </c>
      <c r="B19" s="238"/>
      <c r="C19" s="239"/>
      <c r="D19" s="32" t="s">
        <v>28</v>
      </c>
      <c r="E19" s="176"/>
      <c r="F19" s="176"/>
      <c r="G19" s="177"/>
      <c r="H19" s="176"/>
      <c r="I19" s="176"/>
      <c r="J19" s="178"/>
      <c r="K19" s="178"/>
      <c r="L19" s="179"/>
      <c r="M19" s="176"/>
      <c r="N19" s="176"/>
      <c r="O19" s="110">
        <f t="shared" si="34"/>
        <v>0</v>
      </c>
      <c r="P19" s="187" t="str">
        <f t="shared" si="23"/>
        <v/>
      </c>
      <c r="Q19" s="182"/>
      <c r="R19" s="50" t="str">
        <f t="shared" si="24"/>
        <v/>
      </c>
      <c r="S19" s="52"/>
      <c r="T19" s="52"/>
      <c r="U19" s="149">
        <f t="shared" si="35"/>
        <v>0</v>
      </c>
      <c r="V19" s="150">
        <f t="shared" si="25"/>
        <v>0</v>
      </c>
      <c r="W19" s="50"/>
      <c r="X19" s="49">
        <f>IF(ISNA(INDEX('Conversion Factors'!$B$6:$B$371,MATCH('Nov 16 - Nov 30'!$Z$14:$Z$20,'Conversion Factors'!$A$6:$A$371,0))),"",INDEX('Conversion Factors'!$B$6:$B$371,MATCH('Nov 16 - Nov 30'!$Z$14:$Z$20,'Conversion Factors'!$A$6:$A$371,0)))</f>
        <v>7.8789999999999996</v>
      </c>
      <c r="Z19" s="18">
        <f t="shared" si="1"/>
        <v>44519</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44520</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Factors'!$B$6:$B$371,MATCH('Nov 16 - Nov 30'!$Z$14:$Z$20,'Conversion Factors'!$A$6:$A$371,0))),"",INDEX('Conversion Factors'!$B$6:$B$371,MATCH('Nov 16 - Nov 30'!$Z$14:$Z$20,'Conversion Factors'!$A$6:$A$371,0)))</f>
        <v>7.8789999999999996</v>
      </c>
      <c r="Z20" s="18">
        <f t="shared" si="1"/>
        <v>44520</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0</v>
      </c>
    </row>
    <row r="22" spans="1:69" ht="15" customHeight="1" thickTop="1">
      <c r="A22" s="237">
        <f>IF(A20=0,"",IF(A20&lt;$O$7,A20+1,IF(A20=$O$7,"")))</f>
        <v>44521</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Factors'!$B$6:$B$371,MATCH('Nov 16 - Nov 30'!$Z$22:$Z$28,'Conversion Factors'!$A$6:$A$371,0))),"",INDEX('Conversion Factors'!$B$6:$B$371,MATCH('Nov 16 - Nov 30'!$Z$22:$Z$28,'Conversion Factors'!$A$6:$A$371,0)))</f>
        <v>7.8789999999999996</v>
      </c>
      <c r="Z22" s="17">
        <f t="shared" ref="Z22:Z28" si="42">A22</f>
        <v>44521</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44522</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Factors'!$B$6:$B$371,MATCH('Nov 16 - Nov 30'!$Z$22:$Z$28,'Conversion Factors'!$A$6:$A$371,0))),"",INDEX('Conversion Factors'!$B$6:$B$371,MATCH('Nov 16 - Nov 30'!$Z$22:$Z$28,'Conversion Factors'!$A$6:$A$371,0)))</f>
        <v>7.8789999999999996</v>
      </c>
      <c r="Z23" s="17">
        <f t="shared" si="42"/>
        <v>44522</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44523</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Factors'!$B$6:$B$371,MATCH('Nov 16 - Nov 30'!$Z$22:$Z$28,'Conversion Factors'!$A$6:$A$371,0))),"",INDEX('Conversion Factors'!$B$6:$B$371,MATCH('Nov 16 - Nov 30'!$Z$22:$Z$28,'Conversion Factors'!$A$6:$A$371,0)))</f>
        <v>7.8789999999999996</v>
      </c>
      <c r="Z24" s="17">
        <f t="shared" si="42"/>
        <v>44523</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44524</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Factors'!$B$6:$B$371,MATCH('Nov 16 - Nov 30'!$Z$22:$Z$28,'Conversion Factors'!$A$6:$A$371,0))),"",INDEX('Conversion Factors'!$B$6:$B$371,MATCH('Nov 16 - Nov 30'!$Z$22:$Z$28,'Conversion Factors'!$A$6:$A$371,0)))</f>
        <v>7.8789999999999996</v>
      </c>
      <c r="Z25" s="17">
        <f t="shared" si="42"/>
        <v>44524</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44525</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Factors'!$B$6:$B$371,MATCH('Nov 16 - Nov 30'!$Z$22:$Z$28,'Conversion Factors'!$A$6:$A$371,0))),"",INDEX('Conversion Factors'!$B$6:$B$371,MATCH('Nov 16 - Nov 30'!$Z$22:$Z$28,'Conversion Factors'!$A$6:$A$371,0)))</f>
        <v>7.8789999999999996</v>
      </c>
      <c r="Z26" s="17">
        <f t="shared" si="42"/>
        <v>44525</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44526</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Factors'!$B$6:$B$371,MATCH('Nov 16 - Nov 30'!$Z$22:$Z$28,'Conversion Factors'!$A$6:$A$371,0))),"",INDEX('Conversion Factors'!$B$6:$B$371,MATCH('Nov 16 - Nov 30'!$Z$22:$Z$28,'Conversion Factors'!$A$6:$A$371,0)))</f>
        <v>7.8789999999999996</v>
      </c>
      <c r="Z27" s="17">
        <f t="shared" si="42"/>
        <v>44526</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44527</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Factors'!$B$6:$B$371,MATCH('Nov 16 - Nov 30'!$Z$22:$Z$28,'Conversion Factors'!$A$6:$A$371,0))),"",INDEX('Conversion Factors'!$B$6:$B$371,MATCH('Nov 16 - Nov 30'!$Z$22:$Z$28,'Conversion Factors'!$A$6:$A$371,0)))</f>
        <v>7.8789999999999996</v>
      </c>
      <c r="Z28" s="17">
        <f t="shared" si="42"/>
        <v>44527</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0</v>
      </c>
    </row>
    <row r="30" spans="1:69" ht="15" customHeight="1" thickTop="1">
      <c r="A30" s="225">
        <f>IF(A28&lt;$O$7,A28+1,IF(A28=$O$7,""))</f>
        <v>44528</v>
      </c>
      <c r="B30" s="226"/>
      <c r="C30" s="227"/>
      <c r="D30" s="32" t="s">
        <v>23</v>
      </c>
      <c r="E30" s="176"/>
      <c r="F30" s="176"/>
      <c r="G30" s="177"/>
      <c r="H30" s="176"/>
      <c r="I30" s="176"/>
      <c r="J30" s="178"/>
      <c r="K30" s="178"/>
      <c r="L30" s="179"/>
      <c r="M30" s="176"/>
      <c r="N30" s="176"/>
      <c r="O30" s="110">
        <f t="shared" ref="O30:O32" si="81">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Factors'!$B$6:$B$370,MATCH('Nov 16 - Nov 30'!$Z$30:$Z$36,'Conversion Factors'!$A$6:$A$370,0))),"",INDEX('Conversion Factors'!$B$6:$B$370,MATCH('Nov 16 - Nov 30'!$Z$30:$Z$36,'Conversion Factors'!$A$6:$A$370,0)))</f>
        <v>7.8789999999999996</v>
      </c>
      <c r="Z30" s="17">
        <f t="shared" ref="Z30:Z36" si="82">A30</f>
        <v>44528</v>
      </c>
      <c r="AA30" s="57" t="str">
        <f t="shared" ref="AA30:AA36" si="83">IF(AND(ISNUMBER(N30),ISNUMBER($Z$12)),N30/$Z$12,"")</f>
        <v/>
      </c>
      <c r="AB30" s="57" t="str">
        <f t="shared" ref="AB30:AB36" si="84">IF(AND(ISNUMBER(Q30),ISNUMBER($Z$12)),Q30/$Z$12,"")</f>
        <v/>
      </c>
      <c r="AC30" s="58"/>
      <c r="AD30" s="59"/>
      <c r="AE30" s="58"/>
      <c r="AF30" s="58"/>
      <c r="AG30" s="64"/>
      <c r="AH30" s="71">
        <f t="shared" ref="AH30:AH36" si="85">E30+AH29</f>
        <v>0</v>
      </c>
      <c r="AI30" s="68">
        <f>IF(AH30&gt;$AI$12,AH30-($AI$12+AI29),0)</f>
        <v>0</v>
      </c>
      <c r="AJ30" s="145" t="b">
        <f t="shared" ref="AJ30:AJ36" si="86">IF(AND(AZ30&gt;0,AZ30),IF(BA30&gt;0,BA30,IF(BB30&gt;0,BB30,IF(BC30&gt;0,BC30,IF(BF30&gt;0,BF30,"")))))</f>
        <v>0</v>
      </c>
      <c r="AK30" s="151" t="b">
        <f>IF(AND(AO30&gt;0,AO30),IF(AP30&gt;0,AP30,IF(AQ30&gt;0,AQ30,IF(AR30&gt;0,AR30,IF(AU30&gt;0,AU30,"")))))</f>
        <v>0</v>
      </c>
      <c r="AM30" s="147">
        <f t="shared" ref="AM30:AM36" si="87">J30</f>
        <v>0</v>
      </c>
      <c r="AO30" s="152">
        <f t="shared" ref="AO30:AO36" si="88">IF(G30=0,0,"")</f>
        <v>0</v>
      </c>
      <c r="AP30" s="152">
        <f t="shared" ref="AP30:AP36" si="89">IF(AND(AH30&lt;=40,E30=G30),G30,0)</f>
        <v>0</v>
      </c>
      <c r="AQ30" s="153">
        <f t="shared" ref="AQ30:AQ36" si="90">IF(AND(AH30&lt;=40,E30&gt;=G30,G30&gt;0),O30-E30,0)</f>
        <v>0</v>
      </c>
      <c r="AR30" s="152">
        <f t="shared" ref="AR30:AR36" si="91">IF(AND(AH30&lt;=40,E30&lt;G30),O30-G30,0)</f>
        <v>0</v>
      </c>
      <c r="AS30" s="154">
        <f t="shared" ref="AS30:AS36" si="92">IF(AND(G30=0),G30,IF(AND(G30&gt;0,AI30&gt;0,G30=AT30),AT30,IF(AND(G30&gt;0,AI30&gt;0,G30-AT30),AT30,0)))</f>
        <v>0</v>
      </c>
      <c r="AT30" s="154"/>
      <c r="AU30" s="155">
        <f>AS30</f>
        <v>0</v>
      </c>
      <c r="AV30" s="156">
        <f t="shared" ref="AV30:AV36" si="93">IF(AND(AH29+AU30=40,AI30&gt;0,AI30&gt;AU30),AI30-AU30,IF(AND(AH29+AU30=40,AI30&gt;0,AI30&lt;AU30,AU30+AI30=G30),AI30,IF(AND(AH29&gt;40,AH30&gt;40,G30=AI30),AI30,0)))</f>
        <v>0</v>
      </c>
      <c r="AW30" s="157">
        <f>AV30</f>
        <v>0</v>
      </c>
      <c r="AY30" s="157">
        <f t="shared" ref="AY30:AY36" si="94">IF(AND(J30&gt;0,AI30&gt;=J30,BB30=0),O30-AI30,IF(AND(J30&gt;0,AI30&gt;0,BB30&lt;=AI30),AI30-BB30,IF(AND(J30&gt;0,AI30&gt;0,BB30&gt;AI30),J30-BB30,0)))</f>
        <v>0</v>
      </c>
      <c r="AZ30" s="152">
        <f t="shared" ref="AZ30:AZ36" si="95">IF(J30=0,0,"")</f>
        <v>0</v>
      </c>
      <c r="BA30" s="152">
        <f t="shared" ref="BA30:BA36" si="96">IF(AND(AH30&lt;=40,E30=J30),J30,0)</f>
        <v>0</v>
      </c>
      <c r="BB30" s="158">
        <f t="shared" ref="BB30:BB36" si="97">IF(AND(AZ30=0),AZ30,IF(AND(AH30&gt;40,E30&gt;=J30),BE30,IF(AND(AH30&lt;=40,E30&gt;J30),J30,0)))</f>
        <v>0</v>
      </c>
      <c r="BC30" s="152">
        <f t="shared" ref="BC30:BC36" si="98">IF(AND(AH30&lt;=40,E30&lt;J30),O30-J30,0)</f>
        <v>0</v>
      </c>
      <c r="BD30" s="154">
        <f t="shared" ref="BD30:BD36" si="99">IF(AND(J30=0),J30,IF(AND(J30&gt;0,AI30&gt;0,J30=BC30),BC30,IF(AND(J30&gt;0,AI30&gt;0,J30-BC30),BC30,0)))</f>
        <v>0</v>
      </c>
      <c r="BE30" s="154"/>
      <c r="BF30" s="159">
        <f>BD30</f>
        <v>0</v>
      </c>
      <c r="BG30" s="160"/>
      <c r="BH30" s="160">
        <f>IF(AND(G30&gt;0,E30&gt;0),1,0)</f>
        <v>0</v>
      </c>
      <c r="BI30" s="161">
        <f t="shared" ref="BI30:BI36" si="100">40-AH30</f>
        <v>40</v>
      </c>
      <c r="BJ30" s="161">
        <f t="shared" ref="BJ30:BJ36" si="101">IF(AND(BH30=1,40-BL29&gt;0,40-BL29&lt;8),40-BL29,IF(AND(E30&lt;G30),E30,G30))</f>
        <v>0</v>
      </c>
      <c r="BK30" s="161">
        <f t="shared" ref="BK30:BK36" si="102">IF(AND(BH30=1,BL30&gt;40,E30&lt;G30),E30-BJ30,(IF(AND(BH30=1,BL30&gt;0,E30&gt;=G30),G30-BJ30,0)))</f>
        <v>0</v>
      </c>
      <c r="BL30" s="161">
        <f>E30</f>
        <v>0</v>
      </c>
      <c r="BM30" s="160">
        <f>IF(AND(K30&gt;0,E30&gt;0),1,0)</f>
        <v>0</v>
      </c>
      <c r="BN30" s="161">
        <f>IF(AND(BM30=1,J30&gt;8),K30,(IF(AND(BM30=1,J30&gt;0),J30,0)))</f>
        <v>0</v>
      </c>
      <c r="BO30" s="161">
        <f t="shared" ref="BO30:BO31" si="103">IF(AND(BM30=1,40-BL29&gt;0,40-BL29&lt;8),40-BL29,IF(AND(J30&lt;K30),J30,K30))</f>
        <v>0</v>
      </c>
      <c r="BP30" s="161">
        <f t="shared" ref="BP30:BP34" si="104">IF(AND(BM30=1,BL30&gt;40,J30&lt;=K30),J30-BO30,IF(AND(BM30=1,BL30&gt;0,J30&gt;K30),K30-BO30,0))</f>
        <v>0</v>
      </c>
      <c r="BQ30" s="160"/>
    </row>
    <row r="31" spans="1:69" ht="15" customHeight="1">
      <c r="A31" s="225">
        <f t="shared" ref="A31:A36" si="105">IF(A30&lt;$O$7,A30+1,IF(A30=$O$7,""))</f>
        <v>44529</v>
      </c>
      <c r="B31" s="226"/>
      <c r="C31" s="227"/>
      <c r="D31" s="32" t="s">
        <v>24</v>
      </c>
      <c r="E31" s="176"/>
      <c r="F31" s="176"/>
      <c r="G31" s="177"/>
      <c r="H31" s="176"/>
      <c r="I31" s="176"/>
      <c r="J31" s="178"/>
      <c r="K31" s="178"/>
      <c r="L31" s="179"/>
      <c r="M31" s="176"/>
      <c r="N31" s="176"/>
      <c r="O31" s="110">
        <f t="shared" si="81"/>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Factors'!$B$6:$B$370,MATCH('Nov 16 - Nov 30'!$Z$30:$Z$36,'Conversion Factors'!$A$6:$A$370,0))),"",INDEX('Conversion Factors'!$B$6:$B$370,MATCH('Nov 16 - Nov 30'!$Z$30:$Z$36,'Conversion Factors'!$A$6:$A$370,0)))</f>
        <v>7.8789999999999996</v>
      </c>
      <c r="Z31" s="17">
        <f t="shared" si="82"/>
        <v>44529</v>
      </c>
      <c r="AA31" s="57" t="str">
        <f t="shared" si="83"/>
        <v/>
      </c>
      <c r="AB31" s="57" t="str">
        <f t="shared" si="84"/>
        <v/>
      </c>
      <c r="AH31" s="71">
        <f t="shared" si="85"/>
        <v>0</v>
      </c>
      <c r="AI31" s="68">
        <f>IF(AH31&gt;$AI$12,AH31-($AI$12+AI30+AI29),0)</f>
        <v>0</v>
      </c>
      <c r="AJ31" s="145" t="b">
        <f t="shared" si="86"/>
        <v>0</v>
      </c>
      <c r="AK31" s="151" t="b">
        <f t="shared" ref="AK31:AK36" si="109">IF(AND(AO31&gt;0,AO31),IF(AP31&gt;0,AP31,IF(AQ31&gt;0,AQ31,IF(AR31&gt;0,AR31,IF(AU31&gt;0,AU31,0)))))</f>
        <v>0</v>
      </c>
      <c r="AM31" s="147">
        <f t="shared" si="87"/>
        <v>0</v>
      </c>
      <c r="AO31" s="162">
        <f t="shared" si="88"/>
        <v>0</v>
      </c>
      <c r="AP31" s="162">
        <f t="shared" si="89"/>
        <v>0</v>
      </c>
      <c r="AQ31" s="153">
        <f t="shared" si="90"/>
        <v>0</v>
      </c>
      <c r="AR31" s="162">
        <f t="shared" si="91"/>
        <v>0</v>
      </c>
      <c r="AS31" s="154">
        <f t="shared" si="92"/>
        <v>0</v>
      </c>
      <c r="AT31" s="154">
        <f t="shared" ref="AT31:AT33" si="110">IF(AND(AH30&lt;=40),40-AH30,0)</f>
        <v>40</v>
      </c>
      <c r="AU31" s="155">
        <f t="shared" ref="AU31:AU36" si="111">AS31</f>
        <v>0</v>
      </c>
      <c r="AV31" s="156">
        <f t="shared" si="93"/>
        <v>0</v>
      </c>
      <c r="AW31" s="157">
        <f t="shared" ref="AW31:AW36" si="112">AV31</f>
        <v>0</v>
      </c>
      <c r="AY31" s="157">
        <f t="shared" si="94"/>
        <v>0</v>
      </c>
      <c r="AZ31" s="152">
        <f t="shared" si="95"/>
        <v>0</v>
      </c>
      <c r="BA31" s="152">
        <f t="shared" si="96"/>
        <v>0</v>
      </c>
      <c r="BB31" s="158">
        <f t="shared" si="97"/>
        <v>0</v>
      </c>
      <c r="BC31" s="152">
        <f t="shared" si="98"/>
        <v>0</v>
      </c>
      <c r="BD31" s="154">
        <f t="shared" si="99"/>
        <v>0</v>
      </c>
      <c r="BE31" s="154">
        <f>IF(AND(AH30&lt;=40),40-AH30,0)</f>
        <v>40</v>
      </c>
      <c r="BF31" s="159">
        <f t="shared" ref="BF31:BF36" si="113">BD31</f>
        <v>0</v>
      </c>
      <c r="BG31" s="160"/>
      <c r="BH31" s="160">
        <f>IF(AND(G31&gt;0,E31&gt;0),1,0)</f>
        <v>0</v>
      </c>
      <c r="BI31" s="161">
        <f t="shared" si="100"/>
        <v>40</v>
      </c>
      <c r="BJ31" s="161">
        <f t="shared" si="101"/>
        <v>0</v>
      </c>
      <c r="BK31" s="161">
        <f t="shared" si="102"/>
        <v>0</v>
      </c>
      <c r="BL31" s="161">
        <f>SUM(E30:E31)</f>
        <v>0</v>
      </c>
      <c r="BM31" s="160">
        <f t="shared" ref="BM31:BM36" si="114">IF(AND(K31&gt;0,E31&gt;0),1,0)</f>
        <v>0</v>
      </c>
      <c r="BN31" s="161">
        <f>IF(AND(BM31=1,J31&gt;8),K31,(IF(AND(BM31=1,J31&gt;0),J31,0)))</f>
        <v>0</v>
      </c>
      <c r="BO31" s="161">
        <f t="shared" si="103"/>
        <v>0</v>
      </c>
      <c r="BP31" s="161">
        <f t="shared" si="104"/>
        <v>0</v>
      </c>
      <c r="BQ31" s="160"/>
    </row>
    <row r="32" spans="1:69" ht="15" customHeight="1">
      <c r="A32" s="225">
        <f t="shared" si="105"/>
        <v>44530</v>
      </c>
      <c r="B32" s="226"/>
      <c r="C32" s="227"/>
      <c r="D32" s="32" t="s">
        <v>25</v>
      </c>
      <c r="E32" s="176"/>
      <c r="F32" s="176"/>
      <c r="G32" s="177"/>
      <c r="H32" s="176"/>
      <c r="I32" s="176"/>
      <c r="J32" s="178"/>
      <c r="K32" s="178"/>
      <c r="L32" s="179"/>
      <c r="M32" s="176"/>
      <c r="N32" s="176"/>
      <c r="O32" s="110">
        <f t="shared" si="81"/>
        <v>0</v>
      </c>
      <c r="P32" s="50" t="str">
        <f t="shared" si="106"/>
        <v/>
      </c>
      <c r="Q32" s="51"/>
      <c r="R32" s="50" t="str">
        <f t="shared" si="107"/>
        <v/>
      </c>
      <c r="S32" s="52"/>
      <c r="T32" s="52"/>
      <c r="U32" s="149">
        <f t="shared" si="35"/>
        <v>0</v>
      </c>
      <c r="V32" s="150">
        <f t="shared" si="108"/>
        <v>0</v>
      </c>
      <c r="W32" s="50"/>
      <c r="X32" s="49">
        <f>IF(ISNA(INDEX('Conversion Factors'!$B$6:$B$370,MATCH('Nov 16 - Nov 30'!$Z$30:$Z$36,'Conversion Factors'!$A$6:$A$370,0))),"",INDEX('Conversion Factors'!$B$6:$B$370,MATCH('Nov 16 - Nov 30'!$Z$30:$Z$36,'Conversion Factors'!$A$6:$A$370,0)))</f>
        <v>7.8789999999999996</v>
      </c>
      <c r="Z32" s="17">
        <f t="shared" si="82"/>
        <v>44530</v>
      </c>
      <c r="AA32" s="57" t="str">
        <f t="shared" si="83"/>
        <v/>
      </c>
      <c r="AB32" s="57" t="str">
        <f t="shared" si="84"/>
        <v/>
      </c>
      <c r="AG32" s="1"/>
      <c r="AH32" s="71">
        <f t="shared" si="85"/>
        <v>0</v>
      </c>
      <c r="AI32" s="68">
        <f>IF(AH32&gt;$AI$12,AH32-($AI$12+AI31+AI30+AI29),0)</f>
        <v>0</v>
      </c>
      <c r="AJ32" s="145" t="b">
        <f t="shared" si="86"/>
        <v>0</v>
      </c>
      <c r="AK32" s="151" t="b">
        <f t="shared" si="109"/>
        <v>0</v>
      </c>
      <c r="AM32" s="147">
        <f t="shared" si="87"/>
        <v>0</v>
      </c>
      <c r="AO32" s="162">
        <f t="shared" si="88"/>
        <v>0</v>
      </c>
      <c r="AP32" s="162">
        <f t="shared" si="89"/>
        <v>0</v>
      </c>
      <c r="AQ32" s="153">
        <f t="shared" si="90"/>
        <v>0</v>
      </c>
      <c r="AR32" s="162">
        <f t="shared" si="91"/>
        <v>0</v>
      </c>
      <c r="AS32" s="154">
        <f t="shared" si="92"/>
        <v>0</v>
      </c>
      <c r="AT32" s="154">
        <f t="shared" si="110"/>
        <v>40</v>
      </c>
      <c r="AU32" s="155">
        <f t="shared" si="111"/>
        <v>0</v>
      </c>
      <c r="AV32" s="156">
        <f t="shared" si="93"/>
        <v>0</v>
      </c>
      <c r="AW32" s="157">
        <f t="shared" si="112"/>
        <v>0</v>
      </c>
      <c r="AY32" s="157">
        <f t="shared" si="94"/>
        <v>0</v>
      </c>
      <c r="AZ32" s="152">
        <f t="shared" si="95"/>
        <v>0</v>
      </c>
      <c r="BA32" s="152">
        <f t="shared" si="96"/>
        <v>0</v>
      </c>
      <c r="BB32" s="158">
        <f t="shared" si="97"/>
        <v>0</v>
      </c>
      <c r="BC32" s="152">
        <f t="shared" si="98"/>
        <v>0</v>
      </c>
      <c r="BD32" s="154">
        <f t="shared" si="99"/>
        <v>0</v>
      </c>
      <c r="BE32" s="154">
        <f t="shared" ref="BE32:BE36" si="115">IF(AND(AH31&lt;=40),40-AH31,0)</f>
        <v>40</v>
      </c>
      <c r="BF32" s="159">
        <f t="shared" si="113"/>
        <v>0</v>
      </c>
      <c r="BG32" s="160"/>
      <c r="BH32" s="160">
        <f>IF(AND(G32&gt;0,E32&gt;0),1,0)</f>
        <v>0</v>
      </c>
      <c r="BI32" s="161">
        <f t="shared" si="100"/>
        <v>40</v>
      </c>
      <c r="BJ32" s="161">
        <f t="shared" si="101"/>
        <v>0</v>
      </c>
      <c r="BK32" s="161">
        <f t="shared" si="102"/>
        <v>0</v>
      </c>
      <c r="BL32" s="161">
        <f>SUM(E30:E32)</f>
        <v>0</v>
      </c>
      <c r="BM32" s="160">
        <f t="shared" si="114"/>
        <v>0</v>
      </c>
      <c r="BN32" s="161">
        <f>IF(AND(BM32=1,J32&gt;8),K32,(IF(AND(BM32=1,J32&gt;0),J32,0)))</f>
        <v>0</v>
      </c>
      <c r="BO32" s="161">
        <f>IF(AND(BM32=1,40-BL31&gt;0,40-BL31&lt;8),40-BL31,IF(AND(J32&lt;K32),J32,K32))</f>
        <v>0</v>
      </c>
      <c r="BP32" s="161">
        <f t="shared" si="104"/>
        <v>0</v>
      </c>
      <c r="BQ32" s="160"/>
    </row>
    <row r="33" spans="1:69" ht="15" customHeight="1">
      <c r="A33" s="225" t="str">
        <f t="shared" si="105"/>
        <v/>
      </c>
      <c r="B33" s="226"/>
      <c r="C33" s="227"/>
      <c r="D33" s="32" t="s">
        <v>26</v>
      </c>
      <c r="E33" s="52"/>
      <c r="F33" s="52"/>
      <c r="G33" s="77"/>
      <c r="H33" s="52"/>
      <c r="I33" s="52"/>
      <c r="J33" s="108"/>
      <c r="K33" s="108"/>
      <c r="L33" s="109"/>
      <c r="M33" s="52"/>
      <c r="N33" s="52"/>
      <c r="O33" s="110">
        <f t="shared" ref="O33:O36" si="116">SUM(E33:N33)-J33</f>
        <v>0</v>
      </c>
      <c r="P33" s="50" t="str">
        <f t="shared" si="106"/>
        <v/>
      </c>
      <c r="Q33" s="51"/>
      <c r="R33" s="50" t="str">
        <f t="shared" si="107"/>
        <v/>
      </c>
      <c r="S33" s="52"/>
      <c r="T33" s="52"/>
      <c r="U33" s="149">
        <f t="shared" si="35"/>
        <v>0</v>
      </c>
      <c r="V33" s="150">
        <f t="shared" si="108"/>
        <v>0</v>
      </c>
      <c r="W33" s="50"/>
      <c r="X33" s="49" t="str">
        <f>IF(ISNA(INDEX('Conversion Factors'!$B$6:$B$370,MATCH('Nov 16 - Nov 30'!$Z$30:$Z$36,'Conversion Factors'!$A$6:$A$370,0))),"",INDEX('Conversion Factors'!$B$6:$B$370,MATCH('Nov 16 - Nov 30'!$Z$30:$Z$36,'Conversion Factors'!$A$6:$A$370,0)))</f>
        <v/>
      </c>
      <c r="Z33" s="17" t="str">
        <f t="shared" si="82"/>
        <v/>
      </c>
      <c r="AA33" s="57" t="str">
        <f t="shared" si="83"/>
        <v/>
      </c>
      <c r="AB33" s="57" t="str">
        <f t="shared" si="84"/>
        <v/>
      </c>
      <c r="AG33" s="1"/>
      <c r="AH33" s="71">
        <f t="shared" si="85"/>
        <v>0</v>
      </c>
      <c r="AI33" s="68">
        <f>IF(AH33&gt;$AI$12,AH33-($AI$12+AI32+AI31+AI30+AI29),0)</f>
        <v>0</v>
      </c>
      <c r="AJ33" s="145" t="b">
        <f t="shared" si="86"/>
        <v>0</v>
      </c>
      <c r="AK33" s="151" t="b">
        <f t="shared" si="109"/>
        <v>0</v>
      </c>
      <c r="AM33" s="147">
        <f t="shared" si="87"/>
        <v>0</v>
      </c>
      <c r="AO33" s="162">
        <f t="shared" si="88"/>
        <v>0</v>
      </c>
      <c r="AP33" s="162">
        <f t="shared" si="89"/>
        <v>0</v>
      </c>
      <c r="AQ33" s="153">
        <f t="shared" si="90"/>
        <v>0</v>
      </c>
      <c r="AR33" s="162">
        <f t="shared" si="91"/>
        <v>0</v>
      </c>
      <c r="AS33" s="154">
        <f t="shared" si="92"/>
        <v>0</v>
      </c>
      <c r="AT33" s="154">
        <f t="shared" si="110"/>
        <v>40</v>
      </c>
      <c r="AU33" s="155">
        <f t="shared" si="111"/>
        <v>0</v>
      </c>
      <c r="AV33" s="156">
        <f t="shared" si="93"/>
        <v>0</v>
      </c>
      <c r="AW33" s="157">
        <f t="shared" si="112"/>
        <v>0</v>
      </c>
      <c r="AY33" s="157">
        <f t="shared" si="94"/>
        <v>0</v>
      </c>
      <c r="AZ33" s="152">
        <f t="shared" si="95"/>
        <v>0</v>
      </c>
      <c r="BA33" s="152">
        <f t="shared" si="96"/>
        <v>0</v>
      </c>
      <c r="BB33" s="158">
        <f t="shared" si="97"/>
        <v>0</v>
      </c>
      <c r="BC33" s="152">
        <f t="shared" si="98"/>
        <v>0</v>
      </c>
      <c r="BD33" s="154">
        <f t="shared" si="99"/>
        <v>0</v>
      </c>
      <c r="BE33" s="154">
        <f t="shared" si="115"/>
        <v>40</v>
      </c>
      <c r="BF33" s="159">
        <f t="shared" si="113"/>
        <v>0</v>
      </c>
      <c r="BG33" s="160"/>
      <c r="BH33" s="160">
        <f t="shared" ref="BH33:BH37" si="117">IF(AND(G33&gt;0,E33&gt;0),1,0)</f>
        <v>0</v>
      </c>
      <c r="BI33" s="161">
        <f t="shared" si="100"/>
        <v>40</v>
      </c>
      <c r="BJ33" s="161">
        <f t="shared" si="101"/>
        <v>0</v>
      </c>
      <c r="BK33" s="161">
        <f t="shared" si="102"/>
        <v>0</v>
      </c>
      <c r="BL33" s="161">
        <f>SUM(E30:E33)</f>
        <v>0</v>
      </c>
      <c r="BM33" s="160">
        <f t="shared" si="114"/>
        <v>0</v>
      </c>
      <c r="BN33" s="161">
        <f t="shared" ref="BN33:BN36" si="118">IF(AND(BM33=1,J33&gt;8),K33,(IF(AND(BM33=1,J33&gt;0),J33,0)))</f>
        <v>0</v>
      </c>
      <c r="BO33" s="161">
        <f t="shared" ref="BO33:BO36" si="119">IF(AND(BM33=1,40-BL32&gt;0,40-BL32&lt;8),40-BL32,IF(AND(J33&lt;K33),J33,K33))</f>
        <v>0</v>
      </c>
      <c r="BP33" s="161">
        <f t="shared" si="104"/>
        <v>0</v>
      </c>
      <c r="BQ33" s="160"/>
    </row>
    <row r="34" spans="1:69" ht="15" customHeight="1">
      <c r="A34" s="225" t="b">
        <f t="shared" si="105"/>
        <v>0</v>
      </c>
      <c r="B34" s="226"/>
      <c r="C34" s="227"/>
      <c r="D34" s="32" t="s">
        <v>27</v>
      </c>
      <c r="E34" s="52"/>
      <c r="F34" s="52"/>
      <c r="G34" s="77"/>
      <c r="H34" s="52"/>
      <c r="I34" s="52"/>
      <c r="J34" s="108"/>
      <c r="K34" s="108"/>
      <c r="L34" s="109"/>
      <c r="M34" s="52"/>
      <c r="N34" s="52"/>
      <c r="O34" s="110">
        <f t="shared" si="116"/>
        <v>0</v>
      </c>
      <c r="P34" s="50" t="str">
        <f t="shared" si="106"/>
        <v/>
      </c>
      <c r="Q34" s="51"/>
      <c r="R34" s="50" t="str">
        <f t="shared" si="107"/>
        <v/>
      </c>
      <c r="S34" s="52"/>
      <c r="T34" s="52"/>
      <c r="U34" s="149">
        <f t="shared" si="35"/>
        <v>0</v>
      </c>
      <c r="V34" s="150">
        <f t="shared" si="108"/>
        <v>0</v>
      </c>
      <c r="W34" s="50"/>
      <c r="X34" s="49" t="str">
        <f>IF(ISNA(INDEX('Conversion Factors'!$B$6:$B$370,MATCH('Nov 16 - Nov 30'!$Z$30:$Z$36,'Conversion Factors'!$A$6:$A$370,0))),"",INDEX('Conversion Factors'!$B$6:$B$370,MATCH('Nov 16 - Nov 30'!$Z$30:$Z$36,'Conversion Factors'!$A$6:$A$370,0)))</f>
        <v/>
      </c>
      <c r="Z34" s="17" t="b">
        <f t="shared" si="82"/>
        <v>0</v>
      </c>
      <c r="AA34" s="57" t="str">
        <f t="shared" si="83"/>
        <v/>
      </c>
      <c r="AB34" s="57" t="str">
        <f t="shared" si="84"/>
        <v/>
      </c>
      <c r="AH34" s="71">
        <f t="shared" si="85"/>
        <v>0</v>
      </c>
      <c r="AI34" s="68">
        <f>IF(AH34&gt;$AI$12,AH34-($AI$12+AI33+AI32+AI31+AI30+AI29),0)</f>
        <v>0</v>
      </c>
      <c r="AJ34" s="145" t="b">
        <f t="shared" si="86"/>
        <v>0</v>
      </c>
      <c r="AK34" s="151" t="b">
        <f t="shared" si="109"/>
        <v>0</v>
      </c>
      <c r="AM34" s="147">
        <f t="shared" si="87"/>
        <v>0</v>
      </c>
      <c r="AO34" s="162">
        <f t="shared" si="88"/>
        <v>0</v>
      </c>
      <c r="AP34" s="162">
        <f t="shared" si="89"/>
        <v>0</v>
      </c>
      <c r="AQ34" s="153">
        <f t="shared" si="90"/>
        <v>0</v>
      </c>
      <c r="AR34" s="162">
        <f t="shared" si="91"/>
        <v>0</v>
      </c>
      <c r="AS34" s="154">
        <f t="shared" si="92"/>
        <v>0</v>
      </c>
      <c r="AT34" s="154">
        <f>IF(AND(AH33&lt;=40),40-AH33,0)</f>
        <v>40</v>
      </c>
      <c r="AU34" s="155">
        <f t="shared" si="111"/>
        <v>0</v>
      </c>
      <c r="AV34" s="156">
        <f t="shared" si="93"/>
        <v>0</v>
      </c>
      <c r="AW34" s="157">
        <f t="shared" si="112"/>
        <v>0</v>
      </c>
      <c r="AY34" s="157">
        <f t="shared" si="94"/>
        <v>0</v>
      </c>
      <c r="AZ34" s="152">
        <f t="shared" si="95"/>
        <v>0</v>
      </c>
      <c r="BA34" s="152">
        <f t="shared" si="96"/>
        <v>0</v>
      </c>
      <c r="BB34" s="158">
        <f t="shared" si="97"/>
        <v>0</v>
      </c>
      <c r="BC34" s="152">
        <f t="shared" si="98"/>
        <v>0</v>
      </c>
      <c r="BD34" s="154">
        <f t="shared" si="99"/>
        <v>0</v>
      </c>
      <c r="BE34" s="154">
        <f t="shared" si="115"/>
        <v>40</v>
      </c>
      <c r="BF34" s="159">
        <f t="shared" si="113"/>
        <v>0</v>
      </c>
      <c r="BG34" s="160"/>
      <c r="BH34" s="160">
        <f t="shared" si="117"/>
        <v>0</v>
      </c>
      <c r="BI34" s="161">
        <f t="shared" si="100"/>
        <v>40</v>
      </c>
      <c r="BJ34" s="161">
        <f t="shared" si="101"/>
        <v>0</v>
      </c>
      <c r="BK34" s="161">
        <f t="shared" si="102"/>
        <v>0</v>
      </c>
      <c r="BL34" s="161">
        <f>SUM(E30:E34)</f>
        <v>0</v>
      </c>
      <c r="BM34" s="160">
        <f t="shared" si="114"/>
        <v>0</v>
      </c>
      <c r="BN34" s="161">
        <f t="shared" si="118"/>
        <v>0</v>
      </c>
      <c r="BO34" s="161">
        <f t="shared" si="119"/>
        <v>0</v>
      </c>
      <c r="BP34" s="161">
        <f t="shared" si="104"/>
        <v>0</v>
      </c>
      <c r="BQ34" s="160"/>
    </row>
    <row r="35" spans="1:69" ht="15" customHeight="1">
      <c r="A35" s="225" t="b">
        <f t="shared" si="105"/>
        <v>0</v>
      </c>
      <c r="B35" s="226"/>
      <c r="C35" s="227"/>
      <c r="D35" s="32" t="s">
        <v>28</v>
      </c>
      <c r="E35" s="52"/>
      <c r="F35" s="52"/>
      <c r="G35" s="77"/>
      <c r="H35" s="52"/>
      <c r="I35" s="52"/>
      <c r="J35" s="108"/>
      <c r="K35" s="108"/>
      <c r="L35" s="109"/>
      <c r="M35" s="52"/>
      <c r="N35" s="52"/>
      <c r="O35" s="110">
        <f t="shared" si="116"/>
        <v>0</v>
      </c>
      <c r="P35" s="50" t="str">
        <f t="shared" si="106"/>
        <v/>
      </c>
      <c r="Q35" s="51"/>
      <c r="R35" s="50" t="str">
        <f t="shared" si="107"/>
        <v/>
      </c>
      <c r="S35" s="52"/>
      <c r="T35" s="52"/>
      <c r="U35" s="149">
        <f t="shared" si="35"/>
        <v>0</v>
      </c>
      <c r="V35" s="150">
        <f t="shared" si="108"/>
        <v>0</v>
      </c>
      <c r="W35" s="50"/>
      <c r="X35" s="49" t="str">
        <f>IF(ISNA(INDEX('Conversion Factors'!$B$6:$B$370,MATCH('Nov 16 - Nov 30'!$Z$30:$Z$36,'Conversion Factors'!$A$6:$A$370,0))),"",INDEX('Conversion Factors'!$B$6:$B$370,MATCH('Nov 16 - Nov 30'!$Z$30:$Z$36,'Conversion Factors'!$A$6:$A$370,0)))</f>
        <v/>
      </c>
      <c r="Z35" s="17" t="b">
        <f t="shared" si="82"/>
        <v>0</v>
      </c>
      <c r="AA35" s="57" t="str">
        <f t="shared" si="83"/>
        <v/>
      </c>
      <c r="AB35" s="57" t="str">
        <f t="shared" si="84"/>
        <v/>
      </c>
      <c r="AH35" s="71">
        <f t="shared" si="85"/>
        <v>0</v>
      </c>
      <c r="AI35" s="68">
        <f>IF(AH35&gt;$AI$12,AH35-($AI$12+AI34+AI33+AI32+AI31+AI30+AI29),0)</f>
        <v>0</v>
      </c>
      <c r="AJ35" s="145" t="b">
        <f t="shared" si="86"/>
        <v>0</v>
      </c>
      <c r="AK35" s="151" t="b">
        <f t="shared" si="109"/>
        <v>0</v>
      </c>
      <c r="AM35" s="147">
        <f t="shared" si="87"/>
        <v>0</v>
      </c>
      <c r="AO35" s="162">
        <f t="shared" si="88"/>
        <v>0</v>
      </c>
      <c r="AP35" s="162">
        <f t="shared" si="89"/>
        <v>0</v>
      </c>
      <c r="AQ35" s="153">
        <f t="shared" si="90"/>
        <v>0</v>
      </c>
      <c r="AR35" s="162">
        <f t="shared" si="91"/>
        <v>0</v>
      </c>
      <c r="AS35" s="154">
        <f t="shared" si="92"/>
        <v>0</v>
      </c>
      <c r="AT35" s="154">
        <f t="shared" ref="AT35:AT36" si="120">IF(AND(AH34&lt;=40),40-AH34,0)</f>
        <v>40</v>
      </c>
      <c r="AU35" s="155">
        <f t="shared" si="111"/>
        <v>0</v>
      </c>
      <c r="AV35" s="156">
        <f t="shared" si="93"/>
        <v>0</v>
      </c>
      <c r="AW35" s="157">
        <f t="shared" si="112"/>
        <v>0</v>
      </c>
      <c r="AY35" s="157">
        <f t="shared" si="94"/>
        <v>0</v>
      </c>
      <c r="AZ35" s="152">
        <f t="shared" si="95"/>
        <v>0</v>
      </c>
      <c r="BA35" s="152">
        <f t="shared" si="96"/>
        <v>0</v>
      </c>
      <c r="BB35" s="158">
        <f t="shared" si="97"/>
        <v>0</v>
      </c>
      <c r="BC35" s="152">
        <f t="shared" si="98"/>
        <v>0</v>
      </c>
      <c r="BD35" s="154">
        <f t="shared" si="99"/>
        <v>0</v>
      </c>
      <c r="BE35" s="154">
        <f t="shared" si="115"/>
        <v>40</v>
      </c>
      <c r="BF35" s="159">
        <f t="shared" si="113"/>
        <v>0</v>
      </c>
      <c r="BG35" s="160"/>
      <c r="BH35" s="160">
        <f t="shared" si="117"/>
        <v>0</v>
      </c>
      <c r="BI35" s="161">
        <f t="shared" si="100"/>
        <v>40</v>
      </c>
      <c r="BJ35" s="161">
        <f t="shared" si="101"/>
        <v>0</v>
      </c>
      <c r="BK35" s="161">
        <f t="shared" si="102"/>
        <v>0</v>
      </c>
      <c r="BL35" s="161">
        <f>SUM(E30:E35)</f>
        <v>0</v>
      </c>
      <c r="BM35" s="160">
        <f t="shared" si="114"/>
        <v>0</v>
      </c>
      <c r="BN35" s="161">
        <f t="shared" si="118"/>
        <v>0</v>
      </c>
      <c r="BO35" s="161">
        <f t="shared" si="119"/>
        <v>0</v>
      </c>
      <c r="BP35" s="161">
        <f>IF(AND(BM35=1,BL35&gt;40,J35&lt;=K35),J35-BO35,IF(AND(BM35=1,BL35&gt;0,J35&gt;K35),K35-BO35,0))</f>
        <v>0</v>
      </c>
      <c r="BQ35" s="160"/>
    </row>
    <row r="36" spans="1:69" ht="15" customHeight="1" thickBot="1">
      <c r="A36" s="225" t="b">
        <f t="shared" si="105"/>
        <v>0</v>
      </c>
      <c r="B36" s="226"/>
      <c r="C36" s="227"/>
      <c r="D36" s="32" t="s">
        <v>29</v>
      </c>
      <c r="E36" s="52"/>
      <c r="F36" s="52"/>
      <c r="G36" s="77"/>
      <c r="H36" s="52"/>
      <c r="I36" s="52"/>
      <c r="J36" s="108"/>
      <c r="K36" s="108"/>
      <c r="L36" s="109"/>
      <c r="M36" s="52"/>
      <c r="N36" s="52"/>
      <c r="O36" s="110">
        <f t="shared" si="116"/>
        <v>0</v>
      </c>
      <c r="P36" s="50" t="str">
        <f t="shared" si="106"/>
        <v/>
      </c>
      <c r="Q36" s="52"/>
      <c r="R36" s="50" t="str">
        <f t="shared" si="107"/>
        <v/>
      </c>
      <c r="S36" s="52"/>
      <c r="T36" s="52"/>
      <c r="U36" s="149">
        <f t="shared" si="35"/>
        <v>0</v>
      </c>
      <c r="V36" s="150">
        <f t="shared" si="108"/>
        <v>0</v>
      </c>
      <c r="W36" s="50"/>
      <c r="X36" s="49" t="str">
        <f>IF(ISNA(INDEX('Conversion Factors'!$B$6:$B$370,MATCH('Nov 16 - Nov 30'!$Z$30:$Z$36,'Conversion Factors'!$A$6:$A$370,0))),"",INDEX('Conversion Factors'!$B$6:$B$370,MATCH('Nov 16 - Nov 30'!$Z$30:$Z$36,'Conversion Factors'!$A$6:$A$370,0)))</f>
        <v/>
      </c>
      <c r="Z36" s="17" t="b">
        <f t="shared" si="82"/>
        <v>0</v>
      </c>
      <c r="AA36" s="57" t="str">
        <f t="shared" si="83"/>
        <v/>
      </c>
      <c r="AB36" s="57" t="str">
        <f t="shared" si="84"/>
        <v/>
      </c>
      <c r="AH36" s="71">
        <f t="shared" si="85"/>
        <v>0</v>
      </c>
      <c r="AI36" s="68">
        <f>IF(AH36&gt;$AI$12,AH36-($AI$12+AI35+AI34+AI33+AI32+AI31+AI30+AI29),0)</f>
        <v>0</v>
      </c>
      <c r="AJ36" s="145" t="b">
        <f t="shared" si="86"/>
        <v>0</v>
      </c>
      <c r="AK36" s="151" t="b">
        <f t="shared" si="109"/>
        <v>0</v>
      </c>
      <c r="AM36" s="147">
        <f t="shared" si="87"/>
        <v>0</v>
      </c>
      <c r="AO36" s="163">
        <f t="shared" si="88"/>
        <v>0</v>
      </c>
      <c r="AP36" s="163">
        <f t="shared" si="89"/>
        <v>0</v>
      </c>
      <c r="AQ36" s="153">
        <f t="shared" si="90"/>
        <v>0</v>
      </c>
      <c r="AR36" s="163">
        <f t="shared" si="91"/>
        <v>0</v>
      </c>
      <c r="AS36" s="154">
        <f t="shared" si="92"/>
        <v>0</v>
      </c>
      <c r="AT36" s="154">
        <f t="shared" si="120"/>
        <v>40</v>
      </c>
      <c r="AU36" s="155">
        <f t="shared" si="111"/>
        <v>0</v>
      </c>
      <c r="AV36" s="156">
        <f t="shared" si="93"/>
        <v>0</v>
      </c>
      <c r="AW36" s="157">
        <f t="shared" si="112"/>
        <v>0</v>
      </c>
      <c r="AY36" s="157">
        <f t="shared" si="94"/>
        <v>0</v>
      </c>
      <c r="AZ36" s="152">
        <f t="shared" si="95"/>
        <v>0</v>
      </c>
      <c r="BA36" s="152">
        <f t="shared" si="96"/>
        <v>0</v>
      </c>
      <c r="BB36" s="158">
        <f t="shared" si="97"/>
        <v>0</v>
      </c>
      <c r="BC36" s="152">
        <f t="shared" si="98"/>
        <v>0</v>
      </c>
      <c r="BD36" s="154">
        <f t="shared" si="99"/>
        <v>0</v>
      </c>
      <c r="BE36" s="154">
        <f t="shared" si="115"/>
        <v>40</v>
      </c>
      <c r="BF36" s="159">
        <f t="shared" si="113"/>
        <v>0</v>
      </c>
      <c r="BG36" s="160"/>
      <c r="BH36" s="160">
        <f t="shared" si="117"/>
        <v>0</v>
      </c>
      <c r="BI36" s="161">
        <f t="shared" si="100"/>
        <v>40</v>
      </c>
      <c r="BJ36" s="161">
        <f t="shared" si="101"/>
        <v>0</v>
      </c>
      <c r="BK36" s="161">
        <f t="shared" si="102"/>
        <v>0</v>
      </c>
      <c r="BL36" s="161">
        <f>SUM(E30:E36)</f>
        <v>0</v>
      </c>
      <c r="BM36" s="160">
        <f t="shared" si="114"/>
        <v>0</v>
      </c>
      <c r="BN36" s="161">
        <f t="shared" si="118"/>
        <v>0</v>
      </c>
      <c r="BO36" s="161">
        <f t="shared" si="119"/>
        <v>0</v>
      </c>
      <c r="BP36" s="161">
        <f>IF(AND(BM36=1,BL36&gt;40,J36&lt;=K36),J36-BO36,IF(AND(BM36=1,BL36&gt;0,J36&gt;K36),K36-BO36,0))</f>
        <v>0</v>
      </c>
      <c r="BQ36" s="160"/>
    </row>
    <row r="37" spans="1:69" ht="15" customHeight="1" thickTop="1" thickBot="1">
      <c r="A37" s="228" t="s">
        <v>31</v>
      </c>
      <c r="B37" s="229"/>
      <c r="C37" s="230"/>
      <c r="D37" s="48"/>
      <c r="E37" s="34">
        <f t="shared" ref="E37:N37" si="121">SUM(E30:E36)</f>
        <v>0</v>
      </c>
      <c r="F37" s="34">
        <f t="shared" si="121"/>
        <v>0</v>
      </c>
      <c r="G37" s="76">
        <f t="shared" si="121"/>
        <v>0</v>
      </c>
      <c r="H37" s="34">
        <f t="shared" si="121"/>
        <v>0</v>
      </c>
      <c r="I37" s="34">
        <f t="shared" si="121"/>
        <v>0</v>
      </c>
      <c r="J37" s="74"/>
      <c r="K37" s="74">
        <f t="shared" si="121"/>
        <v>0</v>
      </c>
      <c r="L37" s="34">
        <f t="shared" si="121"/>
        <v>0</v>
      </c>
      <c r="M37" s="34">
        <f t="shared" si="121"/>
        <v>0</v>
      </c>
      <c r="N37" s="34">
        <f t="shared" si="121"/>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0</v>
      </c>
      <c r="AH37" s="83"/>
      <c r="AI37" s="84">
        <f>IF(AH37&gt;$AI$12,-$AI$12,0)</f>
        <v>0</v>
      </c>
      <c r="AJ37" s="80"/>
      <c r="AK37" s="79"/>
      <c r="AL37" s="34">
        <f>IF(AF37="Yes",S37*1.5,0)</f>
        <v>0</v>
      </c>
      <c r="BG37" s="160"/>
      <c r="BH37" s="160">
        <f t="shared" si="117"/>
        <v>0</v>
      </c>
      <c r="BI37" s="161"/>
      <c r="BJ37" s="161"/>
      <c r="BK37" s="161"/>
      <c r="BL37" s="161"/>
      <c r="BM37" s="160"/>
      <c r="BN37" s="161"/>
      <c r="BO37" s="161"/>
      <c r="BP37" s="161">
        <f>SUM(BP30:BP36)</f>
        <v>0</v>
      </c>
      <c r="BQ37" s="161">
        <f>U37+E11</f>
        <v>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Factors'!$B$6:$B$370,MATCH('Nov 16 - Nov 30'!$Z$38:$Z$44,'Conversion Factors'!$A$6:$A$370,0))),"",INDEX('Conversion Factors'!$B$6:$B$370,MATCH('Nov 16 - Nov 30'!$Z$38:$Z$44,'Conversion Factors'!$A$6:$A$370,0)))</f>
        <v/>
      </c>
      <c r="Z38" s="17" t="b">
        <f t="shared" ref="Z38:Z44" si="122">A38</f>
        <v>0</v>
      </c>
      <c r="AA38" s="57" t="str">
        <f t="shared" ref="AA38:AA44" si="123">IF(AND(ISNUMBER(N38),ISNUMBER($Z$12)),N38/$Z$12,"")</f>
        <v/>
      </c>
      <c r="AB38" s="57" t="str">
        <f t="shared" ref="AB38:AB44" si="124">IF(AND(ISNUMBER(Q38),ISNUMBER($Z$12)),Q38/$Z$12,"")</f>
        <v/>
      </c>
      <c r="AC38" s="58"/>
      <c r="AD38" s="59"/>
      <c r="AE38" s="58"/>
      <c r="AF38" s="58"/>
      <c r="AG38" s="64"/>
      <c r="AH38" s="71">
        <f t="shared" ref="AH38:AH44" si="125">E38+AH37</f>
        <v>0</v>
      </c>
      <c r="AI38" s="68">
        <f>IF(AH38&gt;$AI$12,AH38-($AI$12+AI37),0)</f>
        <v>0</v>
      </c>
      <c r="AJ38" s="145" t="b">
        <f t="shared" ref="AJ38:AJ44" si="126">IF(AND(AZ38&gt;0,AZ38),IF(BA38&gt;0,BA38,IF(BB38&gt;0,BB38,IF(BC38&gt;0,BC38,IF(BF38&gt;0,BF38,"")))))</f>
        <v>0</v>
      </c>
      <c r="AK38" s="151" t="b">
        <f>IF(AND(AO38&gt;0,AO38),IF(AP38&gt;0,AP38,IF(AQ38&gt;0,AQ38,IF(AR38&gt;0,AR38,IF(AU38&gt;0,AU38,"")))))</f>
        <v>0</v>
      </c>
      <c r="AM38" s="147">
        <f t="shared" ref="AM38:AM44" si="127">J38</f>
        <v>0</v>
      </c>
      <c r="AO38" s="152">
        <f t="shared" ref="AO38:AO44" si="128">IF(G38=0,0,"")</f>
        <v>0</v>
      </c>
      <c r="AP38" s="152">
        <f t="shared" ref="AP38:AP44" si="129">IF(AND(AH38&lt;=40,E38=G38),G38,0)</f>
        <v>0</v>
      </c>
      <c r="AQ38" s="153">
        <f t="shared" ref="AQ38:AQ44" si="130">IF(AND(AH38&lt;=40,E38&gt;=G38,G38&gt;0),O38-E38,0)</f>
        <v>0</v>
      </c>
      <c r="AR38" s="152">
        <f t="shared" ref="AR38:AR44" si="131">IF(AND(AH38&lt;=40,E38&lt;G38),O38-G38,0)</f>
        <v>0</v>
      </c>
      <c r="AS38" s="154">
        <f t="shared" ref="AS38:AS44" si="132">IF(AND(G38=0),G38,IF(AND(G38&gt;0,AI38&gt;0,G38=AT38),AT38,IF(AND(G38&gt;0,AI38&gt;0,G38-AT38),AT38,0)))</f>
        <v>0</v>
      </c>
      <c r="AT38" s="154"/>
      <c r="AU38" s="155">
        <f>AS38</f>
        <v>0</v>
      </c>
      <c r="AV38" s="156">
        <f t="shared" ref="AV38:AV44" si="133">IF(AND(AH37+AU38=40,AI38&gt;0,AI38&gt;AU38),AI38-AU38,IF(AND(AH37+AU38=40,AI38&gt;0,AI38&lt;AU38,AU38+AI38=G38),AI38,IF(AND(AH37&gt;40,AH38&gt;40,G38=AI38),AI38,0)))</f>
        <v>0</v>
      </c>
      <c r="AW38" s="157">
        <f>AV38</f>
        <v>0</v>
      </c>
      <c r="AY38" s="157">
        <f t="shared" ref="AY38:AY44" si="134">IF(AND(J38&gt;0,AI38&gt;=J38,BB38=0),O38-AI38,IF(AND(J38&gt;0,AI38&gt;0,BB38&lt;=AI38),AI38-BB38,IF(AND(J38&gt;0,AI38&gt;0,BB38&gt;AI38),J38-BB38,0)))</f>
        <v>0</v>
      </c>
      <c r="AZ38" s="152">
        <f t="shared" ref="AZ38:AZ44" si="135">IF(J38=0,0,"")</f>
        <v>0</v>
      </c>
      <c r="BA38" s="152">
        <f t="shared" ref="BA38:BA44" si="136">IF(AND(AH38&lt;=40,E38=J38),J38,0)</f>
        <v>0</v>
      </c>
      <c r="BB38" s="158">
        <f t="shared" ref="BB38:BB44" si="137">IF(AND(AZ38=0),AZ38,IF(AND(AH38&gt;40,E38&gt;=J38),BE38,IF(AND(AH38&lt;=40,E38&gt;J38),J38,0)))</f>
        <v>0</v>
      </c>
      <c r="BC38" s="152">
        <f t="shared" ref="BC38:BC44" si="138">IF(AND(AH38&lt;=40,E38&lt;J38),O38-J38,0)</f>
        <v>0</v>
      </c>
      <c r="BD38" s="154">
        <f t="shared" ref="BD38:BD44" si="139">IF(AND(J38=0),J38,IF(AND(J38&gt;0,AI38&gt;0,J38=BC38),BC38,IF(AND(J38&gt;0,AI38&gt;0,J38-BC38),BC38,0)))</f>
        <v>0</v>
      </c>
      <c r="BE38" s="154"/>
      <c r="BF38" s="159">
        <f>BD38</f>
        <v>0</v>
      </c>
      <c r="BG38" s="160"/>
      <c r="BH38" s="160">
        <f>IF(AND(G38&gt;0,E38&gt;0),1,0)</f>
        <v>0</v>
      </c>
      <c r="BI38" s="161">
        <f t="shared" ref="BI38:BI44" si="140">40-AH38</f>
        <v>40</v>
      </c>
      <c r="BJ38" s="161">
        <f t="shared" ref="BJ38:BJ44" si="141">IF(AND(BH38=1,40-BL37&gt;0,40-BL37&lt;8),40-BL37,IF(AND(E38&lt;G38),E38,G38))</f>
        <v>0</v>
      </c>
      <c r="BK38" s="161">
        <f t="shared" ref="BK38:BK44" si="142">IF(AND(BH38=1,BL38&gt;40,E38&lt;G38),E38-BJ38,(IF(AND(BH38=1,BL38&gt;0,E38&gt;=G38),G38-BJ38,0)))</f>
        <v>0</v>
      </c>
      <c r="BL38" s="161">
        <f>E38</f>
        <v>0</v>
      </c>
      <c r="BM38" s="160">
        <f>IF(AND(K38&gt;0,E38&gt;0),1,0)</f>
        <v>0</v>
      </c>
      <c r="BN38" s="161">
        <f>IF(AND(BM38=1,J38&gt;8),K38,(IF(AND(BM38=1,J38&gt;0),J38,0)))</f>
        <v>0</v>
      </c>
      <c r="BO38" s="161">
        <f t="shared" ref="BO38:BO39" si="143">IF(AND(BM38=1,40-BL37&gt;0,40-BL37&lt;8),40-BL37,IF(AND(J38&lt;K38),J38,K38))</f>
        <v>0</v>
      </c>
      <c r="BP38" s="161">
        <f t="shared" ref="BP38:BP42" si="144">IF(AND(BM38=1,BL38&gt;40,J38&lt;=K38),J38-BO38,IF(AND(BM38=1,BL38&gt;0,J38&gt;K38),K38-BO38,0))</f>
        <v>0</v>
      </c>
      <c r="BQ38" s="160"/>
    </row>
    <row r="39" spans="1:69" ht="15" customHeight="1">
      <c r="A39" s="225" t="b">
        <f t="shared" ref="A39:A44" si="145">IF(A38&lt;$O$7,A38+1,IF(A38=$O$7,""))</f>
        <v>0</v>
      </c>
      <c r="B39" s="226"/>
      <c r="C39" s="227"/>
      <c r="D39" s="32" t="s">
        <v>24</v>
      </c>
      <c r="E39" s="52"/>
      <c r="F39" s="52"/>
      <c r="G39" s="77"/>
      <c r="H39" s="52"/>
      <c r="I39" s="52"/>
      <c r="J39" s="108"/>
      <c r="K39" s="108"/>
      <c r="L39" s="109"/>
      <c r="M39" s="52"/>
      <c r="N39" s="52"/>
      <c r="O39" s="110">
        <f>SUM(E39:N39)-J39</f>
        <v>0</v>
      </c>
      <c r="P39" s="50" t="str">
        <f t="shared" ref="P39:P44" si="146">IF(AND(ISNUMBER(AA39),ISNUMBER(X39)),AA39*X39,"")</f>
        <v/>
      </c>
      <c r="Q39" s="52"/>
      <c r="R39" s="50" t="str">
        <f t="shared" ref="R39:R44" si="147">IF(AND(ISNUMBER(AB39),ISNUMBER(X39)),AB39*X39,"")</f>
        <v/>
      </c>
      <c r="S39" s="52"/>
      <c r="T39" s="52"/>
      <c r="U39" s="149">
        <f t="shared" si="35"/>
        <v>0</v>
      </c>
      <c r="V39" s="150">
        <f t="shared" ref="V39:V44" si="148">IF(BK39&gt;0,BK39,0)</f>
        <v>0</v>
      </c>
      <c r="W39" s="50"/>
      <c r="X39" s="49" t="str">
        <f>IF(ISNA(INDEX('Conversion Factors'!$B$6:$B$370,MATCH('Nov 16 - Nov 30'!$Z$38:$Z$44,'Conversion Factors'!$A$6:$A$370,0))),"",INDEX('Conversion Factors'!$B$6:$B$370,MATCH('Nov 16 - Nov 30'!$Z$38:$Z$44,'Conversion Factors'!$A$6:$A$370,0)))</f>
        <v/>
      </c>
      <c r="Z39" s="17" t="b">
        <f t="shared" si="122"/>
        <v>0</v>
      </c>
      <c r="AA39" s="57" t="str">
        <f t="shared" si="123"/>
        <v/>
      </c>
      <c r="AB39" s="57" t="str">
        <f t="shared" si="124"/>
        <v/>
      </c>
      <c r="AH39" s="71">
        <f t="shared" si="125"/>
        <v>0</v>
      </c>
      <c r="AI39" s="68">
        <f>IF(AH39&gt;$AI$12,AH39-($AI$12+AI38+AI37),0)</f>
        <v>0</v>
      </c>
      <c r="AJ39" s="145" t="b">
        <f t="shared" si="126"/>
        <v>0</v>
      </c>
      <c r="AK39" s="151" t="b">
        <f t="shared" ref="AK39:AK44" si="149">IF(AND(AO39&gt;0,AO39),IF(AP39&gt;0,AP39,IF(AQ39&gt;0,AQ39,IF(AR39&gt;0,AR39,IF(AU39&gt;0,AU39,0)))))</f>
        <v>0</v>
      </c>
      <c r="AM39" s="147">
        <f t="shared" si="127"/>
        <v>0</v>
      </c>
      <c r="AO39" s="162">
        <f t="shared" si="128"/>
        <v>0</v>
      </c>
      <c r="AP39" s="162">
        <f t="shared" si="129"/>
        <v>0</v>
      </c>
      <c r="AQ39" s="153">
        <f t="shared" si="130"/>
        <v>0</v>
      </c>
      <c r="AR39" s="162">
        <f t="shared" si="131"/>
        <v>0</v>
      </c>
      <c r="AS39" s="154">
        <f t="shared" si="132"/>
        <v>0</v>
      </c>
      <c r="AT39" s="154">
        <f t="shared" ref="AT39:AT41" si="150">IF(AND(AH38&lt;=40),40-AH38,0)</f>
        <v>40</v>
      </c>
      <c r="AU39" s="155">
        <f t="shared" ref="AU39:AU44" si="151">AS39</f>
        <v>0</v>
      </c>
      <c r="AV39" s="156">
        <f t="shared" si="133"/>
        <v>0</v>
      </c>
      <c r="AW39" s="157">
        <f t="shared" ref="AW39:AW44" si="152">AV39</f>
        <v>0</v>
      </c>
      <c r="AY39" s="157">
        <f t="shared" si="134"/>
        <v>0</v>
      </c>
      <c r="AZ39" s="152">
        <f t="shared" si="135"/>
        <v>0</v>
      </c>
      <c r="BA39" s="152">
        <f t="shared" si="136"/>
        <v>0</v>
      </c>
      <c r="BB39" s="158">
        <f t="shared" si="137"/>
        <v>0</v>
      </c>
      <c r="BC39" s="152">
        <f t="shared" si="138"/>
        <v>0</v>
      </c>
      <c r="BD39" s="154">
        <f t="shared" si="139"/>
        <v>0</v>
      </c>
      <c r="BE39" s="154">
        <f>IF(AND(AH38&lt;=40),40-AH38,0)</f>
        <v>40</v>
      </c>
      <c r="BF39" s="159">
        <f t="shared" ref="BF39:BF44" si="153">BD39</f>
        <v>0</v>
      </c>
      <c r="BG39" s="160"/>
      <c r="BH39" s="160">
        <f>IF(AND(G39&gt;0,E39&gt;0),1,0)</f>
        <v>0</v>
      </c>
      <c r="BI39" s="161">
        <f t="shared" si="140"/>
        <v>40</v>
      </c>
      <c r="BJ39" s="161">
        <f t="shared" si="141"/>
        <v>0</v>
      </c>
      <c r="BK39" s="161">
        <f t="shared" si="142"/>
        <v>0</v>
      </c>
      <c r="BL39" s="161">
        <f>SUM(E38:E39)</f>
        <v>0</v>
      </c>
      <c r="BM39" s="160">
        <f t="shared" ref="BM39:BM44" si="154">IF(AND(K39&gt;0,E39&gt;0),1,0)</f>
        <v>0</v>
      </c>
      <c r="BN39" s="161">
        <f>IF(AND(BM39=1,J39&gt;8),K39,(IF(AND(BM39=1,J39&gt;0),J39,0)))</f>
        <v>0</v>
      </c>
      <c r="BO39" s="161">
        <f t="shared" si="143"/>
        <v>0</v>
      </c>
      <c r="BP39" s="161">
        <f t="shared" si="144"/>
        <v>0</v>
      </c>
      <c r="BQ39" s="160"/>
    </row>
    <row r="40" spans="1:69" ht="15" customHeight="1">
      <c r="A40" s="225" t="b">
        <f t="shared" si="145"/>
        <v>0</v>
      </c>
      <c r="B40" s="226"/>
      <c r="C40" s="227"/>
      <c r="D40" s="32" t="s">
        <v>25</v>
      </c>
      <c r="E40" s="52"/>
      <c r="F40" s="52"/>
      <c r="G40" s="77"/>
      <c r="H40" s="52"/>
      <c r="I40" s="52"/>
      <c r="J40" s="108">
        <v>0</v>
      </c>
      <c r="K40" s="108">
        <v>0</v>
      </c>
      <c r="L40" s="109"/>
      <c r="M40" s="52"/>
      <c r="N40" s="52"/>
      <c r="O40" s="110">
        <f t="shared" ref="O40:O43" si="155">SUM(E40:N40)-J40</f>
        <v>0</v>
      </c>
      <c r="P40" s="50" t="str">
        <f t="shared" si="146"/>
        <v/>
      </c>
      <c r="Q40" s="52"/>
      <c r="R40" s="50" t="str">
        <f t="shared" si="147"/>
        <v/>
      </c>
      <c r="S40" s="52"/>
      <c r="T40" s="52"/>
      <c r="U40" s="149">
        <f t="shared" si="35"/>
        <v>0</v>
      </c>
      <c r="V40" s="150">
        <f t="shared" si="148"/>
        <v>0</v>
      </c>
      <c r="W40" s="50"/>
      <c r="X40" s="49" t="str">
        <f>IF(ISNA(INDEX('Conversion Factors'!$B$6:$B$370,MATCH('Nov 16 - Nov 30'!$Z$38:$Z$44,'Conversion Factors'!$A$6:$A$370,0))),"",INDEX('Conversion Factors'!$B$6:$B$370,MATCH('Nov 16 - Nov 30'!$Z$38:$Z$44,'Conversion Factors'!$A$6:$A$370,0)))</f>
        <v/>
      </c>
      <c r="Z40" s="17" t="b">
        <f t="shared" si="122"/>
        <v>0</v>
      </c>
      <c r="AA40" s="57" t="str">
        <f t="shared" si="123"/>
        <v/>
      </c>
      <c r="AB40" s="57" t="str">
        <f t="shared" si="124"/>
        <v/>
      </c>
      <c r="AG40" s="1"/>
      <c r="AH40" s="71">
        <f t="shared" si="125"/>
        <v>0</v>
      </c>
      <c r="AI40" s="68">
        <f>IF(AH40&gt;$AI$12,AH40-($AI$12+AI39+AI38+AI37),0)</f>
        <v>0</v>
      </c>
      <c r="AJ40" s="145" t="b">
        <f t="shared" si="126"/>
        <v>0</v>
      </c>
      <c r="AK40" s="151" t="b">
        <f t="shared" si="149"/>
        <v>0</v>
      </c>
      <c r="AM40" s="147">
        <f t="shared" si="127"/>
        <v>0</v>
      </c>
      <c r="AO40" s="162">
        <f t="shared" si="128"/>
        <v>0</v>
      </c>
      <c r="AP40" s="162">
        <f t="shared" si="129"/>
        <v>0</v>
      </c>
      <c r="AQ40" s="153">
        <f t="shared" si="130"/>
        <v>0</v>
      </c>
      <c r="AR40" s="162">
        <f t="shared" si="131"/>
        <v>0</v>
      </c>
      <c r="AS40" s="154">
        <f t="shared" si="132"/>
        <v>0</v>
      </c>
      <c r="AT40" s="154">
        <f t="shared" si="150"/>
        <v>40</v>
      </c>
      <c r="AU40" s="155">
        <f t="shared" si="151"/>
        <v>0</v>
      </c>
      <c r="AV40" s="156">
        <f t="shared" si="133"/>
        <v>0</v>
      </c>
      <c r="AW40" s="157">
        <f t="shared" si="152"/>
        <v>0</v>
      </c>
      <c r="AY40" s="157">
        <f t="shared" si="134"/>
        <v>0</v>
      </c>
      <c r="AZ40" s="152">
        <f t="shared" si="135"/>
        <v>0</v>
      </c>
      <c r="BA40" s="152">
        <f t="shared" si="136"/>
        <v>0</v>
      </c>
      <c r="BB40" s="158">
        <f t="shared" si="137"/>
        <v>0</v>
      </c>
      <c r="BC40" s="152">
        <f t="shared" si="138"/>
        <v>0</v>
      </c>
      <c r="BD40" s="154">
        <f t="shared" si="139"/>
        <v>0</v>
      </c>
      <c r="BE40" s="154">
        <f t="shared" ref="BE40:BE44" si="156">IF(AND(AH39&lt;=40),40-AH39,0)</f>
        <v>40</v>
      </c>
      <c r="BF40" s="159">
        <f t="shared" si="153"/>
        <v>0</v>
      </c>
      <c r="BG40" s="160"/>
      <c r="BH40" s="160">
        <f>IF(AND(G40&gt;0,E40&gt;0),1,0)</f>
        <v>0</v>
      </c>
      <c r="BI40" s="161">
        <f t="shared" si="140"/>
        <v>40</v>
      </c>
      <c r="BJ40" s="161">
        <f t="shared" si="141"/>
        <v>0</v>
      </c>
      <c r="BK40" s="161">
        <f t="shared" si="142"/>
        <v>0</v>
      </c>
      <c r="BL40" s="161">
        <f>SUM(E38:E40)</f>
        <v>0</v>
      </c>
      <c r="BM40" s="160">
        <f t="shared" si="154"/>
        <v>0</v>
      </c>
      <c r="BN40" s="161">
        <f>IF(AND(BM40=1,J40&gt;8),K40,(IF(AND(BM40=1,J40&gt;0),J40,0)))</f>
        <v>0</v>
      </c>
      <c r="BO40" s="161">
        <f>IF(AND(BM40=1,40-BL39&gt;0,40-BL39&lt;8),40-BL39,IF(AND(J40&lt;K40),J40,K40))</f>
        <v>0</v>
      </c>
      <c r="BP40" s="161">
        <f t="shared" si="144"/>
        <v>0</v>
      </c>
      <c r="BQ40" s="160"/>
    </row>
    <row r="41" spans="1:69" ht="15" customHeight="1">
      <c r="A41" s="225" t="b">
        <f t="shared" si="145"/>
        <v>0</v>
      </c>
      <c r="B41" s="226"/>
      <c r="C41" s="227"/>
      <c r="D41" s="32" t="s">
        <v>26</v>
      </c>
      <c r="E41" s="52"/>
      <c r="F41" s="52"/>
      <c r="G41" s="77"/>
      <c r="H41" s="52"/>
      <c r="I41" s="52"/>
      <c r="J41" s="108"/>
      <c r="K41" s="108"/>
      <c r="L41" s="109"/>
      <c r="M41" s="52"/>
      <c r="N41" s="52"/>
      <c r="O41" s="110">
        <f t="shared" si="155"/>
        <v>0</v>
      </c>
      <c r="P41" s="50" t="str">
        <f t="shared" si="146"/>
        <v/>
      </c>
      <c r="Q41" s="52"/>
      <c r="R41" s="50" t="str">
        <f t="shared" si="147"/>
        <v/>
      </c>
      <c r="S41" s="52"/>
      <c r="T41" s="52"/>
      <c r="U41" s="149">
        <f t="shared" si="35"/>
        <v>0</v>
      </c>
      <c r="V41" s="150">
        <f t="shared" si="148"/>
        <v>0</v>
      </c>
      <c r="W41" s="50"/>
      <c r="X41" s="49" t="str">
        <f>IF(ISNA(INDEX('Conversion Factors'!$B$6:$B$370,MATCH('Nov 16 - Nov 30'!$Z$38:$Z$44,'Conversion Factors'!$A$6:$A$370,0))),"",INDEX('Conversion Factors'!$B$6:$B$370,MATCH('Nov 16 - Nov 30'!$Z$38:$Z$44,'Conversion Factors'!$A$6:$A$370,0)))</f>
        <v/>
      </c>
      <c r="Z41" s="17" t="b">
        <f t="shared" si="122"/>
        <v>0</v>
      </c>
      <c r="AA41" s="57" t="str">
        <f t="shared" si="123"/>
        <v/>
      </c>
      <c r="AB41" s="57" t="str">
        <f t="shared" si="124"/>
        <v/>
      </c>
      <c r="AG41" s="1"/>
      <c r="AH41" s="71">
        <f t="shared" si="125"/>
        <v>0</v>
      </c>
      <c r="AI41" s="68">
        <f>IF(AH41&gt;$AI$12,AH41-($AI$12+AI40+AI39+AI38+AI37),0)</f>
        <v>0</v>
      </c>
      <c r="AJ41" s="145" t="b">
        <f t="shared" si="126"/>
        <v>0</v>
      </c>
      <c r="AK41" s="151" t="b">
        <f t="shared" si="149"/>
        <v>0</v>
      </c>
      <c r="AM41" s="147">
        <f t="shared" si="127"/>
        <v>0</v>
      </c>
      <c r="AO41" s="162">
        <f t="shared" si="128"/>
        <v>0</v>
      </c>
      <c r="AP41" s="162">
        <f t="shared" si="129"/>
        <v>0</v>
      </c>
      <c r="AQ41" s="153">
        <f t="shared" si="130"/>
        <v>0</v>
      </c>
      <c r="AR41" s="162">
        <f t="shared" si="131"/>
        <v>0</v>
      </c>
      <c r="AS41" s="154">
        <f t="shared" si="132"/>
        <v>0</v>
      </c>
      <c r="AT41" s="154">
        <f t="shared" si="150"/>
        <v>40</v>
      </c>
      <c r="AU41" s="155">
        <f t="shared" si="151"/>
        <v>0</v>
      </c>
      <c r="AV41" s="156">
        <f t="shared" si="133"/>
        <v>0</v>
      </c>
      <c r="AW41" s="157">
        <f t="shared" si="152"/>
        <v>0</v>
      </c>
      <c r="AY41" s="157">
        <f t="shared" si="134"/>
        <v>0</v>
      </c>
      <c r="AZ41" s="152">
        <f t="shared" si="135"/>
        <v>0</v>
      </c>
      <c r="BA41" s="152">
        <f t="shared" si="136"/>
        <v>0</v>
      </c>
      <c r="BB41" s="158">
        <f t="shared" si="137"/>
        <v>0</v>
      </c>
      <c r="BC41" s="152">
        <f t="shared" si="138"/>
        <v>0</v>
      </c>
      <c r="BD41" s="154">
        <f t="shared" si="139"/>
        <v>0</v>
      </c>
      <c r="BE41" s="154">
        <f t="shared" si="156"/>
        <v>40</v>
      </c>
      <c r="BF41" s="159">
        <f t="shared" si="153"/>
        <v>0</v>
      </c>
      <c r="BG41" s="160"/>
      <c r="BH41" s="160">
        <f t="shared" ref="BH41:BH44" si="157">IF(AND(G41&gt;0,E41&gt;0),1,0)</f>
        <v>0</v>
      </c>
      <c r="BI41" s="161">
        <f t="shared" si="140"/>
        <v>40</v>
      </c>
      <c r="BJ41" s="161">
        <f t="shared" si="141"/>
        <v>0</v>
      </c>
      <c r="BK41" s="161">
        <f t="shared" si="142"/>
        <v>0</v>
      </c>
      <c r="BL41" s="161">
        <f>SUM(E38:E41)</f>
        <v>0</v>
      </c>
      <c r="BM41" s="160">
        <f t="shared" si="154"/>
        <v>0</v>
      </c>
      <c r="BN41" s="161">
        <f t="shared" ref="BN41:BN44" si="158">IF(AND(BM41=1,J41&gt;8),K41,(IF(AND(BM41=1,J41&gt;0),J41,0)))</f>
        <v>0</v>
      </c>
      <c r="BO41" s="161">
        <f t="shared" ref="BO41:BO44" si="159">IF(AND(BM41=1,40-BL40&gt;0,40-BL40&lt;8),40-BL40,IF(AND(J41&lt;K41),J41,K41))</f>
        <v>0</v>
      </c>
      <c r="BP41" s="161">
        <f t="shared" si="144"/>
        <v>0</v>
      </c>
      <c r="BQ41" s="160"/>
    </row>
    <row r="42" spans="1:69" ht="15" customHeight="1">
      <c r="A42" s="225" t="b">
        <f t="shared" si="145"/>
        <v>0</v>
      </c>
      <c r="B42" s="226"/>
      <c r="C42" s="227"/>
      <c r="D42" s="32" t="s">
        <v>27</v>
      </c>
      <c r="E42" s="52"/>
      <c r="F42" s="52"/>
      <c r="G42" s="77"/>
      <c r="H42" s="52"/>
      <c r="I42" s="52"/>
      <c r="J42" s="108"/>
      <c r="K42" s="108"/>
      <c r="L42" s="109"/>
      <c r="M42" s="52"/>
      <c r="N42" s="52"/>
      <c r="O42" s="110">
        <f t="shared" si="155"/>
        <v>0</v>
      </c>
      <c r="P42" s="50" t="str">
        <f t="shared" si="146"/>
        <v/>
      </c>
      <c r="Q42" s="52"/>
      <c r="R42" s="50" t="str">
        <f t="shared" si="147"/>
        <v/>
      </c>
      <c r="S42" s="52"/>
      <c r="T42" s="52"/>
      <c r="U42" s="149">
        <f t="shared" si="35"/>
        <v>0</v>
      </c>
      <c r="V42" s="150">
        <f t="shared" si="148"/>
        <v>0</v>
      </c>
      <c r="W42" s="50"/>
      <c r="X42" s="49" t="str">
        <f>IF(ISNA(INDEX('Conversion Factors'!$B$6:$B$370,MATCH('Nov 16 - Nov 30'!$Z$38:$Z$44,'Conversion Factors'!$A$6:$A$370,0))),"",INDEX('Conversion Factors'!$B$6:$B$370,MATCH('Nov 16 - Nov 30'!$Z$38:$Z$44,'Conversion Factors'!$A$6:$A$370,0)))</f>
        <v/>
      </c>
      <c r="Z42" s="17" t="b">
        <f t="shared" si="122"/>
        <v>0</v>
      </c>
      <c r="AA42" s="57" t="str">
        <f t="shared" si="123"/>
        <v/>
      </c>
      <c r="AB42" s="57" t="str">
        <f t="shared" si="124"/>
        <v/>
      </c>
      <c r="AH42" s="71">
        <f t="shared" si="125"/>
        <v>0</v>
      </c>
      <c r="AI42" s="68">
        <f>IF(AH42&gt;$AI$12,AH42-($AI$12+AI41+AI40+AI39+AI38+AI37),0)</f>
        <v>0</v>
      </c>
      <c r="AJ42" s="145" t="b">
        <f t="shared" si="126"/>
        <v>0</v>
      </c>
      <c r="AK42" s="151" t="b">
        <f t="shared" si="149"/>
        <v>0</v>
      </c>
      <c r="AM42" s="147">
        <f t="shared" si="127"/>
        <v>0</v>
      </c>
      <c r="AO42" s="162">
        <f t="shared" si="128"/>
        <v>0</v>
      </c>
      <c r="AP42" s="162">
        <f t="shared" si="129"/>
        <v>0</v>
      </c>
      <c r="AQ42" s="153">
        <f t="shared" si="130"/>
        <v>0</v>
      </c>
      <c r="AR42" s="162">
        <f t="shared" si="131"/>
        <v>0</v>
      </c>
      <c r="AS42" s="154">
        <f t="shared" si="132"/>
        <v>0</v>
      </c>
      <c r="AT42" s="154">
        <f>IF(AND(AH41&lt;=40),40-AH41,0)</f>
        <v>40</v>
      </c>
      <c r="AU42" s="155">
        <f t="shared" si="151"/>
        <v>0</v>
      </c>
      <c r="AV42" s="156">
        <f t="shared" si="133"/>
        <v>0</v>
      </c>
      <c r="AW42" s="157">
        <f t="shared" si="152"/>
        <v>0</v>
      </c>
      <c r="AY42" s="157">
        <f t="shared" si="134"/>
        <v>0</v>
      </c>
      <c r="AZ42" s="152">
        <f t="shared" si="135"/>
        <v>0</v>
      </c>
      <c r="BA42" s="152">
        <f t="shared" si="136"/>
        <v>0</v>
      </c>
      <c r="BB42" s="158">
        <f t="shared" si="137"/>
        <v>0</v>
      </c>
      <c r="BC42" s="152">
        <f t="shared" si="138"/>
        <v>0</v>
      </c>
      <c r="BD42" s="154">
        <f t="shared" si="139"/>
        <v>0</v>
      </c>
      <c r="BE42" s="154">
        <f t="shared" si="156"/>
        <v>40</v>
      </c>
      <c r="BF42" s="159">
        <f t="shared" si="153"/>
        <v>0</v>
      </c>
      <c r="BG42" s="160"/>
      <c r="BH42" s="160">
        <f t="shared" si="157"/>
        <v>0</v>
      </c>
      <c r="BI42" s="161">
        <f t="shared" si="140"/>
        <v>40</v>
      </c>
      <c r="BJ42" s="161">
        <f t="shared" si="141"/>
        <v>0</v>
      </c>
      <c r="BK42" s="161">
        <f t="shared" si="142"/>
        <v>0</v>
      </c>
      <c r="BL42" s="161">
        <f>SUM(E38:E42)</f>
        <v>0</v>
      </c>
      <c r="BM42" s="160">
        <f t="shared" si="154"/>
        <v>0</v>
      </c>
      <c r="BN42" s="161">
        <f t="shared" si="158"/>
        <v>0</v>
      </c>
      <c r="BO42" s="161">
        <f t="shared" si="159"/>
        <v>0</v>
      </c>
      <c r="BP42" s="161">
        <f t="shared" si="144"/>
        <v>0</v>
      </c>
      <c r="BQ42" s="160"/>
    </row>
    <row r="43" spans="1:69" ht="15" customHeight="1">
      <c r="A43" s="225" t="b">
        <f t="shared" si="145"/>
        <v>0</v>
      </c>
      <c r="B43" s="226"/>
      <c r="C43" s="227"/>
      <c r="D43" s="32" t="s">
        <v>28</v>
      </c>
      <c r="E43" s="52"/>
      <c r="F43" s="52"/>
      <c r="G43" s="77"/>
      <c r="H43" s="52"/>
      <c r="I43" s="52"/>
      <c r="J43" s="108"/>
      <c r="K43" s="108"/>
      <c r="L43" s="109"/>
      <c r="M43" s="52"/>
      <c r="N43" s="52"/>
      <c r="O43" s="110">
        <f t="shared" si="155"/>
        <v>0</v>
      </c>
      <c r="P43" s="50" t="str">
        <f t="shared" si="146"/>
        <v/>
      </c>
      <c r="Q43" s="52"/>
      <c r="R43" s="50" t="str">
        <f t="shared" si="147"/>
        <v/>
      </c>
      <c r="S43" s="52"/>
      <c r="T43" s="52"/>
      <c r="U43" s="149">
        <f t="shared" si="35"/>
        <v>0</v>
      </c>
      <c r="V43" s="150">
        <f t="shared" si="148"/>
        <v>0</v>
      </c>
      <c r="W43" s="50"/>
      <c r="X43" s="49" t="str">
        <f>IF(ISNA(INDEX('Conversion Factors'!$B$6:$B$370,MATCH('Nov 16 - Nov 30'!$Z$38:$Z$44,'Conversion Factors'!$A$6:$A$370,0))),"",INDEX('Conversion Factors'!$B$6:$B$370,MATCH('Nov 16 - Nov 30'!$Z$38:$Z$44,'Conversion Factors'!$A$6:$A$370,0)))</f>
        <v/>
      </c>
      <c r="Z43" s="17" t="b">
        <f t="shared" si="122"/>
        <v>0</v>
      </c>
      <c r="AA43" s="57" t="str">
        <f t="shared" si="123"/>
        <v/>
      </c>
      <c r="AB43" s="57" t="str">
        <f t="shared" si="124"/>
        <v/>
      </c>
      <c r="AH43" s="71">
        <f t="shared" si="125"/>
        <v>0</v>
      </c>
      <c r="AI43" s="68">
        <f>IF(AH43&gt;$AI$12,AH43-($AI$12+AI42+AI41+AI40+AI39+AI38+AI37),0)</f>
        <v>0</v>
      </c>
      <c r="AJ43" s="145" t="b">
        <f t="shared" si="126"/>
        <v>0</v>
      </c>
      <c r="AK43" s="151" t="b">
        <f t="shared" si="149"/>
        <v>0</v>
      </c>
      <c r="AM43" s="147">
        <f t="shared" si="127"/>
        <v>0</v>
      </c>
      <c r="AO43" s="162">
        <f t="shared" si="128"/>
        <v>0</v>
      </c>
      <c r="AP43" s="162">
        <f t="shared" si="129"/>
        <v>0</v>
      </c>
      <c r="AQ43" s="153">
        <f t="shared" si="130"/>
        <v>0</v>
      </c>
      <c r="AR43" s="162">
        <f t="shared" si="131"/>
        <v>0</v>
      </c>
      <c r="AS43" s="154">
        <f t="shared" si="132"/>
        <v>0</v>
      </c>
      <c r="AT43" s="154">
        <f t="shared" ref="AT43:AT44" si="160">IF(AND(AH42&lt;=40),40-AH42,0)</f>
        <v>40</v>
      </c>
      <c r="AU43" s="155">
        <f t="shared" si="151"/>
        <v>0</v>
      </c>
      <c r="AV43" s="156">
        <f t="shared" si="133"/>
        <v>0</v>
      </c>
      <c r="AW43" s="157">
        <f t="shared" si="152"/>
        <v>0</v>
      </c>
      <c r="AY43" s="157">
        <f t="shared" si="134"/>
        <v>0</v>
      </c>
      <c r="AZ43" s="152">
        <f t="shared" si="135"/>
        <v>0</v>
      </c>
      <c r="BA43" s="152">
        <f t="shared" si="136"/>
        <v>0</v>
      </c>
      <c r="BB43" s="158">
        <f t="shared" si="137"/>
        <v>0</v>
      </c>
      <c r="BC43" s="152">
        <f t="shared" si="138"/>
        <v>0</v>
      </c>
      <c r="BD43" s="154">
        <f t="shared" si="139"/>
        <v>0</v>
      </c>
      <c r="BE43" s="154">
        <f t="shared" si="156"/>
        <v>40</v>
      </c>
      <c r="BF43" s="159">
        <f t="shared" si="153"/>
        <v>0</v>
      </c>
      <c r="BG43" s="160"/>
      <c r="BH43" s="160">
        <f t="shared" si="157"/>
        <v>0</v>
      </c>
      <c r="BI43" s="161">
        <f t="shared" si="140"/>
        <v>40</v>
      </c>
      <c r="BJ43" s="161">
        <f t="shared" si="141"/>
        <v>0</v>
      </c>
      <c r="BK43" s="161">
        <f t="shared" si="142"/>
        <v>0</v>
      </c>
      <c r="BL43" s="161">
        <f>SUM(E38:E43)</f>
        <v>0</v>
      </c>
      <c r="BM43" s="160">
        <f t="shared" si="154"/>
        <v>0</v>
      </c>
      <c r="BN43" s="161">
        <f t="shared" si="158"/>
        <v>0</v>
      </c>
      <c r="BO43" s="161">
        <f t="shared" si="159"/>
        <v>0</v>
      </c>
      <c r="BP43" s="161">
        <f>IF(AND(BM43=1,BL43&gt;40,J43&lt;=K43),J43-BO43,IF(AND(BM43=1,BL43&gt;0,J43&gt;K43),K43-BO43,0))</f>
        <v>0</v>
      </c>
      <c r="BQ43" s="160"/>
    </row>
    <row r="44" spans="1:69" ht="15" customHeight="1" thickBot="1">
      <c r="A44" s="231" t="b">
        <f t="shared" si="145"/>
        <v>0</v>
      </c>
      <c r="B44" s="232"/>
      <c r="C44" s="233"/>
      <c r="D44" s="32" t="s">
        <v>29</v>
      </c>
      <c r="E44" s="52"/>
      <c r="F44" s="52"/>
      <c r="G44" s="77"/>
      <c r="H44" s="52"/>
      <c r="I44" s="52"/>
      <c r="J44" s="108"/>
      <c r="K44" s="108"/>
      <c r="L44" s="109"/>
      <c r="M44" s="52"/>
      <c r="N44" s="52"/>
      <c r="O44" s="110">
        <f>SUM(E44:N44)-J44</f>
        <v>0</v>
      </c>
      <c r="P44" s="50" t="str">
        <f t="shared" si="146"/>
        <v/>
      </c>
      <c r="Q44" s="52"/>
      <c r="R44" s="50" t="str">
        <f t="shared" si="147"/>
        <v/>
      </c>
      <c r="S44" s="52"/>
      <c r="T44" s="52"/>
      <c r="U44" s="149">
        <f t="shared" si="35"/>
        <v>0</v>
      </c>
      <c r="V44" s="150">
        <f t="shared" si="148"/>
        <v>0</v>
      </c>
      <c r="W44" s="50"/>
      <c r="X44" s="49" t="str">
        <f>IF(ISNA(INDEX('Conversion Factors'!$B$6:$B$370,MATCH('Nov 16 - Nov 30'!$Z$38:$Z$44,'Conversion Factors'!$A$6:$A$370,0))),"",INDEX('Conversion Factors'!$B$6:$B$370,MATCH('Nov 16 - Nov 30'!$Z$38:$Z$44,'Conversion Factors'!$A$6:$A$370,0)))</f>
        <v/>
      </c>
      <c r="Z44" s="17" t="b">
        <f t="shared" si="122"/>
        <v>0</v>
      </c>
      <c r="AA44" s="57" t="str">
        <f t="shared" si="123"/>
        <v/>
      </c>
      <c r="AB44" s="57" t="str">
        <f t="shared" si="124"/>
        <v/>
      </c>
      <c r="AH44" s="71">
        <f t="shared" si="125"/>
        <v>0</v>
      </c>
      <c r="AI44" s="68">
        <f>IF(AH44&gt;$AI$12,AH44-($AI$12+AI43+AI42+AI41+AI40+AI39+AI38+AI37),0)</f>
        <v>0</v>
      </c>
      <c r="AJ44" s="145" t="b">
        <f t="shared" si="126"/>
        <v>0</v>
      </c>
      <c r="AK44" s="151" t="b">
        <f t="shared" si="149"/>
        <v>0</v>
      </c>
      <c r="AM44" s="147">
        <f t="shared" si="127"/>
        <v>0</v>
      </c>
      <c r="AO44" s="163">
        <f t="shared" si="128"/>
        <v>0</v>
      </c>
      <c r="AP44" s="163">
        <f t="shared" si="129"/>
        <v>0</v>
      </c>
      <c r="AQ44" s="153">
        <f t="shared" si="130"/>
        <v>0</v>
      </c>
      <c r="AR44" s="163">
        <f t="shared" si="131"/>
        <v>0</v>
      </c>
      <c r="AS44" s="154">
        <f t="shared" si="132"/>
        <v>0</v>
      </c>
      <c r="AT44" s="154">
        <f t="shared" si="160"/>
        <v>40</v>
      </c>
      <c r="AU44" s="155">
        <f t="shared" si="151"/>
        <v>0</v>
      </c>
      <c r="AV44" s="156">
        <f t="shared" si="133"/>
        <v>0</v>
      </c>
      <c r="AW44" s="157">
        <f t="shared" si="152"/>
        <v>0</v>
      </c>
      <c r="AY44" s="157">
        <f t="shared" si="134"/>
        <v>0</v>
      </c>
      <c r="AZ44" s="152">
        <f t="shared" si="135"/>
        <v>0</v>
      </c>
      <c r="BA44" s="152">
        <f t="shared" si="136"/>
        <v>0</v>
      </c>
      <c r="BB44" s="158">
        <f t="shared" si="137"/>
        <v>0</v>
      </c>
      <c r="BC44" s="152">
        <f t="shared" si="138"/>
        <v>0</v>
      </c>
      <c r="BD44" s="154">
        <f t="shared" si="139"/>
        <v>0</v>
      </c>
      <c r="BE44" s="154">
        <f t="shared" si="156"/>
        <v>40</v>
      </c>
      <c r="BF44" s="159">
        <f t="shared" si="153"/>
        <v>0</v>
      </c>
      <c r="BG44" s="160"/>
      <c r="BH44" s="160">
        <f t="shared" si="157"/>
        <v>0</v>
      </c>
      <c r="BI44" s="161">
        <f t="shared" si="140"/>
        <v>40</v>
      </c>
      <c r="BJ44" s="161">
        <f t="shared" si="141"/>
        <v>0</v>
      </c>
      <c r="BK44" s="161">
        <f t="shared" si="142"/>
        <v>0</v>
      </c>
      <c r="BL44" s="161">
        <f>SUM(E38:E44)</f>
        <v>0</v>
      </c>
      <c r="BM44" s="160">
        <f t="shared" si="154"/>
        <v>0</v>
      </c>
      <c r="BN44" s="161">
        <f t="shared" si="158"/>
        <v>0</v>
      </c>
      <c r="BO44" s="161">
        <f t="shared" si="159"/>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1">SUM(F38:F44)</f>
        <v>0</v>
      </c>
      <c r="G45" s="76">
        <f t="shared" si="161"/>
        <v>0</v>
      </c>
      <c r="H45" s="34">
        <f t="shared" si="161"/>
        <v>0</v>
      </c>
      <c r="I45" s="34">
        <f t="shared" si="161"/>
        <v>0</v>
      </c>
      <c r="J45" s="74"/>
      <c r="K45" s="74">
        <f t="shared" si="161"/>
        <v>0</v>
      </c>
      <c r="L45" s="34">
        <f t="shared" si="161"/>
        <v>0</v>
      </c>
      <c r="M45" s="34">
        <f t="shared" si="161"/>
        <v>0</v>
      </c>
      <c r="N45" s="34">
        <f t="shared" si="161"/>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2">(P21+P29+P37+P45)-P13</f>
        <v>0</v>
      </c>
      <c r="Q46" s="34">
        <f t="shared" si="162"/>
        <v>0</v>
      </c>
      <c r="R46" s="78">
        <f t="shared" si="162"/>
        <v>0</v>
      </c>
      <c r="S46" s="34">
        <f t="shared" si="162"/>
        <v>0</v>
      </c>
      <c r="T46" s="34">
        <f t="shared" si="162"/>
        <v>0</v>
      </c>
      <c r="U46" s="164">
        <f t="shared" si="162"/>
        <v>0</v>
      </c>
      <c r="V46" s="165">
        <f t="shared" si="162"/>
        <v>0</v>
      </c>
      <c r="W46" s="78">
        <f t="shared" si="162"/>
        <v>0</v>
      </c>
      <c r="X46" s="34">
        <f t="shared" si="162"/>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73" priority="17" operator="equal">
      <formula>FALSE</formula>
    </cfRule>
  </conditionalFormatting>
  <conditionalFormatting sqref="A22:C22">
    <cfRule type="cellIs" dxfId="272" priority="16" operator="equal">
      <formula>FALSE</formula>
    </cfRule>
  </conditionalFormatting>
  <conditionalFormatting sqref="D22:D28">
    <cfRule type="cellIs" dxfId="271" priority="15" operator="equal">
      <formula>FALSE</formula>
    </cfRule>
  </conditionalFormatting>
  <conditionalFormatting sqref="Z22:Z28">
    <cfRule type="cellIs" dxfId="270" priority="14" operator="equal">
      <formula>FALSE</formula>
    </cfRule>
  </conditionalFormatting>
  <conditionalFormatting sqref="Z30:Z36">
    <cfRule type="cellIs" dxfId="269" priority="13" operator="equal">
      <formula>FALSE</formula>
    </cfRule>
  </conditionalFormatting>
  <conditionalFormatting sqref="X21 X29 X37">
    <cfRule type="containsErrors" dxfId="268" priority="12">
      <formula>ISERROR(X21)</formula>
    </cfRule>
  </conditionalFormatting>
  <conditionalFormatting sqref="Z39:Z44">
    <cfRule type="cellIs" dxfId="267" priority="10" operator="equal">
      <formula>FALSE</formula>
    </cfRule>
  </conditionalFormatting>
  <conditionalFormatting sqref="Z38">
    <cfRule type="cellIs" dxfId="266" priority="11" operator="equal">
      <formula>FALSE</formula>
    </cfRule>
  </conditionalFormatting>
  <conditionalFormatting sqref="W11:X11">
    <cfRule type="cellIs" dxfId="265" priority="9" operator="equal">
      <formula>"Please Select"</formula>
    </cfRule>
  </conditionalFormatting>
  <conditionalFormatting sqref="E11:F11">
    <cfRule type="containsBlanks" dxfId="264" priority="8">
      <formula>LEN(TRIM(E11))=0</formula>
    </cfRule>
  </conditionalFormatting>
  <conditionalFormatting sqref="U14:U46">
    <cfRule type="cellIs" dxfId="263" priority="7" operator="equal">
      <formula>FALSE</formula>
    </cfRule>
  </conditionalFormatting>
  <conditionalFormatting sqref="P26">
    <cfRule type="cellIs" dxfId="262" priority="6" operator="lessThan">
      <formula>$BQ$21</formula>
    </cfRule>
  </conditionalFormatting>
  <conditionalFormatting sqref="X14:X20">
    <cfRule type="containsErrors" dxfId="261" priority="5">
      <formula>ISERROR(X14)</formula>
    </cfRule>
  </conditionalFormatting>
  <conditionalFormatting sqref="X30:X36">
    <cfRule type="containsErrors" dxfId="260" priority="4">
      <formula>ISERROR(X30)</formula>
    </cfRule>
  </conditionalFormatting>
  <conditionalFormatting sqref="X38:X44">
    <cfRule type="containsErrors" dxfId="259" priority="3">
      <formula>ISERROR(X38)</formula>
    </cfRule>
  </conditionalFormatting>
  <conditionalFormatting sqref="X22">
    <cfRule type="containsErrors" dxfId="258" priority="2">
      <formula>ISERROR(X22)</formula>
    </cfRule>
  </conditionalFormatting>
  <conditionalFormatting sqref="X23:X28">
    <cfRule type="containsErrors" dxfId="257"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809813A8-26E0-4120-B699-39A5C48F3E95}"/>
    <dataValidation allowBlank="1" showInputMessage="1" showErrorMessage="1" prompt="Enter your Name into this field and it will populate to all the other time reports in this workbook." sqref="C7:H7" xr:uid="{468F348D-962E-40C3-9357-81552CF90EA3}"/>
    <dataValidation allowBlank="1" showInputMessage="1" showErrorMessage="1" prompt="Enter your MSU ID into this field and it will populate to all the other time re[prts in this workbook." sqref="C6:H6" xr:uid="{1035DE70-B763-4A0A-ADD7-99C512E3D3ED}"/>
    <dataValidation allowBlank="1" showInputMessage="1" showErrorMessage="1" promptTitle="Hours Per Week" prompt="Please enter the number of hours you are scheduled to work each week.  (Example:  40)_x000a_" sqref="E11:F11" xr:uid="{E9F79687-D73B-4DD1-BF93-130836467935}"/>
    <dataValidation type="list" allowBlank="1" showInputMessage="1" showErrorMessage="1" promptTitle="Compensatory Time" prompt="Please select &quot;No&quot; if you are not receiving Compensatory time or &quot;Yes&quot; if you are receiving compensatory time." sqref="W11:X11" xr:uid="{2331490C-5EEC-49B4-85E2-F6E2D2C700AD}">
      <formula1>$AD$6:$AD$8</formula1>
    </dataValidation>
  </dataValidations>
  <hyperlinks>
    <hyperlink ref="O49" r:id="rId1" xr:uid="{69D162C6-0451-4551-B9CC-38A895CF2B23}"/>
    <hyperlink ref="O48:W48" r:id="rId2" display="Leave/Leave Without Pay Policy" xr:uid="{E44216DE-9EE6-4588-9AE1-DC75B6D2E5F1}"/>
    <hyperlink ref="O50:W50" r:id="rId3" display="Time Sheet Definitions/Policies" xr:uid="{479D788F-BEF2-46D3-8093-DE2199EB463B}"/>
    <hyperlink ref="O49:T49" r:id="rId4" display="Overtime/Compensatory Time" xr:uid="{DC97F69A-A59F-4C26-9A4D-17824F47991D}"/>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E99B4-F24C-4B6B-8731-737316D62A17}">
  <sheetPr codeName="Sheet17">
    <tabColor theme="4" tint="0.79998168889431442"/>
  </sheetPr>
  <dimension ref="A1:BQ57"/>
  <sheetViews>
    <sheetView showGridLines="0" showZeros="0" zoomScaleNormal="100" workbookViewId="0">
      <pane ySplit="13" topLeftCell="A21"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Notes'!$A$12</f>
        <v>44531</v>
      </c>
      <c r="P6" s="265"/>
      <c r="Q6" s="265"/>
      <c r="R6" s="265"/>
      <c r="S6" s="265"/>
      <c r="T6" s="265"/>
      <c r="U6" s="53"/>
      <c r="V6" s="53"/>
      <c r="W6" s="24"/>
      <c r="X6" s="30"/>
      <c r="Z6" s="4" t="str">
        <f>TEXT(O6,"dddd")</f>
        <v>Wednesday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Notes'!$B$12</f>
        <v>44545</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Notes'!$C$12</f>
        <v>23</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SUM(E14:E16)</f>
        <v>0</v>
      </c>
      <c r="F13" s="86">
        <f t="shared" ref="F13:N13" si="0">SUM(F14:F15)</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'Nov 16 - Nov 30'!E30</f>
        <v>0</v>
      </c>
      <c r="F14" s="182">
        <f>'Nov 16 - Nov 30'!F30</f>
        <v>0</v>
      </c>
      <c r="G14" s="184">
        <f>'Nov 16 - Nov 30'!G30</f>
        <v>0</v>
      </c>
      <c r="H14" s="182">
        <f>'Nov 16 - Nov 30'!H30</f>
        <v>0</v>
      </c>
      <c r="I14" s="182">
        <f>'Nov 16 - Nov 30'!I30</f>
        <v>0</v>
      </c>
      <c r="J14" s="185">
        <f>'Nov 16 - Nov 30'!J30</f>
        <v>0</v>
      </c>
      <c r="K14" s="185">
        <f>'Nov 16 - Nov 30'!K30</f>
        <v>0</v>
      </c>
      <c r="L14" s="186">
        <f>'Nov 16 - Nov 30'!L30</f>
        <v>0</v>
      </c>
      <c r="M14" s="182">
        <f>'Nov 16 - Nov 30'!M30</f>
        <v>0</v>
      </c>
      <c r="N14" s="182">
        <f>'Nov 16 - Nov 30'!N30</f>
        <v>0</v>
      </c>
      <c r="O14" s="183">
        <f>SUM(E14:N14)-J14</f>
        <v>0</v>
      </c>
      <c r="P14" s="50" t="str">
        <f>IF(AND(ISNUMBER(AA14),ISNUMBER(X14)),AA14*X14,"")</f>
        <v/>
      </c>
      <c r="Q14" s="52"/>
      <c r="R14" s="50" t="str">
        <f>IF(AND(ISNUMBER(AB14),ISNUMBER(X14)),AB14*X14,"")</f>
        <v/>
      </c>
      <c r="S14" s="52"/>
      <c r="T14" s="52"/>
      <c r="U14" s="206">
        <f>IF(BJ14&gt;0,BJ14,BN14)</f>
        <v>0</v>
      </c>
      <c r="V14" s="150">
        <f>IF(BK14&gt;0,BK14,0)</f>
        <v>0</v>
      </c>
      <c r="W14" s="50"/>
      <c r="X14" s="49" t="str">
        <f>IF(ISNA(INDEX('Conversion Factors'!$B$6:$B$371,MATCH('Dec 1 - Dec 15'!$Z$14:$Z$20,'Conversion Factors'!$A$6:$A$371,0))),"",INDEX('Conversion Factors'!$B$6:$B$371,MATCH('Dec 1 - Dec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'Nov 16 - Nov 30'!E31</f>
        <v>0</v>
      </c>
      <c r="F15" s="182">
        <f>'Nov 16 - Nov 30'!F31</f>
        <v>0</v>
      </c>
      <c r="G15" s="184">
        <f>'Nov 16 - Nov 30'!G31</f>
        <v>0</v>
      </c>
      <c r="H15" s="182">
        <f>'Nov 16 - Nov 30'!H31</f>
        <v>0</v>
      </c>
      <c r="I15" s="182">
        <f>'Nov 16 - Nov 30'!I31</f>
        <v>0</v>
      </c>
      <c r="J15" s="185">
        <f>'Nov 16 - Nov 30'!J31</f>
        <v>0</v>
      </c>
      <c r="K15" s="185">
        <f>'Nov 16 - Nov 30'!K31</f>
        <v>0</v>
      </c>
      <c r="L15" s="186">
        <f>'Nov 16 - Nov 30'!L31</f>
        <v>0</v>
      </c>
      <c r="M15" s="182">
        <f>'Nov 16 - Nov 30'!M31</f>
        <v>0</v>
      </c>
      <c r="N15" s="182">
        <f>'Nov 16 - Nov 30'!N31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Factors'!$B$6:$B$371,MATCH('Dec 1 - Dec 15'!$Z$14:$Z$20,'Conversion Factors'!$A$6:$A$371,0))),"",INDEX('Conversion Factors'!$B$6:$B$371,MATCH('Dec 1 - Dec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'Nov 16 - Nov 30'!E32</f>
        <v>0</v>
      </c>
      <c r="F16" s="182">
        <f>'Nov 16 - Nov 30'!F32</f>
        <v>0</v>
      </c>
      <c r="G16" s="184">
        <f>'Nov 16 - Nov 30'!G32</f>
        <v>0</v>
      </c>
      <c r="H16" s="182">
        <f>'Nov 16 - Nov 30'!H32</f>
        <v>0</v>
      </c>
      <c r="I16" s="182">
        <f>'Nov 16 - Nov 30'!I32</f>
        <v>0</v>
      </c>
      <c r="J16" s="185">
        <f>'Nov 16 - Nov 30'!J32</f>
        <v>0</v>
      </c>
      <c r="K16" s="185">
        <f>'Nov 16 - Nov 30'!K32</f>
        <v>0</v>
      </c>
      <c r="L16" s="186">
        <f>'Nov 16 - Nov 30'!L32</f>
        <v>0</v>
      </c>
      <c r="M16" s="182">
        <f>'Nov 16 - Nov 30'!M32</f>
        <v>0</v>
      </c>
      <c r="N16" s="182">
        <f>'Nov 16 - Nov 30'!N32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Factors'!$B$6:$B$371,MATCH('Dec 1 - Dec 15'!$Z$14:$Z$20,'Conversion Factors'!$A$6:$A$371,0))),"",INDEX('Conversion Factors'!$B$6:$B$371,MATCH('Dec 1 - Dec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44531</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Factors'!$B$6:$B$371,MATCH('Dec 1 - Dec 15'!$Z$14:$Z$20,'Conversion Factors'!$A$6:$A$371,0))),"",INDEX('Conversion Factors'!$B$6:$B$371,MATCH('Dec 1 - Dec 15'!$Z$14:$Z$20,'Conversion Factors'!$A$6:$A$371,0)))</f>
        <v>7.8789999999999996</v>
      </c>
      <c r="Z17" s="18">
        <f t="shared" si="1"/>
        <v>44531</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44532</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Factors'!$B$6:$B$371,MATCH('Dec 1 - Dec 15'!$Z$14:$Z$20,'Conversion Factors'!$A$6:$A$371,0))),"",INDEX('Conversion Factors'!$B$6:$B$371,MATCH('Dec 1 - Dec 15'!$Z$14:$Z$20,'Conversion Factors'!$A$6:$A$371,0)))</f>
        <v>7.8789999999999996</v>
      </c>
      <c r="Z18" s="18">
        <f t="shared" si="1"/>
        <v>44532</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44533</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Factors'!$B$6:$B$371,MATCH('Dec 1 - Dec 15'!$Z$14:$Z$20,'Conversion Factors'!$A$6:$A$371,0))),"",INDEX('Conversion Factors'!$B$6:$B$371,MATCH('Dec 1 - Dec 15'!$Z$14:$Z$20,'Conversion Factors'!$A$6:$A$371,0)))</f>
        <v>7.8789999999999996</v>
      </c>
      <c r="Z19" s="18">
        <f t="shared" si="1"/>
        <v>44533</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44534</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Factors'!$B$6:$B$371,MATCH('Dec 1 - Dec 15'!$Z$14:$Z$20,'Conversion Factors'!$A$6:$A$371,0))),"",INDEX('Conversion Factors'!$B$6:$B$371,MATCH('Dec 1 - Dec 15'!$Z$14:$Z$20,'Conversion Factors'!$A$6:$A$371,0)))</f>
        <v>7.8789999999999996</v>
      </c>
      <c r="Z20" s="18">
        <f t="shared" si="1"/>
        <v>44534</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0</v>
      </c>
    </row>
    <row r="22" spans="1:69" ht="15" customHeight="1" thickTop="1">
      <c r="A22" s="237">
        <f>IF(A20=0,"",IF(A20&lt;$O$7,A20+1,IF(A20=$O$7,"")))</f>
        <v>44535</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Factors'!$B$6:$B$371,MATCH('Dec 1 - Dec 15'!$Z$22:$Z$28,'Conversion Factors'!$A$6:$A$371,0))),"",INDEX('Conversion Factors'!$B$6:$B$371,MATCH('Dec 1 - Dec 15'!$Z$22:$Z$28,'Conversion Factors'!$A$6:$A$371,0)))</f>
        <v>7.8789999999999996</v>
      </c>
      <c r="Z22" s="17">
        <f t="shared" ref="Z22:Z28" si="42">A22</f>
        <v>44535</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44536</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Factors'!$B$6:$B$371,MATCH('Dec 1 - Dec 15'!$Z$22:$Z$28,'Conversion Factors'!$A$6:$A$371,0))),"",INDEX('Conversion Factors'!$B$6:$B$371,MATCH('Dec 1 - Dec 15'!$Z$22:$Z$28,'Conversion Factors'!$A$6:$A$371,0)))</f>
        <v>7.8789999999999996</v>
      </c>
      <c r="Z23" s="17">
        <f t="shared" si="42"/>
        <v>44536</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44537</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Factors'!$B$6:$B$371,MATCH('Dec 1 - Dec 15'!$Z$22:$Z$28,'Conversion Factors'!$A$6:$A$371,0))),"",INDEX('Conversion Factors'!$B$6:$B$371,MATCH('Dec 1 - Dec 15'!$Z$22:$Z$28,'Conversion Factors'!$A$6:$A$371,0)))</f>
        <v>7.8789999999999996</v>
      </c>
      <c r="Z24" s="17">
        <f t="shared" si="42"/>
        <v>44537</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44538</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Factors'!$B$6:$B$371,MATCH('Dec 1 - Dec 15'!$Z$22:$Z$28,'Conversion Factors'!$A$6:$A$371,0))),"",INDEX('Conversion Factors'!$B$6:$B$371,MATCH('Dec 1 - Dec 15'!$Z$22:$Z$28,'Conversion Factors'!$A$6:$A$371,0)))</f>
        <v>7.8789999999999996</v>
      </c>
      <c r="Z25" s="17">
        <f t="shared" si="42"/>
        <v>44538</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44539</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Factors'!$B$6:$B$371,MATCH('Dec 1 - Dec 15'!$Z$22:$Z$28,'Conversion Factors'!$A$6:$A$371,0))),"",INDEX('Conversion Factors'!$B$6:$B$371,MATCH('Dec 1 - Dec 15'!$Z$22:$Z$28,'Conversion Factors'!$A$6:$A$371,0)))</f>
        <v>7.8789999999999996</v>
      </c>
      <c r="Z26" s="17">
        <f t="shared" si="42"/>
        <v>44539</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44540</v>
      </c>
      <c r="B27" s="226"/>
      <c r="C27" s="227"/>
      <c r="D27" s="32" t="s">
        <v>28</v>
      </c>
      <c r="E27" s="176"/>
      <c r="F27" s="176"/>
      <c r="G27" s="177"/>
      <c r="H27" s="176"/>
      <c r="I27" s="176"/>
      <c r="J27" s="178">
        <v>0</v>
      </c>
      <c r="K27" s="178">
        <v>0</v>
      </c>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Factors'!$B$6:$B$371,MATCH('Dec 1 - Dec 15'!$Z$22:$Z$28,'Conversion Factors'!$A$6:$A$371,0))),"",INDEX('Conversion Factors'!$B$6:$B$371,MATCH('Dec 1 - Dec 15'!$Z$22:$Z$28,'Conversion Factors'!$A$6:$A$371,0)))</f>
        <v>7.8789999999999996</v>
      </c>
      <c r="Z27" s="17">
        <f t="shared" si="42"/>
        <v>44540</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44541</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Factors'!$B$6:$B$371,MATCH('Dec 1 - Dec 15'!$Z$22:$Z$28,'Conversion Factors'!$A$6:$A$371,0))),"",INDEX('Conversion Factors'!$B$6:$B$371,MATCH('Dec 1 - Dec 15'!$Z$22:$Z$28,'Conversion Factors'!$A$6:$A$371,0)))</f>
        <v>7.8789999999999996</v>
      </c>
      <c r="Z28" s="17">
        <f t="shared" si="42"/>
        <v>44541</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0</v>
      </c>
    </row>
    <row r="30" spans="1:69" ht="15" customHeight="1" thickTop="1">
      <c r="A30" s="225">
        <f>IF(A28&lt;$O$7,A28+1,IF(A28=$O$7,""))</f>
        <v>44542</v>
      </c>
      <c r="B30" s="226"/>
      <c r="C30" s="227"/>
      <c r="D30" s="32" t="s">
        <v>23</v>
      </c>
      <c r="E30" s="176"/>
      <c r="F30" s="176"/>
      <c r="G30" s="177"/>
      <c r="H30" s="176"/>
      <c r="I30" s="176"/>
      <c r="J30" s="178"/>
      <c r="K30" s="178"/>
      <c r="L30" s="179"/>
      <c r="M30" s="176"/>
      <c r="N30" s="176"/>
      <c r="O30" s="110">
        <f t="shared" ref="O30:O36" si="81">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Factors'!$B$6:$B$370,MATCH('Dec 1 - Dec 15'!$Z$30:$Z$36,'Conversion Factors'!$A$6:$A$370,0))),"",INDEX('Conversion Factors'!$B$6:$B$370,MATCH('Dec 1 - Dec 15'!$Z$30:$Z$36,'Conversion Factors'!$A$6:$A$370,0)))</f>
        <v>7.8789999999999996</v>
      </c>
      <c r="Z30" s="17">
        <f t="shared" ref="Z30:Z36" si="82">A30</f>
        <v>44542</v>
      </c>
      <c r="AA30" s="57" t="str">
        <f t="shared" ref="AA30:AA36" si="83">IF(AND(ISNUMBER(N30),ISNUMBER($Z$12)),N30/$Z$12,"")</f>
        <v/>
      </c>
      <c r="AB30" s="57" t="str">
        <f t="shared" ref="AB30:AB36" si="84">IF(AND(ISNUMBER(Q30),ISNUMBER($Z$12)),Q30/$Z$12,"")</f>
        <v/>
      </c>
      <c r="AC30" s="58"/>
      <c r="AD30" s="59"/>
      <c r="AE30" s="58"/>
      <c r="AF30" s="58"/>
      <c r="AG30" s="64"/>
      <c r="AH30" s="71">
        <f t="shared" ref="AH30:AH36" si="85">E30+AH29</f>
        <v>0</v>
      </c>
      <c r="AI30" s="68">
        <f>IF(AH30&gt;$AI$12,AH30-($AI$12+AI29),0)</f>
        <v>0</v>
      </c>
      <c r="AJ30" s="145" t="b">
        <f t="shared" ref="AJ30:AJ36" si="86">IF(AND(AZ30&gt;0,AZ30),IF(BA30&gt;0,BA30,IF(BB30&gt;0,BB30,IF(BC30&gt;0,BC30,IF(BF30&gt;0,BF30,"")))))</f>
        <v>0</v>
      </c>
      <c r="AK30" s="151" t="b">
        <f>IF(AND(AO30&gt;0,AO30),IF(AP30&gt;0,AP30,IF(AQ30&gt;0,AQ30,IF(AR30&gt;0,AR30,IF(AU30&gt;0,AU30,"")))))</f>
        <v>0</v>
      </c>
      <c r="AM30" s="147">
        <f t="shared" ref="AM30:AM36" si="87">J30</f>
        <v>0</v>
      </c>
      <c r="AO30" s="152">
        <f t="shared" ref="AO30:AO36" si="88">IF(G30=0,0,"")</f>
        <v>0</v>
      </c>
      <c r="AP30" s="152">
        <f t="shared" ref="AP30:AP36" si="89">IF(AND(AH30&lt;=40,E30=G30),G30,0)</f>
        <v>0</v>
      </c>
      <c r="AQ30" s="153">
        <f t="shared" ref="AQ30:AQ36" si="90">IF(AND(AH30&lt;=40,E30&gt;=G30,G30&gt;0),O30-E30,0)</f>
        <v>0</v>
      </c>
      <c r="AR30" s="152">
        <f t="shared" ref="AR30:AR36" si="91">IF(AND(AH30&lt;=40,E30&lt;G30),O30-G30,0)</f>
        <v>0</v>
      </c>
      <c r="AS30" s="154">
        <f t="shared" ref="AS30:AS36" si="92">IF(AND(G30=0),G30,IF(AND(G30&gt;0,AI30&gt;0,G30=AT30),AT30,IF(AND(G30&gt;0,AI30&gt;0,G30-AT30),AT30,0)))</f>
        <v>0</v>
      </c>
      <c r="AT30" s="154"/>
      <c r="AU30" s="155">
        <f>AS30</f>
        <v>0</v>
      </c>
      <c r="AV30" s="156">
        <f t="shared" ref="AV30:AV36" si="93">IF(AND(AH29+AU30=40,AI30&gt;0,AI30&gt;AU30),AI30-AU30,IF(AND(AH29+AU30=40,AI30&gt;0,AI30&lt;AU30,AU30+AI30=G30),AI30,IF(AND(AH29&gt;40,AH30&gt;40,G30=AI30),AI30,0)))</f>
        <v>0</v>
      </c>
      <c r="AW30" s="157">
        <f>AV30</f>
        <v>0</v>
      </c>
      <c r="AY30" s="157">
        <f t="shared" ref="AY30:AY36" si="94">IF(AND(J30&gt;0,AI30&gt;=J30,BB30=0),O30-AI30,IF(AND(J30&gt;0,AI30&gt;0,BB30&lt;=AI30),AI30-BB30,IF(AND(J30&gt;0,AI30&gt;0,BB30&gt;AI30),J30-BB30,0)))</f>
        <v>0</v>
      </c>
      <c r="AZ30" s="152">
        <f t="shared" ref="AZ30:AZ36" si="95">IF(J30=0,0,"")</f>
        <v>0</v>
      </c>
      <c r="BA30" s="152">
        <f t="shared" ref="BA30:BA36" si="96">IF(AND(AH30&lt;=40,E30=J30),J30,0)</f>
        <v>0</v>
      </c>
      <c r="BB30" s="158">
        <f t="shared" ref="BB30:BB36" si="97">IF(AND(AZ30=0),AZ30,IF(AND(AH30&gt;40,E30&gt;=J30),BE30,IF(AND(AH30&lt;=40,E30&gt;J30),J30,0)))</f>
        <v>0</v>
      </c>
      <c r="BC30" s="152">
        <f t="shared" ref="BC30:BC36" si="98">IF(AND(AH30&lt;=40,E30&lt;J30),O30-J30,0)</f>
        <v>0</v>
      </c>
      <c r="BD30" s="154">
        <f t="shared" ref="BD30:BD36" si="99">IF(AND(J30=0),J30,IF(AND(J30&gt;0,AI30&gt;0,J30=BC30),BC30,IF(AND(J30&gt;0,AI30&gt;0,J30-BC30),BC30,0)))</f>
        <v>0</v>
      </c>
      <c r="BE30" s="154"/>
      <c r="BF30" s="159">
        <f>BD30</f>
        <v>0</v>
      </c>
      <c r="BG30" s="160"/>
      <c r="BH30" s="160">
        <f>IF(AND(G30&gt;0,E30&gt;0),1,0)</f>
        <v>0</v>
      </c>
      <c r="BI30" s="161">
        <f t="shared" ref="BI30:BI36" si="100">40-AH30</f>
        <v>40</v>
      </c>
      <c r="BJ30" s="161">
        <f t="shared" ref="BJ30:BJ36" si="101">IF(AND(BH30=1,40-BL29&gt;0,40-BL29&lt;8),40-BL29,IF(AND(E30&lt;G30),E30,G30))</f>
        <v>0</v>
      </c>
      <c r="BK30" s="161">
        <f t="shared" ref="BK30:BK36" si="102">IF(AND(BH30=1,BL30&gt;40,E30&lt;G30),E30-BJ30,(IF(AND(BH30=1,BL30&gt;0,E30&gt;=G30),G30-BJ30,0)))</f>
        <v>0</v>
      </c>
      <c r="BL30" s="161">
        <f>E30</f>
        <v>0</v>
      </c>
      <c r="BM30" s="160">
        <f>IF(AND(K30&gt;0,E30&gt;0),1,0)</f>
        <v>0</v>
      </c>
      <c r="BN30" s="161">
        <f>IF(AND(BM30=1,J30&gt;8),K30,(IF(AND(BM30=1,J30&gt;0),J30,0)))</f>
        <v>0</v>
      </c>
      <c r="BO30" s="161">
        <f t="shared" ref="BO30:BO31" si="103">IF(AND(BM30=1,40-BL29&gt;0,40-BL29&lt;8),40-BL29,IF(AND(J30&lt;K30),J30,K30))</f>
        <v>0</v>
      </c>
      <c r="BP30" s="161">
        <f t="shared" ref="BP30:BP34" si="104">IF(AND(BM30=1,BL30&gt;40,J30&lt;=K30),J30-BO30,IF(AND(BM30=1,BL30&gt;0,J30&gt;K30),K30-BO30,0))</f>
        <v>0</v>
      </c>
      <c r="BQ30" s="160"/>
    </row>
    <row r="31" spans="1:69" ht="15" customHeight="1">
      <c r="A31" s="225">
        <f t="shared" ref="A31:A36" si="105">IF(A30&lt;$O$7,A30+1,IF(A30=$O$7,""))</f>
        <v>44543</v>
      </c>
      <c r="B31" s="226"/>
      <c r="C31" s="227"/>
      <c r="D31" s="32" t="s">
        <v>24</v>
      </c>
      <c r="E31" s="176"/>
      <c r="F31" s="176"/>
      <c r="G31" s="177"/>
      <c r="H31" s="176"/>
      <c r="I31" s="176"/>
      <c r="J31" s="178"/>
      <c r="K31" s="178"/>
      <c r="L31" s="179"/>
      <c r="M31" s="176"/>
      <c r="N31" s="176"/>
      <c r="O31" s="110">
        <f t="shared" si="81"/>
        <v>0</v>
      </c>
      <c r="P31" s="50" t="str">
        <f t="shared" ref="P31:P36" si="106">IF(AND(ISNUMBER(AA31),ISNUMBER(X31)),AA31*X31,"")</f>
        <v/>
      </c>
      <c r="Q31" s="52"/>
      <c r="R31" s="50" t="str">
        <f t="shared" ref="R31:R36" si="107">IF(AND(ISNUMBER(AB31),ISNUMBER(X31)),AB31*X31,"")</f>
        <v/>
      </c>
      <c r="S31" s="52"/>
      <c r="T31" s="52"/>
      <c r="U31" s="149">
        <f t="shared" si="35"/>
        <v>0</v>
      </c>
      <c r="V31" s="150">
        <f t="shared" ref="V31:V36" si="108">IF(BK31&gt;0,BK31,0)</f>
        <v>0</v>
      </c>
      <c r="W31" s="50"/>
      <c r="X31" s="49">
        <f>IF(ISNA(INDEX('Conversion Factors'!$B$6:$B$370,MATCH('Dec 1 - Dec 15'!$Z$30:$Z$36,'Conversion Factors'!$A$6:$A$370,0))),"",INDEX('Conversion Factors'!$B$6:$B$370,MATCH('Dec 1 - Dec 15'!$Z$30:$Z$36,'Conversion Factors'!$A$6:$A$370,0)))</f>
        <v>7.8789999999999996</v>
      </c>
      <c r="Z31" s="17">
        <f t="shared" si="82"/>
        <v>44543</v>
      </c>
      <c r="AA31" s="57" t="str">
        <f t="shared" si="83"/>
        <v/>
      </c>
      <c r="AB31" s="57" t="str">
        <f t="shared" si="84"/>
        <v/>
      </c>
      <c r="AH31" s="71">
        <f t="shared" si="85"/>
        <v>0</v>
      </c>
      <c r="AI31" s="68">
        <f>IF(AH31&gt;$AI$12,AH31-($AI$12+AI30+AI29),0)</f>
        <v>0</v>
      </c>
      <c r="AJ31" s="145" t="b">
        <f t="shared" si="86"/>
        <v>0</v>
      </c>
      <c r="AK31" s="151" t="b">
        <f t="shared" ref="AK31:AK36" si="109">IF(AND(AO31&gt;0,AO31),IF(AP31&gt;0,AP31,IF(AQ31&gt;0,AQ31,IF(AR31&gt;0,AR31,IF(AU31&gt;0,AU31,0)))))</f>
        <v>0</v>
      </c>
      <c r="AM31" s="147">
        <f t="shared" si="87"/>
        <v>0</v>
      </c>
      <c r="AO31" s="162">
        <f t="shared" si="88"/>
        <v>0</v>
      </c>
      <c r="AP31" s="162">
        <f t="shared" si="89"/>
        <v>0</v>
      </c>
      <c r="AQ31" s="153">
        <f t="shared" si="90"/>
        <v>0</v>
      </c>
      <c r="AR31" s="162">
        <f t="shared" si="91"/>
        <v>0</v>
      </c>
      <c r="AS31" s="154">
        <f t="shared" si="92"/>
        <v>0</v>
      </c>
      <c r="AT31" s="154">
        <f t="shared" ref="AT31:AT33" si="110">IF(AND(AH30&lt;=40),40-AH30,0)</f>
        <v>40</v>
      </c>
      <c r="AU31" s="155">
        <f t="shared" ref="AU31:AU36" si="111">AS31</f>
        <v>0</v>
      </c>
      <c r="AV31" s="156">
        <f t="shared" si="93"/>
        <v>0</v>
      </c>
      <c r="AW31" s="157">
        <f t="shared" ref="AW31:AW36" si="112">AV31</f>
        <v>0</v>
      </c>
      <c r="AY31" s="157">
        <f t="shared" si="94"/>
        <v>0</v>
      </c>
      <c r="AZ31" s="152">
        <f t="shared" si="95"/>
        <v>0</v>
      </c>
      <c r="BA31" s="152">
        <f t="shared" si="96"/>
        <v>0</v>
      </c>
      <c r="BB31" s="158">
        <f t="shared" si="97"/>
        <v>0</v>
      </c>
      <c r="BC31" s="152">
        <f t="shared" si="98"/>
        <v>0</v>
      </c>
      <c r="BD31" s="154">
        <f t="shared" si="99"/>
        <v>0</v>
      </c>
      <c r="BE31" s="154">
        <f>IF(AND(AH30&lt;=40),40-AH30,0)</f>
        <v>40</v>
      </c>
      <c r="BF31" s="159">
        <f t="shared" ref="BF31:BF36" si="113">BD31</f>
        <v>0</v>
      </c>
      <c r="BG31" s="160"/>
      <c r="BH31" s="160">
        <f>IF(AND(G31&gt;0,E31&gt;0),1,0)</f>
        <v>0</v>
      </c>
      <c r="BI31" s="161">
        <f t="shared" si="100"/>
        <v>40</v>
      </c>
      <c r="BJ31" s="161">
        <f t="shared" si="101"/>
        <v>0</v>
      </c>
      <c r="BK31" s="161">
        <f t="shared" si="102"/>
        <v>0</v>
      </c>
      <c r="BL31" s="161">
        <f>SUM(E30:E31)</f>
        <v>0</v>
      </c>
      <c r="BM31" s="160">
        <f t="shared" ref="BM31:BM36" si="114">IF(AND(K31&gt;0,E31&gt;0),1,0)</f>
        <v>0</v>
      </c>
      <c r="BN31" s="161">
        <f>IF(AND(BM31=1,J31&gt;8),K31,(IF(AND(BM31=1,J31&gt;0),J31,0)))</f>
        <v>0</v>
      </c>
      <c r="BO31" s="161">
        <f t="shared" si="103"/>
        <v>0</v>
      </c>
      <c r="BP31" s="161">
        <f t="shared" si="104"/>
        <v>0</v>
      </c>
      <c r="BQ31" s="160"/>
    </row>
    <row r="32" spans="1:69" ht="15" customHeight="1">
      <c r="A32" s="225">
        <f t="shared" si="105"/>
        <v>44544</v>
      </c>
      <c r="B32" s="226"/>
      <c r="C32" s="227"/>
      <c r="D32" s="32" t="s">
        <v>25</v>
      </c>
      <c r="E32" s="176"/>
      <c r="F32" s="176"/>
      <c r="G32" s="177"/>
      <c r="H32" s="176"/>
      <c r="I32" s="176"/>
      <c r="J32" s="178"/>
      <c r="K32" s="178"/>
      <c r="L32" s="179"/>
      <c r="M32" s="176"/>
      <c r="N32" s="176"/>
      <c r="O32" s="110">
        <f t="shared" si="81"/>
        <v>0</v>
      </c>
      <c r="P32" s="50" t="str">
        <f t="shared" si="106"/>
        <v/>
      </c>
      <c r="Q32" s="52"/>
      <c r="R32" s="50" t="str">
        <f t="shared" si="107"/>
        <v/>
      </c>
      <c r="S32" s="52"/>
      <c r="T32" s="52"/>
      <c r="U32" s="149">
        <f t="shared" si="35"/>
        <v>0</v>
      </c>
      <c r="V32" s="150">
        <f t="shared" si="108"/>
        <v>0</v>
      </c>
      <c r="W32" s="50"/>
      <c r="X32" s="49">
        <f>IF(ISNA(INDEX('Conversion Factors'!$B$6:$B$370,MATCH('Dec 1 - Dec 15'!$Z$30:$Z$36,'Conversion Factors'!$A$6:$A$370,0))),"",INDEX('Conversion Factors'!$B$6:$B$370,MATCH('Dec 1 - Dec 15'!$Z$30:$Z$36,'Conversion Factors'!$A$6:$A$370,0)))</f>
        <v>7.8789999999999996</v>
      </c>
      <c r="Z32" s="17">
        <f t="shared" si="82"/>
        <v>44544</v>
      </c>
      <c r="AA32" s="57" t="str">
        <f t="shared" si="83"/>
        <v/>
      </c>
      <c r="AB32" s="57" t="str">
        <f t="shared" si="84"/>
        <v/>
      </c>
      <c r="AG32" s="1"/>
      <c r="AH32" s="71">
        <f t="shared" si="85"/>
        <v>0</v>
      </c>
      <c r="AI32" s="68">
        <f>IF(AH32&gt;$AI$12,AH32-($AI$12+AI31+AI30+AI29),0)</f>
        <v>0</v>
      </c>
      <c r="AJ32" s="145" t="b">
        <f t="shared" si="86"/>
        <v>0</v>
      </c>
      <c r="AK32" s="151" t="b">
        <f t="shared" si="109"/>
        <v>0</v>
      </c>
      <c r="AM32" s="147">
        <f t="shared" si="87"/>
        <v>0</v>
      </c>
      <c r="AO32" s="162">
        <f t="shared" si="88"/>
        <v>0</v>
      </c>
      <c r="AP32" s="162">
        <f t="shared" si="89"/>
        <v>0</v>
      </c>
      <c r="AQ32" s="153">
        <f t="shared" si="90"/>
        <v>0</v>
      </c>
      <c r="AR32" s="162">
        <f t="shared" si="91"/>
        <v>0</v>
      </c>
      <c r="AS32" s="154">
        <f t="shared" si="92"/>
        <v>0</v>
      </c>
      <c r="AT32" s="154">
        <f t="shared" si="110"/>
        <v>40</v>
      </c>
      <c r="AU32" s="155">
        <f t="shared" si="111"/>
        <v>0</v>
      </c>
      <c r="AV32" s="156">
        <f t="shared" si="93"/>
        <v>0</v>
      </c>
      <c r="AW32" s="157">
        <f t="shared" si="112"/>
        <v>0</v>
      </c>
      <c r="AY32" s="157">
        <f t="shared" si="94"/>
        <v>0</v>
      </c>
      <c r="AZ32" s="152">
        <f t="shared" si="95"/>
        <v>0</v>
      </c>
      <c r="BA32" s="152">
        <f t="shared" si="96"/>
        <v>0</v>
      </c>
      <c r="BB32" s="158">
        <f t="shared" si="97"/>
        <v>0</v>
      </c>
      <c r="BC32" s="152">
        <f t="shared" si="98"/>
        <v>0</v>
      </c>
      <c r="BD32" s="154">
        <f t="shared" si="99"/>
        <v>0</v>
      </c>
      <c r="BE32" s="154">
        <f t="shared" ref="BE32:BE36" si="115">IF(AND(AH31&lt;=40),40-AH31,0)</f>
        <v>40</v>
      </c>
      <c r="BF32" s="159">
        <f t="shared" si="113"/>
        <v>0</v>
      </c>
      <c r="BG32" s="160"/>
      <c r="BH32" s="160">
        <f>IF(AND(G32&gt;0,E32&gt;0),1,0)</f>
        <v>0</v>
      </c>
      <c r="BI32" s="161">
        <f t="shared" si="100"/>
        <v>40</v>
      </c>
      <c r="BJ32" s="161">
        <f t="shared" si="101"/>
        <v>0</v>
      </c>
      <c r="BK32" s="161">
        <f t="shared" si="102"/>
        <v>0</v>
      </c>
      <c r="BL32" s="161">
        <f>SUM(E30:E32)</f>
        <v>0</v>
      </c>
      <c r="BM32" s="160">
        <f t="shared" si="114"/>
        <v>0</v>
      </c>
      <c r="BN32" s="161">
        <f>IF(AND(BM32=1,J32&gt;8),K32,(IF(AND(BM32=1,J32&gt;0),J32,0)))</f>
        <v>0</v>
      </c>
      <c r="BO32" s="161">
        <f>IF(AND(BM32=1,40-BL31&gt;0,40-BL31&lt;8),40-BL31,IF(AND(J32&lt;K32),J32,K32))</f>
        <v>0</v>
      </c>
      <c r="BP32" s="161">
        <f t="shared" si="104"/>
        <v>0</v>
      </c>
      <c r="BQ32" s="160"/>
    </row>
    <row r="33" spans="1:69" ht="15" customHeight="1">
      <c r="A33" s="225">
        <f t="shared" si="105"/>
        <v>44545</v>
      </c>
      <c r="B33" s="226"/>
      <c r="C33" s="227"/>
      <c r="D33" s="32" t="s">
        <v>26</v>
      </c>
      <c r="E33" s="176"/>
      <c r="F33" s="176"/>
      <c r="G33" s="177"/>
      <c r="H33" s="176"/>
      <c r="I33" s="176"/>
      <c r="J33" s="178"/>
      <c r="K33" s="178"/>
      <c r="L33" s="179"/>
      <c r="M33" s="176"/>
      <c r="N33" s="176"/>
      <c r="O33" s="110">
        <f t="shared" si="81"/>
        <v>0</v>
      </c>
      <c r="P33" s="50" t="str">
        <f t="shared" si="106"/>
        <v/>
      </c>
      <c r="Q33" s="52"/>
      <c r="R33" s="50" t="str">
        <f t="shared" si="107"/>
        <v/>
      </c>
      <c r="S33" s="52"/>
      <c r="T33" s="52"/>
      <c r="U33" s="149">
        <f t="shared" si="35"/>
        <v>0</v>
      </c>
      <c r="V33" s="150">
        <f t="shared" si="108"/>
        <v>0</v>
      </c>
      <c r="W33" s="50"/>
      <c r="X33" s="49">
        <f>IF(ISNA(INDEX('Conversion Factors'!$B$6:$B$370,MATCH('Dec 1 - Dec 15'!$Z$30:$Z$36,'Conversion Factors'!$A$6:$A$370,0))),"",INDEX('Conversion Factors'!$B$6:$B$370,MATCH('Dec 1 - Dec 15'!$Z$30:$Z$36,'Conversion Factors'!$A$6:$A$370,0)))</f>
        <v>7.8789999999999996</v>
      </c>
      <c r="Z33" s="17">
        <f t="shared" si="82"/>
        <v>44545</v>
      </c>
      <c r="AA33" s="57" t="str">
        <f t="shared" si="83"/>
        <v/>
      </c>
      <c r="AB33" s="57" t="str">
        <f t="shared" si="84"/>
        <v/>
      </c>
      <c r="AG33" s="1"/>
      <c r="AH33" s="71">
        <f t="shared" si="85"/>
        <v>0</v>
      </c>
      <c r="AI33" s="68">
        <f>IF(AH33&gt;$AI$12,AH33-($AI$12+AI32+AI31+AI30+AI29),0)</f>
        <v>0</v>
      </c>
      <c r="AJ33" s="145" t="b">
        <f t="shared" si="86"/>
        <v>0</v>
      </c>
      <c r="AK33" s="151" t="b">
        <f t="shared" si="109"/>
        <v>0</v>
      </c>
      <c r="AM33" s="147">
        <f t="shared" si="87"/>
        <v>0</v>
      </c>
      <c r="AO33" s="162">
        <f t="shared" si="88"/>
        <v>0</v>
      </c>
      <c r="AP33" s="162">
        <f t="shared" si="89"/>
        <v>0</v>
      </c>
      <c r="AQ33" s="153">
        <f t="shared" si="90"/>
        <v>0</v>
      </c>
      <c r="AR33" s="162">
        <f t="shared" si="91"/>
        <v>0</v>
      </c>
      <c r="AS33" s="154">
        <f t="shared" si="92"/>
        <v>0</v>
      </c>
      <c r="AT33" s="154">
        <f t="shared" si="110"/>
        <v>40</v>
      </c>
      <c r="AU33" s="155">
        <f t="shared" si="111"/>
        <v>0</v>
      </c>
      <c r="AV33" s="156">
        <f t="shared" si="93"/>
        <v>0</v>
      </c>
      <c r="AW33" s="157">
        <f t="shared" si="112"/>
        <v>0</v>
      </c>
      <c r="AY33" s="157">
        <f t="shared" si="94"/>
        <v>0</v>
      </c>
      <c r="AZ33" s="152">
        <f t="shared" si="95"/>
        <v>0</v>
      </c>
      <c r="BA33" s="152">
        <f t="shared" si="96"/>
        <v>0</v>
      </c>
      <c r="BB33" s="158">
        <f t="shared" si="97"/>
        <v>0</v>
      </c>
      <c r="BC33" s="152">
        <f t="shared" si="98"/>
        <v>0</v>
      </c>
      <c r="BD33" s="154">
        <f t="shared" si="99"/>
        <v>0</v>
      </c>
      <c r="BE33" s="154">
        <f t="shared" si="115"/>
        <v>40</v>
      </c>
      <c r="BF33" s="159">
        <f t="shared" si="113"/>
        <v>0</v>
      </c>
      <c r="BG33" s="160"/>
      <c r="BH33" s="160">
        <f t="shared" ref="BH33:BH37" si="116">IF(AND(G33&gt;0,E33&gt;0),1,0)</f>
        <v>0</v>
      </c>
      <c r="BI33" s="161">
        <f t="shared" si="100"/>
        <v>40</v>
      </c>
      <c r="BJ33" s="161">
        <f t="shared" si="101"/>
        <v>0</v>
      </c>
      <c r="BK33" s="161">
        <f t="shared" si="102"/>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4"/>
        <v>0</v>
      </c>
      <c r="BQ33" s="160"/>
    </row>
    <row r="34" spans="1:69" ht="15" customHeight="1">
      <c r="A34" s="225" t="str">
        <f t="shared" si="105"/>
        <v/>
      </c>
      <c r="B34" s="226"/>
      <c r="C34" s="227"/>
      <c r="D34" s="32" t="s">
        <v>27</v>
      </c>
      <c r="E34" s="52"/>
      <c r="F34" s="52"/>
      <c r="G34" s="77"/>
      <c r="H34" s="52"/>
      <c r="I34" s="52"/>
      <c r="J34" s="108"/>
      <c r="K34" s="108"/>
      <c r="L34" s="109"/>
      <c r="M34" s="52"/>
      <c r="N34" s="52"/>
      <c r="O34" s="110">
        <f t="shared" si="81"/>
        <v>0</v>
      </c>
      <c r="P34" s="50" t="str">
        <f t="shared" si="106"/>
        <v/>
      </c>
      <c r="Q34" s="52"/>
      <c r="R34" s="50" t="str">
        <f t="shared" si="107"/>
        <v/>
      </c>
      <c r="S34" s="52"/>
      <c r="T34" s="52"/>
      <c r="U34" s="149">
        <f t="shared" si="35"/>
        <v>0</v>
      </c>
      <c r="V34" s="150">
        <f t="shared" si="108"/>
        <v>0</v>
      </c>
      <c r="W34" s="50"/>
      <c r="X34" s="49" t="str">
        <f>IF(ISNA(INDEX('Conversion Factors'!$B$6:$B$370,MATCH('Dec 1 - Dec 15'!$Z$30:$Z$36,'Conversion Factors'!$A$6:$A$370,0))),"",INDEX('Conversion Factors'!$B$6:$B$370,MATCH('Dec 1 - Dec 15'!$Z$30:$Z$36,'Conversion Factors'!$A$6:$A$370,0)))</f>
        <v/>
      </c>
      <c r="Z34" s="17" t="str">
        <f t="shared" si="82"/>
        <v/>
      </c>
      <c r="AA34" s="57" t="str">
        <f t="shared" si="83"/>
        <v/>
      </c>
      <c r="AB34" s="57" t="str">
        <f t="shared" si="84"/>
        <v/>
      </c>
      <c r="AH34" s="71">
        <f t="shared" si="85"/>
        <v>0</v>
      </c>
      <c r="AI34" s="68">
        <f>IF(AH34&gt;$AI$12,AH34-($AI$12+AI33+AI32+AI31+AI30+AI29),0)</f>
        <v>0</v>
      </c>
      <c r="AJ34" s="145" t="b">
        <f t="shared" si="86"/>
        <v>0</v>
      </c>
      <c r="AK34" s="151" t="b">
        <f t="shared" si="109"/>
        <v>0</v>
      </c>
      <c r="AM34" s="147">
        <f t="shared" si="87"/>
        <v>0</v>
      </c>
      <c r="AO34" s="162">
        <f t="shared" si="88"/>
        <v>0</v>
      </c>
      <c r="AP34" s="162">
        <f t="shared" si="89"/>
        <v>0</v>
      </c>
      <c r="AQ34" s="153">
        <f t="shared" si="90"/>
        <v>0</v>
      </c>
      <c r="AR34" s="162">
        <f t="shared" si="91"/>
        <v>0</v>
      </c>
      <c r="AS34" s="154">
        <f t="shared" si="92"/>
        <v>0</v>
      </c>
      <c r="AT34" s="154">
        <f>IF(AND(AH33&lt;=40),40-AH33,0)</f>
        <v>40</v>
      </c>
      <c r="AU34" s="155">
        <f t="shared" si="111"/>
        <v>0</v>
      </c>
      <c r="AV34" s="156">
        <f t="shared" si="93"/>
        <v>0</v>
      </c>
      <c r="AW34" s="157">
        <f t="shared" si="112"/>
        <v>0</v>
      </c>
      <c r="AY34" s="157">
        <f t="shared" si="94"/>
        <v>0</v>
      </c>
      <c r="AZ34" s="152">
        <f t="shared" si="95"/>
        <v>0</v>
      </c>
      <c r="BA34" s="152">
        <f t="shared" si="96"/>
        <v>0</v>
      </c>
      <c r="BB34" s="158">
        <f t="shared" si="97"/>
        <v>0</v>
      </c>
      <c r="BC34" s="152">
        <f t="shared" si="98"/>
        <v>0</v>
      </c>
      <c r="BD34" s="154">
        <f t="shared" si="99"/>
        <v>0</v>
      </c>
      <c r="BE34" s="154">
        <f t="shared" si="115"/>
        <v>40</v>
      </c>
      <c r="BF34" s="159">
        <f t="shared" si="113"/>
        <v>0</v>
      </c>
      <c r="BG34" s="160"/>
      <c r="BH34" s="160">
        <f t="shared" si="116"/>
        <v>0</v>
      </c>
      <c r="BI34" s="161">
        <f t="shared" si="100"/>
        <v>40</v>
      </c>
      <c r="BJ34" s="161">
        <f t="shared" si="101"/>
        <v>0</v>
      </c>
      <c r="BK34" s="161">
        <f t="shared" si="102"/>
        <v>0</v>
      </c>
      <c r="BL34" s="161">
        <f>SUM(E30:E34)</f>
        <v>0</v>
      </c>
      <c r="BM34" s="160">
        <f t="shared" si="114"/>
        <v>0</v>
      </c>
      <c r="BN34" s="161">
        <f t="shared" si="117"/>
        <v>0</v>
      </c>
      <c r="BO34" s="161">
        <f t="shared" si="118"/>
        <v>0</v>
      </c>
      <c r="BP34" s="161">
        <f t="shared" si="104"/>
        <v>0</v>
      </c>
      <c r="BQ34" s="160"/>
    </row>
    <row r="35" spans="1:69" ht="15" customHeight="1">
      <c r="A35" s="225" t="b">
        <f t="shared" si="105"/>
        <v>0</v>
      </c>
      <c r="B35" s="226"/>
      <c r="C35" s="227"/>
      <c r="D35" s="32" t="s">
        <v>28</v>
      </c>
      <c r="E35" s="52"/>
      <c r="F35" s="52"/>
      <c r="G35" s="77"/>
      <c r="H35" s="52"/>
      <c r="I35" s="52"/>
      <c r="J35" s="108"/>
      <c r="K35" s="108"/>
      <c r="L35" s="109"/>
      <c r="M35" s="52"/>
      <c r="N35" s="52"/>
      <c r="O35" s="110">
        <f t="shared" si="81"/>
        <v>0</v>
      </c>
      <c r="P35" s="50" t="str">
        <f t="shared" si="106"/>
        <v/>
      </c>
      <c r="Q35" s="52"/>
      <c r="R35" s="50" t="str">
        <f t="shared" si="107"/>
        <v/>
      </c>
      <c r="S35" s="52"/>
      <c r="T35" s="52"/>
      <c r="U35" s="149">
        <f t="shared" si="35"/>
        <v>0</v>
      </c>
      <c r="V35" s="150">
        <f t="shared" si="108"/>
        <v>0</v>
      </c>
      <c r="W35" s="50"/>
      <c r="X35" s="49" t="str">
        <f>IF(ISNA(INDEX('Conversion Factors'!$B$6:$B$370,MATCH('Dec 1 - Dec 15'!$Z$30:$Z$36,'Conversion Factors'!$A$6:$A$370,0))),"",INDEX('Conversion Factors'!$B$6:$B$370,MATCH('Dec 1 - Dec 15'!$Z$30:$Z$36,'Conversion Factors'!$A$6:$A$370,0)))</f>
        <v/>
      </c>
      <c r="Z35" s="17" t="b">
        <f t="shared" si="82"/>
        <v>0</v>
      </c>
      <c r="AA35" s="57" t="str">
        <f t="shared" si="83"/>
        <v/>
      </c>
      <c r="AB35" s="57" t="str">
        <f t="shared" si="84"/>
        <v/>
      </c>
      <c r="AH35" s="71">
        <f t="shared" si="85"/>
        <v>0</v>
      </c>
      <c r="AI35" s="68">
        <f>IF(AH35&gt;$AI$12,AH35-($AI$12+AI34+AI33+AI32+AI31+AI30+AI29),0)</f>
        <v>0</v>
      </c>
      <c r="AJ35" s="145" t="b">
        <f t="shared" si="86"/>
        <v>0</v>
      </c>
      <c r="AK35" s="151" t="b">
        <f t="shared" si="109"/>
        <v>0</v>
      </c>
      <c r="AM35" s="147">
        <f t="shared" si="87"/>
        <v>0</v>
      </c>
      <c r="AO35" s="162">
        <f t="shared" si="88"/>
        <v>0</v>
      </c>
      <c r="AP35" s="162">
        <f t="shared" si="89"/>
        <v>0</v>
      </c>
      <c r="AQ35" s="153">
        <f t="shared" si="90"/>
        <v>0</v>
      </c>
      <c r="AR35" s="162">
        <f t="shared" si="91"/>
        <v>0</v>
      </c>
      <c r="AS35" s="154">
        <f t="shared" si="92"/>
        <v>0</v>
      </c>
      <c r="AT35" s="154">
        <f t="shared" ref="AT35:AT36" si="119">IF(AND(AH34&lt;=40),40-AH34,0)</f>
        <v>40</v>
      </c>
      <c r="AU35" s="155">
        <f t="shared" si="111"/>
        <v>0</v>
      </c>
      <c r="AV35" s="156">
        <f t="shared" si="93"/>
        <v>0</v>
      </c>
      <c r="AW35" s="157">
        <f t="shared" si="112"/>
        <v>0</v>
      </c>
      <c r="AY35" s="157">
        <f t="shared" si="94"/>
        <v>0</v>
      </c>
      <c r="AZ35" s="152">
        <f t="shared" si="95"/>
        <v>0</v>
      </c>
      <c r="BA35" s="152">
        <f t="shared" si="96"/>
        <v>0</v>
      </c>
      <c r="BB35" s="158">
        <f t="shared" si="97"/>
        <v>0</v>
      </c>
      <c r="BC35" s="152">
        <f t="shared" si="98"/>
        <v>0</v>
      </c>
      <c r="BD35" s="154">
        <f t="shared" si="99"/>
        <v>0</v>
      </c>
      <c r="BE35" s="154">
        <f t="shared" si="115"/>
        <v>40</v>
      </c>
      <c r="BF35" s="159">
        <f t="shared" si="113"/>
        <v>0</v>
      </c>
      <c r="BG35" s="160"/>
      <c r="BH35" s="160">
        <f t="shared" si="116"/>
        <v>0</v>
      </c>
      <c r="BI35" s="161">
        <f t="shared" si="100"/>
        <v>40</v>
      </c>
      <c r="BJ35" s="161">
        <f t="shared" si="101"/>
        <v>0</v>
      </c>
      <c r="BK35" s="161">
        <f t="shared" si="102"/>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5"/>
        <v>0</v>
      </c>
      <c r="B36" s="226"/>
      <c r="C36" s="227"/>
      <c r="D36" s="32" t="s">
        <v>29</v>
      </c>
      <c r="E36" s="52"/>
      <c r="F36" s="52"/>
      <c r="G36" s="77"/>
      <c r="H36" s="52"/>
      <c r="I36" s="52"/>
      <c r="J36" s="108"/>
      <c r="K36" s="108"/>
      <c r="L36" s="109"/>
      <c r="M36" s="52"/>
      <c r="N36" s="52"/>
      <c r="O36" s="110">
        <f t="shared" si="81"/>
        <v>0</v>
      </c>
      <c r="P36" s="50" t="str">
        <f t="shared" si="106"/>
        <v/>
      </c>
      <c r="Q36" s="52"/>
      <c r="R36" s="50" t="str">
        <f t="shared" si="107"/>
        <v/>
      </c>
      <c r="S36" s="52"/>
      <c r="T36" s="52"/>
      <c r="U36" s="149">
        <f t="shared" si="35"/>
        <v>0</v>
      </c>
      <c r="V36" s="150">
        <f t="shared" si="108"/>
        <v>0</v>
      </c>
      <c r="W36" s="50"/>
      <c r="X36" s="49" t="str">
        <f>IF(ISNA(INDEX('Conversion Factors'!$B$6:$B$370,MATCH('Dec 1 - Dec 15'!$Z$30:$Z$36,'Conversion Factors'!$A$6:$A$370,0))),"",INDEX('Conversion Factors'!$B$6:$B$370,MATCH('Dec 1 - Dec 15'!$Z$30:$Z$36,'Conversion Factors'!$A$6:$A$370,0)))</f>
        <v/>
      </c>
      <c r="Z36" s="17" t="b">
        <f t="shared" si="82"/>
        <v>0</v>
      </c>
      <c r="AA36" s="57" t="str">
        <f t="shared" si="83"/>
        <v/>
      </c>
      <c r="AB36" s="57" t="str">
        <f t="shared" si="84"/>
        <v/>
      </c>
      <c r="AH36" s="71">
        <f t="shared" si="85"/>
        <v>0</v>
      </c>
      <c r="AI36" s="68">
        <f>IF(AH36&gt;$AI$12,AH36-($AI$12+AI35+AI34+AI33+AI32+AI31+AI30+AI29),0)</f>
        <v>0</v>
      </c>
      <c r="AJ36" s="145" t="b">
        <f t="shared" si="86"/>
        <v>0</v>
      </c>
      <c r="AK36" s="151" t="b">
        <f t="shared" si="109"/>
        <v>0</v>
      </c>
      <c r="AM36" s="147">
        <f t="shared" si="87"/>
        <v>0</v>
      </c>
      <c r="AO36" s="163">
        <f t="shared" si="88"/>
        <v>0</v>
      </c>
      <c r="AP36" s="163">
        <f t="shared" si="89"/>
        <v>0</v>
      </c>
      <c r="AQ36" s="153">
        <f t="shared" si="90"/>
        <v>0</v>
      </c>
      <c r="AR36" s="163">
        <f t="shared" si="91"/>
        <v>0</v>
      </c>
      <c r="AS36" s="154">
        <f t="shared" si="92"/>
        <v>0</v>
      </c>
      <c r="AT36" s="154">
        <f t="shared" si="119"/>
        <v>40</v>
      </c>
      <c r="AU36" s="155">
        <f t="shared" si="111"/>
        <v>0</v>
      </c>
      <c r="AV36" s="156">
        <f t="shared" si="93"/>
        <v>0</v>
      </c>
      <c r="AW36" s="157">
        <f t="shared" si="112"/>
        <v>0</v>
      </c>
      <c r="AY36" s="157">
        <f t="shared" si="94"/>
        <v>0</v>
      </c>
      <c r="AZ36" s="152">
        <f t="shared" si="95"/>
        <v>0</v>
      </c>
      <c r="BA36" s="152">
        <f t="shared" si="96"/>
        <v>0</v>
      </c>
      <c r="BB36" s="158">
        <f t="shared" si="97"/>
        <v>0</v>
      </c>
      <c r="BC36" s="152">
        <f t="shared" si="98"/>
        <v>0</v>
      </c>
      <c r="BD36" s="154">
        <f t="shared" si="99"/>
        <v>0</v>
      </c>
      <c r="BE36" s="154">
        <f t="shared" si="115"/>
        <v>40</v>
      </c>
      <c r="BF36" s="159">
        <f t="shared" si="113"/>
        <v>0</v>
      </c>
      <c r="BG36" s="160"/>
      <c r="BH36" s="160">
        <f t="shared" si="116"/>
        <v>0</v>
      </c>
      <c r="BI36" s="161">
        <f t="shared" si="100"/>
        <v>40</v>
      </c>
      <c r="BJ36" s="161">
        <f t="shared" si="101"/>
        <v>0</v>
      </c>
      <c r="BK36" s="161">
        <f t="shared" si="102"/>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Factors'!$B$6:$B$370,MATCH('Dec 1 - Dec 15'!$Z$38:$Z$44,'Conversion Factors'!$A$6:$A$370,0))),"",INDEX('Conversion Factors'!$B$6:$B$370,MATCH('Dec 1 - Dec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Factors'!$B$6:$B$370,MATCH('Dec 1 - Dec 15'!$Z$38:$Z$44,'Conversion Factors'!$A$6:$A$370,0))),"",INDEX('Conversion Factors'!$B$6:$B$370,MATCH('Dec 1 - Dec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Factors'!$B$6:$B$370,MATCH('Dec 1 - Dec 15'!$Z$38:$Z$44,'Conversion Factors'!$A$6:$A$370,0))),"",INDEX('Conversion Factors'!$B$6:$B$370,MATCH('Dec 1 - Dec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Factors'!$B$6:$B$370,MATCH('Dec 1 - Dec 15'!$Z$38:$Z$44,'Conversion Factors'!$A$6:$A$370,0))),"",INDEX('Conversion Factors'!$B$6:$B$370,MATCH('Dec 1 - Dec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Factors'!$B$6:$B$370,MATCH('Dec 1 - Dec 15'!$Z$38:$Z$44,'Conversion Factors'!$A$6:$A$370,0))),"",INDEX('Conversion Factors'!$B$6:$B$370,MATCH('Dec 1 - Dec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Factors'!$B$6:$B$370,MATCH('Dec 1 - Dec 15'!$Z$38:$Z$44,'Conversion Factors'!$A$6:$A$370,0))),"",INDEX('Conversion Factors'!$B$6:$B$370,MATCH('Dec 1 - Dec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Factors'!$B$6:$B$370,MATCH('Dec 1 - Dec 15'!$Z$38:$Z$44,'Conversion Factors'!$A$6:$A$370,0))),"",INDEX('Conversion Factors'!$B$6:$B$370,MATCH('Dec 1 - Dec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56" priority="17" operator="equal">
      <formula>FALSE</formula>
    </cfRule>
  </conditionalFormatting>
  <conditionalFormatting sqref="A22:C22">
    <cfRule type="cellIs" dxfId="255" priority="16" operator="equal">
      <formula>FALSE</formula>
    </cfRule>
  </conditionalFormatting>
  <conditionalFormatting sqref="D22:D28">
    <cfRule type="cellIs" dxfId="254" priority="15" operator="equal">
      <formula>FALSE</formula>
    </cfRule>
  </conditionalFormatting>
  <conditionalFormatting sqref="Z22:Z28">
    <cfRule type="cellIs" dxfId="253" priority="14" operator="equal">
      <formula>FALSE</formula>
    </cfRule>
  </conditionalFormatting>
  <conditionalFormatting sqref="Z30:Z36">
    <cfRule type="cellIs" dxfId="252" priority="13" operator="equal">
      <formula>FALSE</formula>
    </cfRule>
  </conditionalFormatting>
  <conditionalFormatting sqref="X21 X29 X37">
    <cfRule type="containsErrors" dxfId="251" priority="12">
      <formula>ISERROR(X21)</formula>
    </cfRule>
  </conditionalFormatting>
  <conditionalFormatting sqref="Z39:Z44">
    <cfRule type="cellIs" dxfId="250" priority="10" operator="equal">
      <formula>FALSE</formula>
    </cfRule>
  </conditionalFormatting>
  <conditionalFormatting sqref="Z38">
    <cfRule type="cellIs" dxfId="249" priority="11" operator="equal">
      <formula>FALSE</formula>
    </cfRule>
  </conditionalFormatting>
  <conditionalFormatting sqref="W11:X11">
    <cfRule type="cellIs" dxfId="248" priority="9" operator="equal">
      <formula>"Please Select"</formula>
    </cfRule>
  </conditionalFormatting>
  <conditionalFormatting sqref="E11:F11">
    <cfRule type="containsBlanks" dxfId="247" priority="8">
      <formula>LEN(TRIM(E11))=0</formula>
    </cfRule>
  </conditionalFormatting>
  <conditionalFormatting sqref="U14:U46">
    <cfRule type="cellIs" dxfId="246" priority="7" operator="equal">
      <formula>FALSE</formula>
    </cfRule>
  </conditionalFormatting>
  <conditionalFormatting sqref="P26">
    <cfRule type="cellIs" dxfId="245" priority="6" operator="lessThan">
      <formula>$BQ$21</formula>
    </cfRule>
  </conditionalFormatting>
  <conditionalFormatting sqref="X14:X20">
    <cfRule type="containsErrors" dxfId="244" priority="5">
      <formula>ISERROR(X14)</formula>
    </cfRule>
  </conditionalFormatting>
  <conditionalFormatting sqref="X30:X36">
    <cfRule type="containsErrors" dxfId="243" priority="4">
      <formula>ISERROR(X30)</formula>
    </cfRule>
  </conditionalFormatting>
  <conditionalFormatting sqref="X38:X44">
    <cfRule type="containsErrors" dxfId="242" priority="3">
      <formula>ISERROR(X38)</formula>
    </cfRule>
  </conditionalFormatting>
  <conditionalFormatting sqref="X22">
    <cfRule type="containsErrors" dxfId="241" priority="2">
      <formula>ISERROR(X22)</formula>
    </cfRule>
  </conditionalFormatting>
  <conditionalFormatting sqref="X23:X28">
    <cfRule type="containsErrors" dxfId="240"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13FD43E9-25BD-4E2D-A5F3-B44379F87EE3}">
      <formula1>$AD$6:$AD$8</formula1>
    </dataValidation>
    <dataValidation allowBlank="1" showInputMessage="1" showErrorMessage="1" promptTitle="Hours Per Week" prompt="Please enter the number of hours you are scheduled to work each week.  (Example:  40)_x000a_" sqref="E11:F11" xr:uid="{DCD69762-A88E-4A56-BC56-91A18C36E6C7}"/>
    <dataValidation allowBlank="1" showInputMessage="1" showErrorMessage="1" prompt="Enter your MSU ID into this field and it will populate to all the other time re[prts in this workbook." sqref="C6:H6" xr:uid="{635BE6A7-6673-4A11-A929-A28A75136766}"/>
    <dataValidation allowBlank="1" showInputMessage="1" showErrorMessage="1" prompt="Enter your Name into this field and it will populate to all the other time reports in this workbook." sqref="C7:H7" xr:uid="{F2EA929C-4385-4A83-89D7-2889819874DD}"/>
    <dataValidation allowBlank="1" showInputMessage="1" showErrorMessage="1" prompt="Enter your Department Name into this field and it will populate to all the other time reports in this workbook." sqref="C8:H8" xr:uid="{71E63486-4E42-4ED4-AB71-A0CDF24FE186}"/>
  </dataValidations>
  <hyperlinks>
    <hyperlink ref="O49" r:id="rId1" xr:uid="{9E496FED-02BF-4B33-B888-C38B03A5C100}"/>
    <hyperlink ref="O48:W48" r:id="rId2" display="Leave/Leave Without Pay Policy" xr:uid="{138B70CF-6C9B-4457-AE43-767E07C066E2}"/>
    <hyperlink ref="O50:W50" r:id="rId3" display="Time Sheet Definitions/Policies" xr:uid="{F292033E-2FFA-4898-84B3-1484050FD3B7}"/>
    <hyperlink ref="O49:T49" r:id="rId4" display="Overtime/Compensatory Time" xr:uid="{75BC24D1-80E8-4337-9EAB-F09F0B2318AC}"/>
  </hyperlinks>
  <printOptions horizontalCentered="1"/>
  <pageMargins left="0.5" right="0.5" top="0.5" bottom="0.5" header="0.5" footer="0"/>
  <pageSetup scale="75" orientation="portrait" r:id="rId5"/>
  <headerFooter alignWithMargins="0">
    <oddFooter>&amp;RRevised:  05/2019</oddFooter>
  </headerFooter>
  <ignoredErrors>
    <ignoredError sqref="E14:N15" unlockedFormula="1"/>
  </ignoredError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2BEA6-0EBD-415F-86B8-90BF0169006C}">
  <sheetPr codeName="Sheet18">
    <tabColor theme="4" tint="0.79998168889431442"/>
  </sheetPr>
  <dimension ref="A1:BQ57"/>
  <sheetViews>
    <sheetView showGridLines="0" showZeros="0" zoomScaleNormal="100" workbookViewId="0">
      <pane ySplit="13" topLeftCell="A23"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Notes'!$A$13</f>
        <v>44546</v>
      </c>
      <c r="P6" s="265"/>
      <c r="Q6" s="265"/>
      <c r="R6" s="265"/>
      <c r="S6" s="265"/>
      <c r="T6" s="265"/>
      <c r="U6" s="53"/>
      <c r="V6" s="53"/>
      <c r="W6" s="24"/>
      <c r="X6" s="30"/>
      <c r="Z6" s="4" t="str">
        <f>TEXT(O6,"dddd")</f>
        <v>Thursday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Notes'!$B$13</f>
        <v>44561</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Notes'!$C$13</f>
        <v>24</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SUM(E14:E17)</f>
        <v>0</v>
      </c>
      <c r="F13" s="86">
        <f t="shared" ref="F13:N13" si="0">SUM(F14:F17)</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'Dec 1 - Dec 15'!E30</f>
        <v>0</v>
      </c>
      <c r="F14" s="182">
        <f>'Dec 1 - Dec 15'!F30</f>
        <v>0</v>
      </c>
      <c r="G14" s="184">
        <f>'Dec 1 - Dec 15'!G30</f>
        <v>0</v>
      </c>
      <c r="H14" s="182">
        <f>'Dec 1 - Dec 15'!H30</f>
        <v>0</v>
      </c>
      <c r="I14" s="182">
        <f>'Dec 1 - Dec 15'!I30</f>
        <v>0</v>
      </c>
      <c r="J14" s="185">
        <f>'Dec 1 - Dec 15'!J30</f>
        <v>0</v>
      </c>
      <c r="K14" s="185">
        <f>'Dec 1 - Dec 15'!K30</f>
        <v>0</v>
      </c>
      <c r="L14" s="186">
        <f>'Dec 1 - Dec 15'!L30</f>
        <v>0</v>
      </c>
      <c r="M14" s="182">
        <f>'Dec 1 - Dec 15'!M30</f>
        <v>0</v>
      </c>
      <c r="N14" s="182">
        <f>'Dec 1 - Dec 15'!N30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Factors'!$B$6:$B$371,MATCH('Dec 16 - Dec 31'!$Z$14:$Z$20,'Conversion Factors'!$A$6:$A$371,0))),"",INDEX('Conversion Factors'!$B$6:$B$371,MATCH('Dec 16 - Dec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'Dec 1 - Dec 15'!E31</f>
        <v>0</v>
      </c>
      <c r="F15" s="182">
        <f>'Dec 1 - Dec 15'!F31</f>
        <v>0</v>
      </c>
      <c r="G15" s="184">
        <f>'Dec 1 - Dec 15'!G31</f>
        <v>0</v>
      </c>
      <c r="H15" s="182">
        <f>'Dec 1 - Dec 15'!H31</f>
        <v>0</v>
      </c>
      <c r="I15" s="182">
        <f>'Dec 1 - Dec 15'!I31</f>
        <v>0</v>
      </c>
      <c r="J15" s="185">
        <f>'Dec 1 - Dec 15'!J31</f>
        <v>0</v>
      </c>
      <c r="K15" s="185">
        <f>'Dec 1 - Dec 15'!K31</f>
        <v>0</v>
      </c>
      <c r="L15" s="186">
        <f>'Dec 1 - Dec 15'!L31</f>
        <v>0</v>
      </c>
      <c r="M15" s="182">
        <f>'Dec 1 - Dec 15'!M31</f>
        <v>0</v>
      </c>
      <c r="N15" s="182">
        <f>'Dec 1 - Dec 15'!N31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Factors'!$B$6:$B$371,MATCH('Dec 16 - Dec 31'!$Z$14:$Z$20,'Conversion Factors'!$A$6:$A$371,0))),"",INDEX('Conversion Factors'!$B$6:$B$371,MATCH('Dec 16 - Dec 31'!$Z$14:$Z$20,'Conversion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'Dec 1 - Dec 15'!E32</f>
        <v>0</v>
      </c>
      <c r="F16" s="182">
        <f>'Dec 1 - Dec 15'!F32</f>
        <v>0</v>
      </c>
      <c r="G16" s="184">
        <f>'Dec 1 - Dec 15'!G32</f>
        <v>0</v>
      </c>
      <c r="H16" s="182">
        <f>'Dec 1 - Dec 15'!H32</f>
        <v>0</v>
      </c>
      <c r="I16" s="182">
        <f>'Dec 1 - Dec 15'!I32</f>
        <v>0</v>
      </c>
      <c r="J16" s="185">
        <f>'Dec 1 - Dec 15'!J32</f>
        <v>0</v>
      </c>
      <c r="K16" s="185">
        <f>'Dec 1 - Dec 15'!K32</f>
        <v>0</v>
      </c>
      <c r="L16" s="186">
        <f>'Dec 1 - Dec 15'!L32</f>
        <v>0</v>
      </c>
      <c r="M16" s="182">
        <f>'Dec 1 - Dec 15'!M32</f>
        <v>0</v>
      </c>
      <c r="N16" s="182">
        <f>'Dec 1 - Dec 15'!N32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Factors'!$B$6:$B$371,MATCH('Dec 16 - Dec 31'!$Z$14:$Z$20,'Conversion Factors'!$A$6:$A$371,0))),"",INDEX('Conversion Factors'!$B$6:$B$371,MATCH('Dec 16 - Dec 31'!$Z$14:$Z$20,'Conversion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'Dec 1 - Dec 15'!E33</f>
        <v>0</v>
      </c>
      <c r="F17" s="182">
        <f>'Dec 1 - Dec 15'!F33</f>
        <v>0</v>
      </c>
      <c r="G17" s="184">
        <f>'Dec 1 - Dec 15'!G33</f>
        <v>0</v>
      </c>
      <c r="H17" s="182">
        <f>'Dec 1 - Dec 15'!H33</f>
        <v>0</v>
      </c>
      <c r="I17" s="182">
        <f>'Dec 1 - Dec 15'!I33</f>
        <v>0</v>
      </c>
      <c r="J17" s="185">
        <f>'Dec 1 - Dec 15'!J33</f>
        <v>0</v>
      </c>
      <c r="K17" s="185">
        <f>'Dec 1 - Dec 15'!K33</f>
        <v>0</v>
      </c>
      <c r="L17" s="186">
        <f>'Dec 1 - Dec 15'!L33</f>
        <v>0</v>
      </c>
      <c r="M17" s="182">
        <f>'Dec 1 - Dec 15'!M33</f>
        <v>0</v>
      </c>
      <c r="N17" s="182">
        <f>'Dec 1 - Dec 15'!N33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Factors'!$B$6:$B$371,MATCH('Dec 16 - Dec 31'!$Z$14:$Z$20,'Conversion Factors'!$A$6:$A$371,0))),"",INDEX('Conversion Factors'!$B$6:$B$371,MATCH('Dec 16 - Dec 31'!$Z$14:$Z$20,'Conversion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44546</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Factors'!$B$6:$B$371,MATCH('Dec 16 - Dec 31'!$Z$14:$Z$20,'Conversion Factors'!$A$6:$A$371,0))),"",INDEX('Conversion Factors'!$B$6:$B$371,MATCH('Dec 16 - Dec 31'!$Z$14:$Z$20,'Conversion Factors'!$A$6:$A$371,0)))</f>
        <v>7.2229999999999999</v>
      </c>
      <c r="Z18" s="18">
        <f t="shared" si="1"/>
        <v>44546</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44547</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Factors'!$B$6:$B$371,MATCH('Dec 16 - Dec 31'!$Z$14:$Z$20,'Conversion Factors'!$A$6:$A$371,0))),"",INDEX('Conversion Factors'!$B$6:$B$371,MATCH('Dec 16 - Dec 31'!$Z$14:$Z$20,'Conversion Factors'!$A$6:$A$371,0)))</f>
        <v>7.2229999999999999</v>
      </c>
      <c r="Z19" s="18">
        <f t="shared" si="1"/>
        <v>44547</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44548</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Factors'!$B$6:$B$371,MATCH('Dec 16 - Dec 31'!$Z$14:$Z$20,'Conversion Factors'!$A$6:$A$371,0))),"",INDEX('Conversion Factors'!$B$6:$B$371,MATCH('Dec 16 - Dec 31'!$Z$14:$Z$20,'Conversion Factors'!$A$6:$A$371,0)))</f>
        <v>7.2229999999999999</v>
      </c>
      <c r="Z20" s="18">
        <f t="shared" si="1"/>
        <v>44548</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44549</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Factors'!$B$6:$B$371,MATCH('Dec 16 - Dec 31'!$Z$22:$Z$28,'Conversion Factors'!$A$6:$A$371,0))),"",INDEX('Conversion Factors'!$B$6:$B$371,MATCH('Dec 16 - Dec 31'!$Z$22:$Z$28,'Conversion Factors'!$A$6:$A$371,0)))</f>
        <v>7.2229999999999999</v>
      </c>
      <c r="Z22" s="17">
        <f t="shared" ref="Z22:Z28" si="42">A22</f>
        <v>44549</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44550</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Factors'!$B$6:$B$371,MATCH('Dec 16 - Dec 31'!$Z$22:$Z$28,'Conversion Factors'!$A$6:$A$371,0))),"",INDEX('Conversion Factors'!$B$6:$B$371,MATCH('Dec 16 - Dec 31'!$Z$22:$Z$28,'Conversion Factors'!$A$6:$A$371,0)))</f>
        <v>7.2229999999999999</v>
      </c>
      <c r="Z23" s="17">
        <f t="shared" si="42"/>
        <v>44550</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44551</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Factors'!$B$6:$B$371,MATCH('Dec 16 - Dec 31'!$Z$22:$Z$28,'Conversion Factors'!$A$6:$A$371,0))),"",INDEX('Conversion Factors'!$B$6:$B$371,MATCH('Dec 16 - Dec 31'!$Z$22:$Z$28,'Conversion Factors'!$A$6:$A$371,0)))</f>
        <v>7.2229999999999999</v>
      </c>
      <c r="Z24" s="17">
        <f t="shared" si="42"/>
        <v>44551</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44552</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Factors'!$B$6:$B$371,MATCH('Dec 16 - Dec 31'!$Z$22:$Z$28,'Conversion Factors'!$A$6:$A$371,0))),"",INDEX('Conversion Factors'!$B$6:$B$371,MATCH('Dec 16 - Dec 31'!$Z$22:$Z$28,'Conversion Factors'!$A$6:$A$371,0)))</f>
        <v>7.2229999999999999</v>
      </c>
      <c r="Z25" s="17">
        <f t="shared" si="42"/>
        <v>44552</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44553</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Factors'!$B$6:$B$371,MATCH('Dec 16 - Dec 31'!$Z$22:$Z$28,'Conversion Factors'!$A$6:$A$371,0))),"",INDEX('Conversion Factors'!$B$6:$B$371,MATCH('Dec 16 - Dec 31'!$Z$22:$Z$28,'Conversion Factors'!$A$6:$A$371,0)))</f>
        <v>7.2229999999999999</v>
      </c>
      <c r="Z26" s="17">
        <f t="shared" si="42"/>
        <v>44553</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44554</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Factors'!$B$6:$B$371,MATCH('Dec 16 - Dec 31'!$Z$22:$Z$28,'Conversion Factors'!$A$6:$A$371,0))),"",INDEX('Conversion Factors'!$B$6:$B$371,MATCH('Dec 16 - Dec 31'!$Z$22:$Z$28,'Conversion Factors'!$A$6:$A$371,0)))</f>
        <v>7.2229999999999999</v>
      </c>
      <c r="Z27" s="17">
        <f t="shared" si="42"/>
        <v>44554</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44555</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Factors'!$B$6:$B$371,MATCH('Dec 16 - Dec 31'!$Z$22:$Z$28,'Conversion Factors'!$A$6:$A$371,0))),"",INDEX('Conversion Factors'!$B$6:$B$371,MATCH('Dec 16 - Dec 31'!$Z$22:$Z$28,'Conversion Factors'!$A$6:$A$371,0)))</f>
        <v>7.2229999999999999</v>
      </c>
      <c r="Z28" s="17">
        <f t="shared" si="42"/>
        <v>44555</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44556</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Factors'!$B$6:$B$370,MATCH('Dec 16 - Dec 31'!$Z$30:$Z$36,'Conversion Factors'!$A$6:$A$370,0))),"",INDEX('Conversion Factors'!$B$6:$B$370,MATCH('Dec 16 - Dec 31'!$Z$30:$Z$36,'Conversion Factors'!$A$6:$A$370,0)))</f>
        <v>7.2229999999999999</v>
      </c>
      <c r="Z30" s="17">
        <f t="shared" ref="Z30:Z36" si="81">A30</f>
        <v>44556</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44557</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Factors'!$B$6:$B$370,MATCH('Dec 16 - Dec 31'!$Z$30:$Z$36,'Conversion Factors'!$A$6:$A$370,0))),"",INDEX('Conversion Factors'!$B$6:$B$370,MATCH('Dec 16 - Dec 31'!$Z$30:$Z$36,'Conversion Factors'!$A$6:$A$370,0)))</f>
        <v>7.2229999999999999</v>
      </c>
      <c r="Z31" s="17">
        <f t="shared" si="81"/>
        <v>44557</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44558</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Factors'!$B$6:$B$370,MATCH('Dec 16 - Dec 31'!$Z$30:$Z$36,'Conversion Factors'!$A$6:$A$370,0))),"",INDEX('Conversion Factors'!$B$6:$B$370,MATCH('Dec 16 - Dec 31'!$Z$30:$Z$36,'Conversion Factors'!$A$6:$A$370,0)))</f>
        <v>7.2229999999999999</v>
      </c>
      <c r="Z32" s="17">
        <f t="shared" si="81"/>
        <v>44558</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44559</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Factors'!$B$6:$B$370,MATCH('Dec 16 - Dec 31'!$Z$30:$Z$36,'Conversion Factors'!$A$6:$A$370,0))),"",INDEX('Conversion Factors'!$B$6:$B$370,MATCH('Dec 16 - Dec 31'!$Z$30:$Z$36,'Conversion Factors'!$A$6:$A$370,0)))</f>
        <v>7.2229999999999999</v>
      </c>
      <c r="Z33" s="17">
        <f t="shared" si="81"/>
        <v>44559</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44560</v>
      </c>
      <c r="B34" s="226"/>
      <c r="C34" s="227"/>
      <c r="D34" s="32" t="s">
        <v>27</v>
      </c>
      <c r="E34" s="176"/>
      <c r="F34" s="176"/>
      <c r="G34" s="177"/>
      <c r="H34" s="176"/>
      <c r="I34" s="176"/>
      <c r="J34" s="178"/>
      <c r="K34" s="178"/>
      <c r="L34" s="179"/>
      <c r="M34" s="176"/>
      <c r="N34" s="176"/>
      <c r="O34" s="110">
        <f t="shared" si="105"/>
        <v>0</v>
      </c>
      <c r="P34" s="50" t="str">
        <f t="shared" si="106"/>
        <v/>
      </c>
      <c r="Q34" s="52"/>
      <c r="R34" s="50" t="str">
        <f t="shared" si="107"/>
        <v/>
      </c>
      <c r="S34" s="52"/>
      <c r="T34" s="52"/>
      <c r="U34" s="149">
        <f t="shared" si="35"/>
        <v>0</v>
      </c>
      <c r="V34" s="150">
        <f t="shared" si="108"/>
        <v>0</v>
      </c>
      <c r="W34" s="50"/>
      <c r="X34" s="49">
        <f>IF(ISNA(INDEX('Conversion Factors'!$B$6:$B$370,MATCH('Dec 16 - Dec 31'!$Z$30:$Z$36,'Conversion Factors'!$A$6:$A$370,0))),"",INDEX('Conversion Factors'!$B$6:$B$370,MATCH('Dec 16 - Dec 31'!$Z$30:$Z$36,'Conversion Factors'!$A$6:$A$370,0)))</f>
        <v>7.2229999999999999</v>
      </c>
      <c r="Z34" s="17">
        <f t="shared" si="81"/>
        <v>44560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f t="shared" si="104"/>
        <v>44561</v>
      </c>
      <c r="B35" s="226"/>
      <c r="C35" s="227"/>
      <c r="D35" s="32" t="s">
        <v>28</v>
      </c>
      <c r="E35" s="176"/>
      <c r="F35" s="176"/>
      <c r="G35" s="177"/>
      <c r="H35" s="176"/>
      <c r="I35" s="176"/>
      <c r="J35" s="178"/>
      <c r="K35" s="178"/>
      <c r="L35" s="179"/>
      <c r="M35" s="176"/>
      <c r="N35" s="176"/>
      <c r="O35" s="110">
        <f t="shared" si="105"/>
        <v>0</v>
      </c>
      <c r="P35" s="50" t="str">
        <f t="shared" si="106"/>
        <v/>
      </c>
      <c r="Q35" s="52"/>
      <c r="R35" s="50" t="str">
        <f t="shared" si="107"/>
        <v/>
      </c>
      <c r="S35" s="52"/>
      <c r="T35" s="52"/>
      <c r="U35" s="149">
        <f t="shared" si="35"/>
        <v>0</v>
      </c>
      <c r="V35" s="150">
        <f t="shared" si="108"/>
        <v>0</v>
      </c>
      <c r="W35" s="50"/>
      <c r="X35" s="49">
        <f>IF(ISNA(INDEX('Conversion Factors'!$B$6:$B$370,MATCH('Dec 16 - Dec 31'!$Z$30:$Z$36,'Conversion Factors'!$A$6:$A$370,0))),"",INDEX('Conversion Factors'!$B$6:$B$370,MATCH('Dec 16 - Dec 31'!$Z$30:$Z$36,'Conversion Factors'!$A$6:$A$370,0)))</f>
        <v>7.2229999999999999</v>
      </c>
      <c r="Z35" s="17">
        <f t="shared" si="81"/>
        <v>44561</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str">
        <f t="shared" si="104"/>
        <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Factors'!$B$6:$B$370,MATCH('Dec 16 - Dec 31'!$Z$30:$Z$36,'Conversion Factors'!$A$6:$A$370,0))),"",INDEX('Conversion Factors'!$B$6:$B$370,MATCH('Dec 16 - Dec 31'!$Z$30:$Z$36,'Conversion Factors'!$A$6:$A$370,0)))</f>
        <v/>
      </c>
      <c r="Z36" s="17" t="str">
        <f t="shared" si="81"/>
        <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Factors'!$B$6:$B$370,MATCH('Dec 16 - Dec 31'!$Z$38:$Z$44,'Conversion Factors'!$A$6:$A$370,0))),"",INDEX('Conversion Factors'!$B$6:$B$370,MATCH('Dec 16 - Dec 31'!$Z$38:$Z$44,'Conversion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Factors'!$B$6:$B$370,MATCH('Dec 16 - Dec 31'!$Z$38:$Z$44,'Conversion Factors'!$A$6:$A$370,0))),"",INDEX('Conversion Factors'!$B$6:$B$370,MATCH('Dec 16 - Dec 31'!$Z$38:$Z$44,'Conversion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Factors'!$B$6:$B$370,MATCH('Dec 16 - Dec 31'!$Z$38:$Z$44,'Conversion Factors'!$A$6:$A$370,0))),"",INDEX('Conversion Factors'!$B$6:$B$370,MATCH('Dec 16 - Dec 31'!$Z$38:$Z$44,'Conversion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Factors'!$B$6:$B$370,MATCH('Dec 16 - Dec 31'!$Z$38:$Z$44,'Conversion Factors'!$A$6:$A$370,0))),"",INDEX('Conversion Factors'!$B$6:$B$370,MATCH('Dec 16 - Dec 31'!$Z$38:$Z$44,'Conversion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Factors'!$B$6:$B$370,MATCH('Dec 16 - Dec 31'!$Z$38:$Z$44,'Conversion Factors'!$A$6:$A$370,0))),"",INDEX('Conversion Factors'!$B$6:$B$370,MATCH('Dec 16 - Dec 31'!$Z$38:$Z$44,'Conversion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Factors'!$B$6:$B$370,MATCH('Dec 16 - Dec 31'!$Z$38:$Z$44,'Conversion Factors'!$A$6:$A$370,0))),"",INDEX('Conversion Factors'!$B$6:$B$370,MATCH('Dec 16 - Dec 31'!$Z$38:$Z$44,'Conversion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Factors'!$B$6:$B$370,MATCH('Dec 16 - Dec 31'!$Z$38:$Z$44,'Conversion Factors'!$A$6:$A$370,0))),"",INDEX('Conversion Factors'!$B$6:$B$370,MATCH('Dec 16 - Dec 31'!$Z$38:$Z$44,'Conversion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39" priority="17" operator="equal">
      <formula>FALSE</formula>
    </cfRule>
  </conditionalFormatting>
  <conditionalFormatting sqref="A22:C22">
    <cfRule type="cellIs" dxfId="238" priority="16" operator="equal">
      <formula>FALSE</formula>
    </cfRule>
  </conditionalFormatting>
  <conditionalFormatting sqref="D22:D28">
    <cfRule type="cellIs" dxfId="237" priority="15" operator="equal">
      <formula>FALSE</formula>
    </cfRule>
  </conditionalFormatting>
  <conditionalFormatting sqref="Z22:Z28">
    <cfRule type="cellIs" dxfId="236" priority="14" operator="equal">
      <formula>FALSE</formula>
    </cfRule>
  </conditionalFormatting>
  <conditionalFormatting sqref="Z30:Z36">
    <cfRule type="cellIs" dxfId="235" priority="13" operator="equal">
      <formula>FALSE</formula>
    </cfRule>
  </conditionalFormatting>
  <conditionalFormatting sqref="X21 X29 X37">
    <cfRule type="containsErrors" dxfId="234" priority="12">
      <formula>ISERROR(X21)</formula>
    </cfRule>
  </conditionalFormatting>
  <conditionalFormatting sqref="Z39:Z44">
    <cfRule type="cellIs" dxfId="233" priority="10" operator="equal">
      <formula>FALSE</formula>
    </cfRule>
  </conditionalFormatting>
  <conditionalFormatting sqref="Z38">
    <cfRule type="cellIs" dxfId="232" priority="11" operator="equal">
      <formula>FALSE</formula>
    </cfRule>
  </conditionalFormatting>
  <conditionalFormatting sqref="W11:X11">
    <cfRule type="cellIs" dxfId="231" priority="9" operator="equal">
      <formula>"Please Select"</formula>
    </cfRule>
  </conditionalFormatting>
  <conditionalFormatting sqref="E11:F11">
    <cfRule type="containsBlanks" dxfId="230" priority="8">
      <formula>LEN(TRIM(E11))=0</formula>
    </cfRule>
  </conditionalFormatting>
  <conditionalFormatting sqref="U14:U46">
    <cfRule type="cellIs" dxfId="229" priority="7" operator="equal">
      <formula>FALSE</formula>
    </cfRule>
  </conditionalFormatting>
  <conditionalFormatting sqref="P26">
    <cfRule type="cellIs" dxfId="228" priority="6" operator="lessThan">
      <formula>$BQ$21</formula>
    </cfRule>
  </conditionalFormatting>
  <conditionalFormatting sqref="X14:X20">
    <cfRule type="containsErrors" dxfId="227" priority="5">
      <formula>ISERROR(X14)</formula>
    </cfRule>
  </conditionalFormatting>
  <conditionalFormatting sqref="X30:X36">
    <cfRule type="containsErrors" dxfId="226" priority="4">
      <formula>ISERROR(X30)</formula>
    </cfRule>
  </conditionalFormatting>
  <conditionalFormatting sqref="X38:X44">
    <cfRule type="containsErrors" dxfId="225" priority="3">
      <formula>ISERROR(X38)</formula>
    </cfRule>
  </conditionalFormatting>
  <conditionalFormatting sqref="X22">
    <cfRule type="containsErrors" dxfId="224" priority="2">
      <formula>ISERROR(X22)</formula>
    </cfRule>
  </conditionalFormatting>
  <conditionalFormatting sqref="X23:X28">
    <cfRule type="containsErrors" dxfId="223"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D103ED01-5D20-43BB-AB1D-2FB3676DC09F}"/>
    <dataValidation allowBlank="1" showInputMessage="1" showErrorMessage="1" prompt="Enter your Name into this field and it will populate to all the other time reports in this workbook." sqref="C7:H7" xr:uid="{0D64D582-5F43-4DB2-BCC1-42C3DDC67F69}"/>
    <dataValidation allowBlank="1" showInputMessage="1" showErrorMessage="1" prompt="Enter your MSU ID into this field and it will populate to all the other time re[prts in this workbook." sqref="C6:H6" xr:uid="{6592EDB3-A7DB-40E8-8E84-3842E4E95636}"/>
    <dataValidation allowBlank="1" showInputMessage="1" showErrorMessage="1" promptTitle="Hours Per Week" prompt="Please enter the number of hours you are scheduled to work each week.  (Example:  40)_x000a_" sqref="E11:F11" xr:uid="{4BB71148-9D3B-47B0-917A-6B3885C3CD54}"/>
    <dataValidation type="list" allowBlank="1" showInputMessage="1" showErrorMessage="1" promptTitle="Compensatory Time" prompt="Please select &quot;No&quot; if you are not receiving Compensatory time or &quot;Yes&quot; if you are receiving compensatory time." sqref="W11:X11" xr:uid="{8702C3F4-38F3-4188-B3EB-4A2B38DB04A7}">
      <formula1>$AD$6:$AD$8</formula1>
    </dataValidation>
  </dataValidations>
  <hyperlinks>
    <hyperlink ref="O49" r:id="rId1" xr:uid="{78A796DE-1EBA-46F9-B6B3-F76D58A12687}"/>
    <hyperlink ref="O48:W48" r:id="rId2" display="Leave/Leave Without Pay Policy" xr:uid="{DB46775E-B76E-42DB-B71D-139A195D4D28}"/>
    <hyperlink ref="O50:W50" r:id="rId3" display="Time Sheet Definitions/Policies" xr:uid="{D105BA29-6FFF-40C7-82F9-6DED755AF56D}"/>
    <hyperlink ref="O49:T49" r:id="rId4" display="Overtime/Compensatory Time" xr:uid="{6BF6ED6E-39CB-4B0A-B8DC-735E4C7CD0C3}"/>
  </hyperlinks>
  <printOptions horizontalCentered="1"/>
  <pageMargins left="0.5" right="0.5" top="0.5" bottom="0.5" header="0.5" footer="0"/>
  <pageSetup scale="75" orientation="portrait" r:id="rId5"/>
  <headerFooter alignWithMargins="0">
    <oddFooter>&amp;RRevised:  05/2019</oddFooter>
  </headerFooter>
  <ignoredErrors>
    <ignoredError sqref="E15:N16" unlockedFormula="1"/>
  </ignoredError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23655-C448-47E2-882C-8F84F2D1AF4D}">
  <sheetPr codeName="Sheet19">
    <tabColor theme="4" tint="0.79998168889431442"/>
  </sheetPr>
  <dimension ref="A1:BQ57"/>
  <sheetViews>
    <sheetView showGridLines="0" showZeros="0" tabSelected="1" zoomScaleNormal="100" workbookViewId="0">
      <pane ySplit="13" topLeftCell="A14" activePane="bottomLeft" state="frozen"/>
      <selection activeCell="BS5" sqref="BS5:BS6"/>
      <selection pane="bottomLeft" activeCell="O36" sqref="O3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Notes'!$A$14</f>
        <v>44562</v>
      </c>
      <c r="P6" s="265"/>
      <c r="Q6" s="265"/>
      <c r="R6" s="265"/>
      <c r="S6" s="265"/>
      <c r="T6" s="265"/>
      <c r="U6" s="53"/>
      <c r="V6" s="53"/>
      <c r="W6" s="24"/>
      <c r="X6" s="30"/>
      <c r="Z6" s="4" t="str">
        <f>TEXT(O6,"dddd")</f>
        <v>Saturday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Notes'!$B$14</f>
        <v>44576</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Notes'!$C$14</f>
        <v>1</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SUM(E14:E19)</f>
        <v>0</v>
      </c>
      <c r="F13" s="86">
        <f t="shared" ref="F13:N13" si="0">SUM(F14:F19)</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'Dec 16 - Dec 31'!E30</f>
        <v>0</v>
      </c>
      <c r="F14" s="182">
        <f>'Dec 16 - Dec 31'!F30</f>
        <v>0</v>
      </c>
      <c r="G14" s="184">
        <f>'Dec 16 - Dec 31'!G30</f>
        <v>0</v>
      </c>
      <c r="H14" s="182">
        <f>'Dec 16 - Dec 31'!H30</f>
        <v>0</v>
      </c>
      <c r="I14" s="182">
        <f>'Dec 16 - Dec 31'!I30</f>
        <v>0</v>
      </c>
      <c r="J14" s="185">
        <f>'Dec 16 - Dec 31'!J30</f>
        <v>0</v>
      </c>
      <c r="K14" s="185">
        <f>'Dec 16 - Dec 31'!K30</f>
        <v>0</v>
      </c>
      <c r="L14" s="186">
        <f>'Dec 16 - Dec 31'!L30</f>
        <v>0</v>
      </c>
      <c r="M14" s="182">
        <f>'Dec 16 - Dec 31'!M30</f>
        <v>0</v>
      </c>
      <c r="N14" s="182">
        <f>'Dec 16 - Dec 31'!N30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Factors'!$B$6:$B$371,MATCH('Jan 1 - Jan 15'!$Z$14:$Z$20,'Conversion Factors'!$A$6:$A$371,0))),"",INDEX('Conversion Factors'!$B$6:$B$371,MATCH('Jan 1 - Jan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'Dec 16 - Dec 31'!E31</f>
        <v>0</v>
      </c>
      <c r="F15" s="182">
        <f>'Dec 16 - Dec 31'!F31</f>
        <v>0</v>
      </c>
      <c r="G15" s="184">
        <f>'Dec 16 - Dec 31'!G31</f>
        <v>0</v>
      </c>
      <c r="H15" s="182">
        <f>'Dec 16 - Dec 31'!H31</f>
        <v>0</v>
      </c>
      <c r="I15" s="182">
        <f>'Dec 16 - Dec 31'!I31</f>
        <v>0</v>
      </c>
      <c r="J15" s="185">
        <f>'Dec 16 - Dec 31'!J31</f>
        <v>0</v>
      </c>
      <c r="K15" s="185">
        <f>'Dec 16 - Dec 31'!K31</f>
        <v>0</v>
      </c>
      <c r="L15" s="186">
        <f>'Dec 16 - Dec 31'!L31</f>
        <v>0</v>
      </c>
      <c r="M15" s="182">
        <f>'Dec 16 - Dec 31'!M31</f>
        <v>0</v>
      </c>
      <c r="N15" s="182">
        <f>'Dec 16 - Dec 31'!N31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Factors'!$B$6:$B$371,MATCH('Jan 1 - Jan 15'!$Z$14:$Z$20,'Conversion Factors'!$A$6:$A$371,0))),"",INDEX('Conversion Factors'!$B$6:$B$371,MATCH('Jan 1 - Jan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'Dec 16 - Dec 31'!E32</f>
        <v>0</v>
      </c>
      <c r="F16" s="182">
        <f>'Dec 16 - Dec 31'!F32</f>
        <v>0</v>
      </c>
      <c r="G16" s="184">
        <f>'Dec 16 - Dec 31'!G32</f>
        <v>0</v>
      </c>
      <c r="H16" s="182">
        <f>'Dec 16 - Dec 31'!H32</f>
        <v>0</v>
      </c>
      <c r="I16" s="182">
        <f>'Dec 16 - Dec 31'!I32</f>
        <v>0</v>
      </c>
      <c r="J16" s="185">
        <f>'Dec 16 - Dec 31'!J32</f>
        <v>0</v>
      </c>
      <c r="K16" s="185">
        <f>'Dec 16 - Dec 31'!K32</f>
        <v>0</v>
      </c>
      <c r="L16" s="186">
        <f>'Dec 16 - Dec 31'!L32</f>
        <v>0</v>
      </c>
      <c r="M16" s="182">
        <f>'Dec 16 - Dec 31'!M32</f>
        <v>0</v>
      </c>
      <c r="N16" s="182">
        <f>'Dec 16 - Dec 31'!N32</f>
        <v>0</v>
      </c>
      <c r="O16" s="183">
        <f t="shared" ref="O16:O19" si="34">SUM(E16:N16)-J16</f>
        <v>0</v>
      </c>
      <c r="P16" s="187" t="str">
        <f t="shared" si="23"/>
        <v/>
      </c>
      <c r="Q16" s="182"/>
      <c r="R16" s="50" t="str">
        <f t="shared" si="24"/>
        <v/>
      </c>
      <c r="S16" s="52"/>
      <c r="T16" s="52"/>
      <c r="U16" s="149">
        <f t="shared" ref="U16:U44" si="35">IF(BJ16&gt;0,BJ16,BN16)</f>
        <v>0</v>
      </c>
      <c r="V16" s="150">
        <f t="shared" si="25"/>
        <v>0</v>
      </c>
      <c r="W16" s="50"/>
      <c r="X16" s="49" t="str">
        <f>IF(ISNA(INDEX('Conversion Factors'!$B$6:$B$371,MATCH('Jan 1 - Jan 15'!$Z$14:$Z$20,'Conversion Factors'!$A$6:$A$371,0))),"",INDEX('Conversion Factors'!$B$6:$B$371,MATCH('Jan 1 - Jan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'Dec 16 - Dec 31'!E33</f>
        <v>0</v>
      </c>
      <c r="F17" s="182">
        <f>'Dec 16 - Dec 31'!F33</f>
        <v>0</v>
      </c>
      <c r="G17" s="184">
        <f>'Dec 16 - Dec 31'!G33</f>
        <v>0</v>
      </c>
      <c r="H17" s="182">
        <f>'Dec 16 - Dec 31'!H33</f>
        <v>0</v>
      </c>
      <c r="I17" s="182">
        <f>'Dec 16 - Dec 31'!I33</f>
        <v>0</v>
      </c>
      <c r="J17" s="185">
        <f>'Dec 16 - Dec 31'!J33</f>
        <v>0</v>
      </c>
      <c r="K17" s="185">
        <f>'Dec 16 - Dec 31'!K33</f>
        <v>0</v>
      </c>
      <c r="L17" s="186">
        <f>'Dec 16 - Dec 31'!L33</f>
        <v>0</v>
      </c>
      <c r="M17" s="182">
        <f>'Dec 16 - Dec 31'!M33</f>
        <v>0</v>
      </c>
      <c r="N17" s="182">
        <f>'Dec 16 - Dec 31'!N33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Factors'!$B$6:$B$371,MATCH('Jan 1 - Jan 15'!$Z$14:$Z$20,'Conversion Factors'!$A$6:$A$371,0))),"",INDEX('Conversion Factors'!$B$6:$B$371,MATCH('Jan 1 - Jan 15'!$Z$14:$Z$20,'Conversion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'Dec 16 - Dec 31'!E34</f>
        <v>0</v>
      </c>
      <c r="F18" s="182">
        <f>'Dec 16 - Dec 31'!F34</f>
        <v>0</v>
      </c>
      <c r="G18" s="184">
        <f>'Dec 16 - Dec 31'!G34</f>
        <v>0</v>
      </c>
      <c r="H18" s="182">
        <f>'Dec 16 - Dec 31'!H34</f>
        <v>0</v>
      </c>
      <c r="I18" s="182">
        <f>'Dec 16 - Dec 31'!I34</f>
        <v>0</v>
      </c>
      <c r="J18" s="185">
        <f>'Dec 16 - Dec 31'!J34</f>
        <v>0</v>
      </c>
      <c r="K18" s="185">
        <f>'Dec 16 - Dec 31'!K34</f>
        <v>0</v>
      </c>
      <c r="L18" s="186">
        <f>'Dec 16 - Dec 31'!L34</f>
        <v>0</v>
      </c>
      <c r="M18" s="182">
        <f>'Dec 16 - Dec 31'!M34</f>
        <v>0</v>
      </c>
      <c r="N18" s="182">
        <f>'Dec 16 - Dec 31'!N34</f>
        <v>0</v>
      </c>
      <c r="O18" s="183">
        <f t="shared" si="34"/>
        <v>0</v>
      </c>
      <c r="P18" s="50" t="str">
        <f t="shared" si="23"/>
        <v/>
      </c>
      <c r="Q18" s="51"/>
      <c r="R18" s="50" t="str">
        <f t="shared" si="24"/>
        <v/>
      </c>
      <c r="S18" s="52"/>
      <c r="T18" s="52"/>
      <c r="U18" s="149">
        <f t="shared" si="35"/>
        <v>0</v>
      </c>
      <c r="V18" s="150">
        <f t="shared" si="25"/>
        <v>0</v>
      </c>
      <c r="W18" s="50"/>
      <c r="X18" s="49" t="str">
        <f>IF(ISNA(INDEX('Conversion Factors'!$B$6:$B$371,MATCH('Jan 1 - Jan 15'!$Z$14:$Z$20,'Conversion Factors'!$A$6:$A$371,0))),"",INDEX('Conversion Factors'!$B$6:$B$371,MATCH('Jan 1 - Jan 15'!$Z$14:$Z$20,'Conversion Factors'!$A$6:$A$371,0)))</f>
        <v/>
      </c>
      <c r="Z18" s="18" t="b">
        <f t="shared" si="1"/>
        <v>0</v>
      </c>
      <c r="AA18" s="57">
        <f t="shared" si="2"/>
        <v>0</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t="b">
        <f t="shared" si="22"/>
        <v>0</v>
      </c>
      <c r="B19" s="238"/>
      <c r="C19" s="239"/>
      <c r="D19" s="32" t="s">
        <v>28</v>
      </c>
      <c r="E19" s="182">
        <f>'Dec 16 - Dec 31'!E35</f>
        <v>0</v>
      </c>
      <c r="F19" s="182">
        <f>'Dec 16 - Dec 31'!F35</f>
        <v>0</v>
      </c>
      <c r="G19" s="184">
        <f>'Dec 16 - Dec 31'!G35</f>
        <v>0</v>
      </c>
      <c r="H19" s="182">
        <f>'Dec 16 - Dec 31'!H35</f>
        <v>0</v>
      </c>
      <c r="I19" s="182">
        <f>'Dec 16 - Dec 31'!I35</f>
        <v>0</v>
      </c>
      <c r="J19" s="185">
        <f>'Dec 16 - Dec 31'!J35</f>
        <v>0</v>
      </c>
      <c r="K19" s="185">
        <f>'Dec 16 - Dec 31'!K35</f>
        <v>0</v>
      </c>
      <c r="L19" s="186">
        <f>'Dec 16 - Dec 31'!L35</f>
        <v>0</v>
      </c>
      <c r="M19" s="182">
        <f>'Dec 16 - Dec 31'!M35</f>
        <v>0</v>
      </c>
      <c r="N19" s="182">
        <f>'Dec 16 - Dec 31'!N35</f>
        <v>0</v>
      </c>
      <c r="O19" s="183">
        <f t="shared" si="34"/>
        <v>0</v>
      </c>
      <c r="P19" s="50" t="str">
        <f t="shared" si="23"/>
        <v/>
      </c>
      <c r="Q19" s="51"/>
      <c r="R19" s="50" t="str">
        <f t="shared" si="24"/>
        <v/>
      </c>
      <c r="S19" s="52"/>
      <c r="T19" s="52"/>
      <c r="U19" s="149">
        <f t="shared" si="35"/>
        <v>0</v>
      </c>
      <c r="V19" s="150">
        <f t="shared" si="25"/>
        <v>0</v>
      </c>
      <c r="W19" s="50"/>
      <c r="X19" s="49" t="str">
        <f>IF(ISNA(INDEX('Conversion Factors'!$B$6:$B$371,MATCH('Jan 1 - Jan 15'!$Z$14:$Z$20,'Conversion Factors'!$A$6:$A$371,0))),"",INDEX('Conversion Factors'!$B$6:$B$371,MATCH('Jan 1 - Jan 15'!$Z$14:$Z$20,'Conversion Factors'!$A$6:$A$371,0)))</f>
        <v/>
      </c>
      <c r="Z19" s="18" t="b">
        <f t="shared" si="1"/>
        <v>0</v>
      </c>
      <c r="AA19" s="57">
        <f t="shared" si="2"/>
        <v>0</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44562</v>
      </c>
      <c r="B20" s="238"/>
      <c r="C20" s="239"/>
      <c r="D20" s="32" t="s">
        <v>29</v>
      </c>
      <c r="E20" s="176">
        <v>8</v>
      </c>
      <c r="F20" s="176"/>
      <c r="G20" s="177"/>
      <c r="H20" s="176"/>
      <c r="I20" s="176"/>
      <c r="J20" s="178"/>
      <c r="K20" s="178"/>
      <c r="L20" s="179"/>
      <c r="M20" s="176"/>
      <c r="N20" s="176"/>
      <c r="O20" s="110">
        <f>SUM(E20:N20)-J20</f>
        <v>8</v>
      </c>
      <c r="P20" s="50" t="str">
        <f t="shared" si="23"/>
        <v/>
      </c>
      <c r="Q20" s="52"/>
      <c r="R20" s="50" t="str">
        <f t="shared" si="24"/>
        <v/>
      </c>
      <c r="S20" s="52"/>
      <c r="T20" s="52"/>
      <c r="U20" s="149">
        <f t="shared" si="35"/>
        <v>0</v>
      </c>
      <c r="V20" s="150">
        <f t="shared" si="25"/>
        <v>0</v>
      </c>
      <c r="W20" s="50"/>
      <c r="X20" s="49">
        <f>IF(ISNA(INDEX('Conversion Factors'!$B$6:$B$371,MATCH('Jan 1 - Jan 15'!$Z$14:$Z$20,'Conversion Factors'!$A$6:$A$371,0))),"",INDEX('Conversion Factors'!$B$6:$B$371,MATCH('Jan 1 - Jan 15'!$Z$14:$Z$20,'Conversion Factors'!$A$6:$A$371,0)))</f>
        <v>8.6669999999999998</v>
      </c>
      <c r="Z20" s="18">
        <f t="shared" si="1"/>
        <v>44562</v>
      </c>
      <c r="AA20" s="57" t="str">
        <f t="shared" si="2"/>
        <v/>
      </c>
      <c r="AB20" s="57" t="str">
        <f t="shared" si="3"/>
        <v/>
      </c>
      <c r="AH20" s="71">
        <f t="shared" si="26"/>
        <v>8</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32</v>
      </c>
      <c r="BJ20" s="161">
        <f t="shared" si="18"/>
        <v>0</v>
      </c>
      <c r="BK20" s="161">
        <f t="shared" si="19"/>
        <v>0</v>
      </c>
      <c r="BL20" s="161">
        <f>SUM(E14:E20)</f>
        <v>8</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8</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8</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44563</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Factors'!$B$6:$B$371,MATCH('Jan 1 - Jan 15'!$Z$22:$Z$28,'Conversion Factors'!$A$6:$A$371,0))),"",INDEX('Conversion Factors'!$B$6:$B$371,MATCH('Jan 1 - Jan 15'!$Z$22:$Z$28,'Conversion Factors'!$A$6:$A$371,0)))</f>
        <v>8.6669999999999998</v>
      </c>
      <c r="Z22" s="17">
        <f t="shared" ref="Z22:Z28" si="42">A22</f>
        <v>44563</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44564</v>
      </c>
      <c r="B23" s="226"/>
      <c r="C23" s="227"/>
      <c r="D23" s="32" t="s">
        <v>24</v>
      </c>
      <c r="E23" s="176">
        <v>10</v>
      </c>
      <c r="F23" s="176"/>
      <c r="G23" s="177">
        <v>8</v>
      </c>
      <c r="H23" s="176"/>
      <c r="I23" s="176"/>
      <c r="J23" s="178"/>
      <c r="K23" s="178"/>
      <c r="L23" s="179"/>
      <c r="M23" s="176"/>
      <c r="N23" s="176"/>
      <c r="O23" s="110">
        <f>SUM(E23:N23)-J23</f>
        <v>18</v>
      </c>
      <c r="P23" s="50" t="str">
        <f t="shared" ref="P23:P28" si="65">IF(AND(ISNUMBER(AA23),ISNUMBER(X23)),AA23*X23,"")</f>
        <v/>
      </c>
      <c r="Q23" s="51"/>
      <c r="R23" s="50" t="str">
        <f t="shared" ref="R23:R28" si="66">IF(AND(ISNUMBER(AB23),ISNUMBER(X23)),AB23*X23,"")</f>
        <v/>
      </c>
      <c r="S23" s="52"/>
      <c r="T23" s="52"/>
      <c r="U23" s="149">
        <f t="shared" si="35"/>
        <v>8</v>
      </c>
      <c r="V23" s="150">
        <f t="shared" ref="V23:V28" si="67">IF(BK23&gt;0,BK23,0)</f>
        <v>0</v>
      </c>
      <c r="W23" s="50"/>
      <c r="X23" s="49">
        <f>IF(ISNA(INDEX('Conversion Factors'!$B$6:$B$371,MATCH('Jan 1 - Jan 15'!$Z$22:$Z$28,'Conversion Factors'!$A$6:$A$371,0))),"",INDEX('Conversion Factors'!$B$6:$B$371,MATCH('Jan 1 - Jan 15'!$Z$22:$Z$28,'Conversion Factors'!$A$6:$A$371,0)))</f>
        <v>8.6669999999999998</v>
      </c>
      <c r="Z23" s="17">
        <f t="shared" si="42"/>
        <v>44564</v>
      </c>
      <c r="AA23" s="57" t="str">
        <f t="shared" si="43"/>
        <v/>
      </c>
      <c r="AB23" s="57" t="str">
        <f t="shared" si="44"/>
        <v/>
      </c>
      <c r="AH23" s="71">
        <f t="shared" si="45"/>
        <v>10</v>
      </c>
      <c r="AI23" s="68">
        <f>IF(AH23&gt;$AI$12,AH23-($AI$12+AI22+AI21),0)</f>
        <v>0</v>
      </c>
      <c r="AJ23" s="145" t="b">
        <f t="shared" si="46"/>
        <v>0</v>
      </c>
      <c r="AK23" s="151">
        <f t="shared" ref="AK23:AK28" si="68">IF(AND(AO23&gt;0,AO23),IF(AP23&gt;0,AP23,IF(AQ23&gt;0,AQ23,IF(AR23&gt;0,AR23,IF(AU23&gt;0,AU23,0)))))</f>
        <v>8</v>
      </c>
      <c r="AM23" s="147">
        <f t="shared" si="47"/>
        <v>0</v>
      </c>
      <c r="AO23" s="162" t="str">
        <f t="shared" si="48"/>
        <v/>
      </c>
      <c r="AP23" s="162">
        <f t="shared" si="49"/>
        <v>0</v>
      </c>
      <c r="AQ23" s="153">
        <f t="shared" si="50"/>
        <v>8</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1</v>
      </c>
      <c r="BI23" s="161">
        <f t="shared" si="59"/>
        <v>30</v>
      </c>
      <c r="BJ23" s="161">
        <f t="shared" si="60"/>
        <v>8</v>
      </c>
      <c r="BK23" s="161">
        <f>IF(AND(BH23=1,BL23&gt;40,E23&lt;G23),E23-BJ23,(IF(AND(BH23=1,BL23&gt;0,E23&gt;=G23),G23-BJ23,0)))</f>
        <v>0</v>
      </c>
      <c r="BL23" s="161">
        <f>SUM(E22:E23)</f>
        <v>10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44565</v>
      </c>
      <c r="B24" s="226"/>
      <c r="C24" s="227"/>
      <c r="D24" s="32" t="s">
        <v>25</v>
      </c>
      <c r="E24" s="176">
        <v>4</v>
      </c>
      <c r="F24" s="176"/>
      <c r="G24" s="177"/>
      <c r="H24" s="176"/>
      <c r="I24" s="176"/>
      <c r="J24" s="178"/>
      <c r="K24" s="178"/>
      <c r="L24" s="179"/>
      <c r="M24" s="176"/>
      <c r="N24" s="176">
        <v>4</v>
      </c>
      <c r="O24" s="110">
        <f t="shared" ref="O24:O27" si="74">SUM(E24:N24)-J24</f>
        <v>8</v>
      </c>
      <c r="P24" s="50">
        <f t="shared" si="65"/>
        <v>4.3334999999999999</v>
      </c>
      <c r="Q24" s="51"/>
      <c r="R24" s="50" t="str">
        <f t="shared" si="66"/>
        <v/>
      </c>
      <c r="S24" s="52"/>
      <c r="T24" s="52"/>
      <c r="U24" s="149">
        <f t="shared" si="35"/>
        <v>0</v>
      </c>
      <c r="V24" s="150">
        <f t="shared" si="67"/>
        <v>0</v>
      </c>
      <c r="W24" s="50"/>
      <c r="X24" s="49">
        <f>IF(ISNA(INDEX('Conversion Factors'!$B$6:$B$371,MATCH('Jan 1 - Jan 15'!$Z$22:$Z$28,'Conversion Factors'!$A$6:$A$371,0))),"",INDEX('Conversion Factors'!$B$6:$B$371,MATCH('Jan 1 - Jan 15'!$Z$22:$Z$28,'Conversion Factors'!$A$6:$A$371,0)))</f>
        <v>8.6669999999999998</v>
      </c>
      <c r="Z24" s="17">
        <f t="shared" si="42"/>
        <v>44565</v>
      </c>
      <c r="AA24" s="57">
        <f t="shared" si="43"/>
        <v>0.5</v>
      </c>
      <c r="AB24" s="57" t="str">
        <f t="shared" si="44"/>
        <v/>
      </c>
      <c r="AG24" s="1"/>
      <c r="AH24" s="71">
        <f t="shared" si="45"/>
        <v>14</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30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30</v>
      </c>
      <c r="BF24" s="159">
        <f t="shared" si="72"/>
        <v>0</v>
      </c>
      <c r="BG24" s="160"/>
      <c r="BH24" s="160">
        <f t="shared" ref="BH24:BH28" si="76">IF(AND(G24&gt;0,E24&gt;0),1,0)</f>
        <v>0</v>
      </c>
      <c r="BI24" s="161">
        <f t="shared" si="59"/>
        <v>26</v>
      </c>
      <c r="BJ24" s="161">
        <f t="shared" si="60"/>
        <v>0</v>
      </c>
      <c r="BK24" s="161">
        <f t="shared" si="61"/>
        <v>0</v>
      </c>
      <c r="BL24" s="161">
        <f>SUM(E22:E24)</f>
        <v>14</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44566</v>
      </c>
      <c r="B25" s="226"/>
      <c r="C25" s="227"/>
      <c r="D25" s="32" t="s">
        <v>26</v>
      </c>
      <c r="E25" s="176">
        <v>10</v>
      </c>
      <c r="F25" s="176"/>
      <c r="G25" s="177"/>
      <c r="H25" s="176"/>
      <c r="I25" s="176"/>
      <c r="J25" s="178"/>
      <c r="K25" s="178"/>
      <c r="L25" s="179"/>
      <c r="M25" s="176"/>
      <c r="N25" s="176"/>
      <c r="O25" s="110">
        <f t="shared" si="74"/>
        <v>10</v>
      </c>
      <c r="P25" s="50" t="str">
        <f t="shared" si="65"/>
        <v/>
      </c>
      <c r="Q25" s="51"/>
      <c r="R25" s="50" t="str">
        <f t="shared" si="66"/>
        <v/>
      </c>
      <c r="S25" s="52"/>
      <c r="T25" s="52"/>
      <c r="U25" s="149">
        <f t="shared" si="35"/>
        <v>0</v>
      </c>
      <c r="V25" s="150">
        <f t="shared" si="67"/>
        <v>0</v>
      </c>
      <c r="W25" s="50"/>
      <c r="X25" s="49">
        <f>IF(ISNA(INDEX('Conversion Factors'!$B$6:$B$371,MATCH('Jan 1 - Jan 15'!$Z$22:$Z$28,'Conversion Factors'!$A$6:$A$371,0))),"",INDEX('Conversion Factors'!$B$6:$B$371,MATCH('Jan 1 - Jan 15'!$Z$22:$Z$28,'Conversion Factors'!$A$6:$A$371,0)))</f>
        <v>8.6669999999999998</v>
      </c>
      <c r="Z25" s="17">
        <f t="shared" si="42"/>
        <v>44566</v>
      </c>
      <c r="AA25" s="57" t="str">
        <f t="shared" si="43"/>
        <v/>
      </c>
      <c r="AB25" s="57" t="str">
        <f t="shared" si="44"/>
        <v/>
      </c>
      <c r="AG25" s="1"/>
      <c r="AH25" s="71">
        <f t="shared" si="45"/>
        <v>24</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26</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26</v>
      </c>
      <c r="BF25" s="159">
        <f t="shared" si="72"/>
        <v>0</v>
      </c>
      <c r="BG25" s="160"/>
      <c r="BH25" s="160">
        <f t="shared" si="76"/>
        <v>0</v>
      </c>
      <c r="BI25" s="161">
        <f t="shared" si="59"/>
        <v>16</v>
      </c>
      <c r="BJ25" s="161">
        <f t="shared" si="60"/>
        <v>0</v>
      </c>
      <c r="BK25" s="161">
        <f t="shared" si="61"/>
        <v>0</v>
      </c>
      <c r="BL25" s="161">
        <f>SUM(E22:E25)</f>
        <v>24</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44567</v>
      </c>
      <c r="B26" s="226"/>
      <c r="C26" s="227"/>
      <c r="D26" s="32" t="s">
        <v>27</v>
      </c>
      <c r="E26" s="176">
        <v>10</v>
      </c>
      <c r="F26" s="176"/>
      <c r="G26" s="177"/>
      <c r="H26" s="176"/>
      <c r="I26" s="176"/>
      <c r="J26" s="178"/>
      <c r="K26" s="178"/>
      <c r="L26" s="179"/>
      <c r="M26" s="176"/>
      <c r="N26" s="176"/>
      <c r="O26" s="110">
        <f t="shared" si="74"/>
        <v>10</v>
      </c>
      <c r="P26" s="50" t="str">
        <f t="shared" si="65"/>
        <v/>
      </c>
      <c r="Q26" s="51"/>
      <c r="R26" s="50" t="str">
        <f t="shared" si="66"/>
        <v/>
      </c>
      <c r="S26" s="52"/>
      <c r="T26" s="52"/>
      <c r="U26" s="149">
        <f t="shared" si="35"/>
        <v>0</v>
      </c>
      <c r="V26" s="150">
        <f t="shared" si="67"/>
        <v>0</v>
      </c>
      <c r="W26" s="50"/>
      <c r="X26" s="49">
        <f>IF(ISNA(INDEX('Conversion Factors'!$B$6:$B$371,MATCH('Jan 1 - Jan 15'!$Z$22:$Z$28,'Conversion Factors'!$A$6:$A$371,0))),"",INDEX('Conversion Factors'!$B$6:$B$371,MATCH('Jan 1 - Jan 15'!$Z$22:$Z$28,'Conversion Factors'!$A$6:$A$371,0)))</f>
        <v>8.6669999999999998</v>
      </c>
      <c r="Z26" s="17">
        <f t="shared" si="42"/>
        <v>44567</v>
      </c>
      <c r="AA26" s="57" t="str">
        <f t="shared" si="43"/>
        <v/>
      </c>
      <c r="AB26" s="57" t="str">
        <f t="shared" si="44"/>
        <v/>
      </c>
      <c r="AH26" s="71">
        <f t="shared" si="45"/>
        <v>34</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16</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16</v>
      </c>
      <c r="BF26" s="159">
        <f t="shared" si="72"/>
        <v>0</v>
      </c>
      <c r="BG26" s="160"/>
      <c r="BH26" s="160">
        <f t="shared" si="76"/>
        <v>0</v>
      </c>
      <c r="BI26" s="161">
        <f t="shared" si="59"/>
        <v>6</v>
      </c>
      <c r="BJ26" s="161">
        <f t="shared" si="60"/>
        <v>0</v>
      </c>
      <c r="BK26" s="161">
        <f t="shared" si="61"/>
        <v>0</v>
      </c>
      <c r="BL26" s="161">
        <f>SUM(E22:E26)</f>
        <v>34</v>
      </c>
      <c r="BM26" s="160">
        <f t="shared" si="73"/>
        <v>0</v>
      </c>
      <c r="BN26" s="161">
        <f t="shared" si="77"/>
        <v>0</v>
      </c>
      <c r="BO26" s="161">
        <f t="shared" si="78"/>
        <v>0</v>
      </c>
      <c r="BP26" s="161">
        <f t="shared" si="63"/>
        <v>0</v>
      </c>
      <c r="BQ26" s="160"/>
    </row>
    <row r="27" spans="1:69" ht="15" customHeight="1">
      <c r="A27" s="225">
        <f t="shared" si="64"/>
        <v>44568</v>
      </c>
      <c r="B27" s="226"/>
      <c r="C27" s="227"/>
      <c r="D27" s="32" t="s">
        <v>28</v>
      </c>
      <c r="E27" s="176">
        <v>10</v>
      </c>
      <c r="F27" s="176"/>
      <c r="G27" s="177"/>
      <c r="H27" s="176"/>
      <c r="I27" s="176"/>
      <c r="J27" s="178"/>
      <c r="K27" s="178"/>
      <c r="L27" s="179"/>
      <c r="M27" s="176"/>
      <c r="N27" s="176"/>
      <c r="O27" s="110">
        <f t="shared" si="74"/>
        <v>10</v>
      </c>
      <c r="P27" s="50" t="str">
        <f t="shared" si="65"/>
        <v/>
      </c>
      <c r="Q27" s="51"/>
      <c r="R27" s="50" t="str">
        <f t="shared" si="66"/>
        <v/>
      </c>
      <c r="S27" s="52"/>
      <c r="T27" s="52"/>
      <c r="U27" s="149">
        <f t="shared" si="35"/>
        <v>0</v>
      </c>
      <c r="V27" s="150">
        <f t="shared" si="67"/>
        <v>0</v>
      </c>
      <c r="W27" s="50"/>
      <c r="X27" s="49">
        <f>IF(ISNA(INDEX('Conversion Factors'!$B$6:$B$371,MATCH('Jan 1 - Jan 15'!$Z$22:$Z$28,'Conversion Factors'!$A$6:$A$371,0))),"",INDEX('Conversion Factors'!$B$6:$B$371,MATCH('Jan 1 - Jan 15'!$Z$22:$Z$28,'Conversion Factors'!$A$6:$A$371,0)))</f>
        <v>8.6669999999999998</v>
      </c>
      <c r="Z27" s="17">
        <f t="shared" si="42"/>
        <v>44568</v>
      </c>
      <c r="AA27" s="57" t="str">
        <f t="shared" si="43"/>
        <v/>
      </c>
      <c r="AB27" s="57" t="str">
        <f t="shared" si="44"/>
        <v/>
      </c>
      <c r="AH27" s="71">
        <f t="shared" si="45"/>
        <v>44</v>
      </c>
      <c r="AI27" s="68">
        <f>IF(AH27&gt;$AI$12,AH27-($AI$12+AI26+AI25+AI24+AI23+AI22+AI21),0)</f>
        <v>4</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6</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6</v>
      </c>
      <c r="BF27" s="159">
        <f t="shared" si="72"/>
        <v>0</v>
      </c>
      <c r="BG27" s="160"/>
      <c r="BH27" s="160">
        <f t="shared" si="76"/>
        <v>0</v>
      </c>
      <c r="BI27" s="161">
        <f t="shared" si="59"/>
        <v>-4</v>
      </c>
      <c r="BJ27" s="161">
        <f t="shared" si="60"/>
        <v>0</v>
      </c>
      <c r="BK27" s="161">
        <f t="shared" si="61"/>
        <v>0</v>
      </c>
      <c r="BL27" s="161">
        <f>SUM(E22:E27)</f>
        <v>44</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44569</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Factors'!$B$6:$B$371,MATCH('Jan 1 - Jan 15'!$Z$22:$Z$28,'Conversion Factors'!$A$6:$A$371,0))),"",INDEX('Conversion Factors'!$B$6:$B$371,MATCH('Jan 1 - Jan 15'!$Z$22:$Z$28,'Conversion Factors'!$A$6:$A$371,0)))</f>
        <v>8.6669999999999998</v>
      </c>
      <c r="Z28" s="17">
        <f t="shared" si="42"/>
        <v>44569</v>
      </c>
      <c r="AA28" s="57" t="str">
        <f t="shared" si="43"/>
        <v/>
      </c>
      <c r="AB28" s="57" t="str">
        <f t="shared" si="44"/>
        <v/>
      </c>
      <c r="AH28" s="71">
        <f t="shared" si="45"/>
        <v>44</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0</v>
      </c>
      <c r="BF28" s="159">
        <f t="shared" si="72"/>
        <v>0</v>
      </c>
      <c r="BG28" s="160"/>
      <c r="BH28" s="160">
        <f t="shared" si="76"/>
        <v>0</v>
      </c>
      <c r="BI28" s="161">
        <f t="shared" si="59"/>
        <v>-4</v>
      </c>
      <c r="BJ28" s="161">
        <f t="shared" si="60"/>
        <v>0</v>
      </c>
      <c r="BK28" s="161">
        <f t="shared" si="61"/>
        <v>0</v>
      </c>
      <c r="BL28" s="161">
        <f>SUM(E22:E28)</f>
        <v>44</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44</v>
      </c>
      <c r="F29" s="34">
        <f t="shared" si="80"/>
        <v>0</v>
      </c>
      <c r="G29" s="76">
        <f t="shared" si="80"/>
        <v>8</v>
      </c>
      <c r="H29" s="34">
        <f t="shared" si="80"/>
        <v>0</v>
      </c>
      <c r="I29" s="34">
        <f t="shared" si="80"/>
        <v>0</v>
      </c>
      <c r="J29" s="74"/>
      <c r="K29" s="74">
        <f t="shared" si="80"/>
        <v>0</v>
      </c>
      <c r="L29" s="34">
        <f t="shared" si="80"/>
        <v>0</v>
      </c>
      <c r="M29" s="34">
        <f t="shared" si="80"/>
        <v>0</v>
      </c>
      <c r="N29" s="34">
        <f t="shared" si="80"/>
        <v>4</v>
      </c>
      <c r="O29" s="34">
        <f>SUM(O22:O28)</f>
        <v>56</v>
      </c>
      <c r="P29" s="89">
        <f>-SUM(P22:P28)</f>
        <v>-4.3334999999999999</v>
      </c>
      <c r="Q29" s="34">
        <f>SUM(Q22:Q28)</f>
        <v>0</v>
      </c>
      <c r="R29" s="46">
        <f>SUM(R22:R28)</f>
        <v>0</v>
      </c>
      <c r="S29" s="34">
        <f>IF(E29&gt;40,(E29-40)-V29,0)</f>
        <v>4</v>
      </c>
      <c r="T29" s="34">
        <f>MROUND(AL29,0.25)</f>
        <v>6</v>
      </c>
      <c r="U29" s="164">
        <f>SUM(U22:U28)</f>
        <v>8</v>
      </c>
      <c r="V29" s="165">
        <f>SUM(V22:V28)</f>
        <v>0</v>
      </c>
      <c r="W29" s="44">
        <f>IF(E29-(E11-(G29+K29+F29+H29+I29+L29+M29))-(S29+U29+V29)&gt;0,E29-(E11-(G29+K29+F29+H29+I29+L29+M29))-(S29+U29+V29),0)</f>
        <v>0</v>
      </c>
      <c r="X29" s="34"/>
      <c r="Z29" s="85"/>
      <c r="AA29" s="85"/>
      <c r="AB29" s="85"/>
      <c r="AC29" s="80">
        <f>SUM(F29:N29)</f>
        <v>12</v>
      </c>
      <c r="AD29" s="81">
        <f>IF(AND(AG29&lt;40,O29&gt;=AG29),O29-(AG29+S29),IF(AND(O29&lt;AG29,E29=O29),O29-E29,IF(AND(E29&gt;AG29,E29&lt;40),E29-AG29,IF(AND(O29&gt;AG29,E29&lt;AG29),E29-(AG29-AC29),IF(AND(O29&gt;AG29,E29&gt;40),E29-(AG29-AC29+S29),IF(AND(O29&gt;AG29,O29&gt;40),O29-(S29+AG29),0))))))</f>
        <v>12</v>
      </c>
      <c r="AE29" s="166">
        <f>AD29-U29-V29</f>
        <v>4</v>
      </c>
      <c r="AF29" s="79" t="str">
        <f>$W$11</f>
        <v>Yes</v>
      </c>
      <c r="AG29" s="82">
        <f>$E$11</f>
        <v>40</v>
      </c>
      <c r="AH29" s="83"/>
      <c r="AI29" s="84">
        <f>IF(AH29&gt;$AI$12,-$AI$12,0)</f>
        <v>0</v>
      </c>
      <c r="AJ29" s="80"/>
      <c r="AK29" s="79"/>
      <c r="AL29" s="34">
        <f>IF(AF29="Yes",S29*1.5,0)</f>
        <v>6</v>
      </c>
      <c r="BG29" s="160"/>
      <c r="BH29" s="160"/>
      <c r="BI29" s="160"/>
      <c r="BJ29" s="160"/>
      <c r="BK29" s="160"/>
      <c r="BL29" s="160"/>
      <c r="BM29" s="160"/>
      <c r="BN29" s="160"/>
      <c r="BO29" s="160"/>
      <c r="BP29" s="161">
        <f>SUM(BP22:BP28)</f>
        <v>0</v>
      </c>
      <c r="BQ29" s="161">
        <f>U29+E11</f>
        <v>48</v>
      </c>
    </row>
    <row r="30" spans="1:69" ht="15" customHeight="1" thickTop="1">
      <c r="A30" s="225">
        <f>IF(A28&lt;$O$7,A28+1,IF(A28=$O$7,""))</f>
        <v>44570</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Factors'!$B$6:$B$370,MATCH('Jan 1 - Jan 15'!$Z$30:$Z$36,'Conversion Factors'!$A$6:$A$370,0))),"",INDEX('Conversion Factors'!$B$6:$B$370,MATCH('Jan 1 - Jan 15'!$Z$30:$Z$36,'Conversion Factors'!$A$6:$A$370,0)))</f>
        <v>8.6669999999999998</v>
      </c>
      <c r="Z30" s="17">
        <f t="shared" ref="Z30:Z36" si="81">A30</f>
        <v>44570</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44571</v>
      </c>
      <c r="B31" s="226"/>
      <c r="C31" s="227"/>
      <c r="D31" s="32" t="s">
        <v>24</v>
      </c>
      <c r="E31" s="176">
        <v>10</v>
      </c>
      <c r="F31" s="176"/>
      <c r="G31" s="177"/>
      <c r="H31" s="176"/>
      <c r="I31" s="176"/>
      <c r="J31" s="178"/>
      <c r="K31" s="178"/>
      <c r="L31" s="179"/>
      <c r="M31" s="176"/>
      <c r="N31" s="176"/>
      <c r="O31" s="110">
        <f t="shared" ref="O31:O36" si="105">SUM(E31:N31)-J31</f>
        <v>10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Factors'!$B$6:$B$370,MATCH('Jan 1 - Jan 15'!$Z$30:$Z$36,'Conversion Factors'!$A$6:$A$370,0))),"",INDEX('Conversion Factors'!$B$6:$B$370,MATCH('Jan 1 - Jan 15'!$Z$30:$Z$36,'Conversion Factors'!$A$6:$A$370,0)))</f>
        <v>8.6669999999999998</v>
      </c>
      <c r="Z31" s="17">
        <f t="shared" si="81"/>
        <v>44571</v>
      </c>
      <c r="AA31" s="57" t="str">
        <f t="shared" si="82"/>
        <v/>
      </c>
      <c r="AB31" s="57" t="str">
        <f t="shared" si="83"/>
        <v/>
      </c>
      <c r="AH31" s="71">
        <f t="shared" si="84"/>
        <v>10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30</v>
      </c>
      <c r="BJ31" s="161">
        <f t="shared" si="100"/>
        <v>0</v>
      </c>
      <c r="BK31" s="161">
        <f t="shared" si="101"/>
        <v>0</v>
      </c>
      <c r="BL31" s="161">
        <f>SUM(E30:E31)</f>
        <v>10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44572</v>
      </c>
      <c r="B32" s="226"/>
      <c r="C32" s="227"/>
      <c r="D32" s="32" t="s">
        <v>25</v>
      </c>
      <c r="E32" s="176"/>
      <c r="F32" s="176"/>
      <c r="G32" s="177"/>
      <c r="H32" s="176"/>
      <c r="I32" s="176"/>
      <c r="J32" s="178"/>
      <c r="K32" s="178"/>
      <c r="L32" s="179"/>
      <c r="M32" s="176"/>
      <c r="N32" s="176"/>
      <c r="O32" s="110">
        <f t="shared" si="105"/>
        <v>0</v>
      </c>
      <c r="P32" s="50" t="str">
        <f t="shared" si="106"/>
        <v/>
      </c>
      <c r="Q32" s="51">
        <v>10</v>
      </c>
      <c r="R32" s="50">
        <f t="shared" si="107"/>
        <v>10.83375</v>
      </c>
      <c r="S32" s="52"/>
      <c r="T32" s="52"/>
      <c r="U32" s="149">
        <f t="shared" si="35"/>
        <v>0</v>
      </c>
      <c r="V32" s="150">
        <f t="shared" si="108"/>
        <v>0</v>
      </c>
      <c r="W32" s="50"/>
      <c r="X32" s="49">
        <f>IF(ISNA(INDEX('Conversion Factors'!$B$6:$B$370,MATCH('Jan 1 - Jan 15'!$Z$30:$Z$36,'Conversion Factors'!$A$6:$A$370,0))),"",INDEX('Conversion Factors'!$B$6:$B$370,MATCH('Jan 1 - Jan 15'!$Z$30:$Z$36,'Conversion Factors'!$A$6:$A$370,0)))</f>
        <v>8.6669999999999998</v>
      </c>
      <c r="Z32" s="17">
        <f t="shared" si="81"/>
        <v>44572</v>
      </c>
      <c r="AA32" s="57" t="str">
        <f t="shared" si="82"/>
        <v/>
      </c>
      <c r="AB32" s="57">
        <f t="shared" si="83"/>
        <v>1.25</v>
      </c>
      <c r="AG32" s="1"/>
      <c r="AH32" s="71">
        <f t="shared" si="84"/>
        <v>10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30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30</v>
      </c>
      <c r="BF32" s="159">
        <f t="shared" si="113"/>
        <v>0</v>
      </c>
      <c r="BG32" s="160"/>
      <c r="BH32" s="160">
        <f>IF(AND(G32&gt;0,E32&gt;0),1,0)</f>
        <v>0</v>
      </c>
      <c r="BI32" s="161">
        <f t="shared" si="99"/>
        <v>30</v>
      </c>
      <c r="BJ32" s="161">
        <f t="shared" si="100"/>
        <v>0</v>
      </c>
      <c r="BK32" s="161">
        <f t="shared" si="101"/>
        <v>0</v>
      </c>
      <c r="BL32" s="161">
        <f>SUM(E30:E32)</f>
        <v>10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44573</v>
      </c>
      <c r="B33" s="226"/>
      <c r="C33" s="227"/>
      <c r="D33" s="32" t="s">
        <v>26</v>
      </c>
      <c r="E33" s="176">
        <v>8</v>
      </c>
      <c r="F33" s="176"/>
      <c r="G33" s="177"/>
      <c r="H33" s="176"/>
      <c r="I33" s="176"/>
      <c r="J33" s="178"/>
      <c r="K33" s="178"/>
      <c r="L33" s="179"/>
      <c r="M33" s="176"/>
      <c r="N33" s="176"/>
      <c r="O33" s="110">
        <f t="shared" si="105"/>
        <v>8</v>
      </c>
      <c r="P33" s="50" t="str">
        <f t="shared" si="106"/>
        <v/>
      </c>
      <c r="Q33" s="51"/>
      <c r="R33" s="50" t="str">
        <f t="shared" si="107"/>
        <v/>
      </c>
      <c r="S33" s="52"/>
      <c r="T33" s="52"/>
      <c r="U33" s="149">
        <f t="shared" si="35"/>
        <v>0</v>
      </c>
      <c r="V33" s="150">
        <f t="shared" si="108"/>
        <v>0</v>
      </c>
      <c r="W33" s="50"/>
      <c r="X33" s="49">
        <f>IF(ISNA(INDEX('Conversion Factors'!$B$6:$B$370,MATCH('Jan 1 - Jan 15'!$Z$30:$Z$36,'Conversion Factors'!$A$6:$A$370,0))),"",INDEX('Conversion Factors'!$B$6:$B$370,MATCH('Jan 1 - Jan 15'!$Z$30:$Z$36,'Conversion Factors'!$A$6:$A$370,0)))</f>
        <v>8.6669999999999998</v>
      </c>
      <c r="Z33" s="17">
        <f t="shared" si="81"/>
        <v>44573</v>
      </c>
      <c r="AA33" s="57" t="str">
        <f t="shared" si="82"/>
        <v/>
      </c>
      <c r="AB33" s="57" t="str">
        <f t="shared" si="83"/>
        <v/>
      </c>
      <c r="AG33" s="1"/>
      <c r="AH33" s="71">
        <f t="shared" si="84"/>
        <v>18</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30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30</v>
      </c>
      <c r="BF33" s="159">
        <f t="shared" si="113"/>
        <v>0</v>
      </c>
      <c r="BG33" s="160"/>
      <c r="BH33" s="160">
        <f t="shared" ref="BH33:BH37" si="116">IF(AND(G33&gt;0,E33&gt;0),1,0)</f>
        <v>0</v>
      </c>
      <c r="BI33" s="161">
        <f t="shared" si="99"/>
        <v>22</v>
      </c>
      <c r="BJ33" s="161">
        <f t="shared" si="100"/>
        <v>0</v>
      </c>
      <c r="BK33" s="161">
        <f t="shared" si="101"/>
        <v>0</v>
      </c>
      <c r="BL33" s="161">
        <f>SUM(E30:E33)</f>
        <v>18</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44574</v>
      </c>
      <c r="B34" s="226"/>
      <c r="C34" s="227"/>
      <c r="D34" s="32" t="s">
        <v>27</v>
      </c>
      <c r="E34" s="176">
        <v>8</v>
      </c>
      <c r="F34" s="176"/>
      <c r="G34" s="177"/>
      <c r="H34" s="176"/>
      <c r="I34" s="176"/>
      <c r="J34" s="178"/>
      <c r="K34" s="178"/>
      <c r="L34" s="179"/>
      <c r="M34" s="176"/>
      <c r="N34" s="176"/>
      <c r="O34" s="110">
        <f t="shared" si="105"/>
        <v>8</v>
      </c>
      <c r="P34" s="50" t="str">
        <f t="shared" si="106"/>
        <v/>
      </c>
      <c r="Q34" s="52"/>
      <c r="R34" s="50" t="str">
        <f t="shared" si="107"/>
        <v/>
      </c>
      <c r="S34" s="52"/>
      <c r="T34" s="52"/>
      <c r="U34" s="149">
        <f t="shared" si="35"/>
        <v>0</v>
      </c>
      <c r="V34" s="150">
        <f t="shared" si="108"/>
        <v>0</v>
      </c>
      <c r="W34" s="50"/>
      <c r="X34" s="49">
        <f>IF(ISNA(INDEX('Conversion Factors'!$B$6:$B$370,MATCH('Jan 1 - Jan 15'!$Z$30:$Z$36,'Conversion Factors'!$A$6:$A$370,0))),"",INDEX('Conversion Factors'!$B$6:$B$370,MATCH('Jan 1 - Jan 15'!$Z$30:$Z$36,'Conversion Factors'!$A$6:$A$370,0)))</f>
        <v>8.6669999999999998</v>
      </c>
      <c r="Z34" s="17">
        <f t="shared" si="81"/>
        <v>44574</v>
      </c>
      <c r="AA34" s="57" t="str">
        <f t="shared" si="82"/>
        <v/>
      </c>
      <c r="AB34" s="57" t="str">
        <f t="shared" si="83"/>
        <v/>
      </c>
      <c r="AH34" s="71">
        <f t="shared" si="84"/>
        <v>26</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22</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22</v>
      </c>
      <c r="BF34" s="159">
        <f t="shared" si="113"/>
        <v>0</v>
      </c>
      <c r="BG34" s="160"/>
      <c r="BH34" s="160">
        <f t="shared" si="116"/>
        <v>0</v>
      </c>
      <c r="BI34" s="161">
        <f t="shared" si="99"/>
        <v>14</v>
      </c>
      <c r="BJ34" s="161">
        <f t="shared" si="100"/>
        <v>0</v>
      </c>
      <c r="BK34" s="161">
        <f t="shared" si="101"/>
        <v>0</v>
      </c>
      <c r="BL34" s="161">
        <f>SUM(E30:E34)</f>
        <v>26</v>
      </c>
      <c r="BM34" s="160">
        <f t="shared" si="114"/>
        <v>0</v>
      </c>
      <c r="BN34" s="161">
        <f t="shared" si="117"/>
        <v>0</v>
      </c>
      <c r="BO34" s="161">
        <f t="shared" si="118"/>
        <v>0</v>
      </c>
      <c r="BP34" s="161">
        <f t="shared" si="103"/>
        <v>0</v>
      </c>
      <c r="BQ34" s="160"/>
    </row>
    <row r="35" spans="1:69" ht="15" customHeight="1">
      <c r="A35" s="225">
        <f t="shared" si="104"/>
        <v>44575</v>
      </c>
      <c r="B35" s="226"/>
      <c r="C35" s="227"/>
      <c r="D35" s="32" t="s">
        <v>28</v>
      </c>
      <c r="E35" s="176">
        <v>8</v>
      </c>
      <c r="F35" s="176"/>
      <c r="G35" s="177"/>
      <c r="H35" s="176"/>
      <c r="I35" s="176"/>
      <c r="J35" s="178"/>
      <c r="K35" s="178"/>
      <c r="L35" s="179"/>
      <c r="M35" s="176"/>
      <c r="N35" s="176"/>
      <c r="O35" s="110">
        <f t="shared" si="105"/>
        <v>8</v>
      </c>
      <c r="P35" s="50" t="str">
        <f t="shared" si="106"/>
        <v/>
      </c>
      <c r="Q35" s="52"/>
      <c r="R35" s="50" t="str">
        <f t="shared" si="107"/>
        <v/>
      </c>
      <c r="S35" s="52"/>
      <c r="T35" s="52"/>
      <c r="U35" s="149">
        <f t="shared" si="35"/>
        <v>0</v>
      </c>
      <c r="V35" s="150">
        <f t="shared" si="108"/>
        <v>0</v>
      </c>
      <c r="W35" s="50"/>
      <c r="X35" s="49">
        <f>IF(ISNA(INDEX('Conversion Factors'!$B$6:$B$370,MATCH('Jan 1 - Jan 15'!$Z$30:$Z$36,'Conversion Factors'!$A$6:$A$370,0))),"",INDEX('Conversion Factors'!$B$6:$B$370,MATCH('Jan 1 - Jan 15'!$Z$30:$Z$36,'Conversion Factors'!$A$6:$A$370,0)))</f>
        <v>8.6669999999999998</v>
      </c>
      <c r="Z35" s="17">
        <f t="shared" si="81"/>
        <v>44575</v>
      </c>
      <c r="AA35" s="57" t="str">
        <f t="shared" si="82"/>
        <v/>
      </c>
      <c r="AB35" s="57" t="str">
        <f t="shared" si="83"/>
        <v/>
      </c>
      <c r="AH35" s="71">
        <f t="shared" si="84"/>
        <v>34</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14</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14</v>
      </c>
      <c r="BF35" s="159">
        <f t="shared" si="113"/>
        <v>0</v>
      </c>
      <c r="BG35" s="160"/>
      <c r="BH35" s="160">
        <f t="shared" si="116"/>
        <v>0</v>
      </c>
      <c r="BI35" s="161">
        <f t="shared" si="99"/>
        <v>6</v>
      </c>
      <c r="BJ35" s="161">
        <f t="shared" si="100"/>
        <v>0</v>
      </c>
      <c r="BK35" s="161">
        <f t="shared" si="101"/>
        <v>0</v>
      </c>
      <c r="BL35" s="161">
        <f>SUM(E30:E35)</f>
        <v>34</v>
      </c>
      <c r="BM35" s="160">
        <f t="shared" si="114"/>
        <v>0</v>
      </c>
      <c r="BN35" s="161">
        <f t="shared" si="117"/>
        <v>0</v>
      </c>
      <c r="BO35" s="161">
        <f t="shared" si="118"/>
        <v>0</v>
      </c>
      <c r="BP35" s="161">
        <f>IF(AND(BM35=1,BL35&gt;40,J35&lt;=K35),J35-BO35,IF(AND(BM35=1,BL35&gt;0,J35&gt;K35),K35-BO35,0))</f>
        <v>0</v>
      </c>
      <c r="BQ35" s="160"/>
    </row>
    <row r="36" spans="1:69" ht="15" customHeight="1" thickBot="1">
      <c r="A36" s="225">
        <f t="shared" si="104"/>
        <v>44576</v>
      </c>
      <c r="B36" s="226"/>
      <c r="C36" s="227"/>
      <c r="D36" s="32" t="s">
        <v>29</v>
      </c>
      <c r="E36" s="176"/>
      <c r="F36" s="176"/>
      <c r="G36" s="177"/>
      <c r="H36" s="176"/>
      <c r="I36" s="176"/>
      <c r="J36" s="178"/>
      <c r="K36" s="178"/>
      <c r="L36" s="179"/>
      <c r="M36" s="176"/>
      <c r="N36" s="176"/>
      <c r="O36" s="110">
        <f t="shared" si="105"/>
        <v>0</v>
      </c>
      <c r="P36" s="50" t="str">
        <f t="shared" si="106"/>
        <v/>
      </c>
      <c r="Q36" s="52"/>
      <c r="R36" s="50" t="str">
        <f t="shared" si="107"/>
        <v/>
      </c>
      <c r="S36" s="52"/>
      <c r="T36" s="52"/>
      <c r="U36" s="149">
        <f t="shared" si="35"/>
        <v>0</v>
      </c>
      <c r="V36" s="150">
        <f t="shared" si="108"/>
        <v>0</v>
      </c>
      <c r="W36" s="50"/>
      <c r="X36" s="49">
        <f>IF(ISNA(INDEX('Conversion Factors'!$B$6:$B$370,MATCH('Jan 1 - Jan 15'!$Z$30:$Z$36,'Conversion Factors'!$A$6:$A$370,0))),"",INDEX('Conversion Factors'!$B$6:$B$370,MATCH('Jan 1 - Jan 15'!$Z$30:$Z$36,'Conversion Factors'!$A$6:$A$370,0)))</f>
        <v>8.6669999999999998</v>
      </c>
      <c r="Z36" s="17">
        <f t="shared" si="81"/>
        <v>44576</v>
      </c>
      <c r="AA36" s="57" t="str">
        <f t="shared" si="82"/>
        <v/>
      </c>
      <c r="AB36" s="57" t="str">
        <f t="shared" si="83"/>
        <v/>
      </c>
      <c r="AH36" s="71">
        <f t="shared" si="84"/>
        <v>34</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6</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6</v>
      </c>
      <c r="BF36" s="159">
        <f t="shared" si="113"/>
        <v>0</v>
      </c>
      <c r="BG36" s="160"/>
      <c r="BH36" s="160">
        <f t="shared" si="116"/>
        <v>0</v>
      </c>
      <c r="BI36" s="161">
        <f t="shared" si="99"/>
        <v>6</v>
      </c>
      <c r="BJ36" s="161">
        <f t="shared" si="100"/>
        <v>0</v>
      </c>
      <c r="BK36" s="161">
        <f t="shared" si="101"/>
        <v>0</v>
      </c>
      <c r="BL36" s="161">
        <f>SUM(E30:E36)</f>
        <v>34</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34</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34</v>
      </c>
      <c r="P37" s="89">
        <f>-SUM(P30:P36)</f>
        <v>0</v>
      </c>
      <c r="Q37" s="34">
        <f>SUM(Q30:Q36)</f>
        <v>10</v>
      </c>
      <c r="R37" s="46">
        <f>SUM(R30:R36)</f>
        <v>10.83375</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str">
        <f>IF(A36&lt;$O$7,A36+1,IF(A36=$O$7,""))</f>
        <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Factors'!$B$6:$B$370,MATCH('Jan 1 - Jan 15'!$Z$38:$Z$44,'Conversion Factors'!$A$6:$A$370,0))),"",INDEX('Conversion Factors'!$B$6:$B$370,MATCH('Jan 1 - Jan 15'!$Z$38:$Z$44,'Conversion Factors'!$A$6:$A$370,0)))</f>
        <v/>
      </c>
      <c r="Z38" s="17" t="str">
        <f t="shared" ref="Z38:Z44" si="121">A38</f>
        <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Factors'!$B$6:$B$370,MATCH('Jan 1 - Jan 15'!$Z$38:$Z$44,'Conversion Factors'!$A$6:$A$370,0))),"",INDEX('Conversion Factors'!$B$6:$B$370,MATCH('Jan 1 - Jan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Factors'!$B$6:$B$370,MATCH('Jan 1 - Jan 15'!$Z$38:$Z$44,'Conversion Factors'!$A$6:$A$370,0))),"",INDEX('Conversion Factors'!$B$6:$B$370,MATCH('Jan 1 - Jan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Factors'!$B$6:$B$370,MATCH('Jan 1 - Jan 15'!$Z$38:$Z$44,'Conversion Factors'!$A$6:$A$370,0))),"",INDEX('Conversion Factors'!$B$6:$B$370,MATCH('Jan 1 - Jan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Factors'!$B$6:$B$370,MATCH('Jan 1 - Jan 15'!$Z$38:$Z$44,'Conversion Factors'!$A$6:$A$370,0))),"",INDEX('Conversion Factors'!$B$6:$B$370,MATCH('Jan 1 - Jan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Factors'!$B$6:$B$370,MATCH('Jan 1 - Jan 15'!$Z$38:$Z$44,'Conversion Factors'!$A$6:$A$370,0))),"",INDEX('Conversion Factors'!$B$6:$B$370,MATCH('Jan 1 - Jan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Factors'!$B$6:$B$370,MATCH('Jan 1 - Jan 15'!$Z$38:$Z$44,'Conversion Factors'!$A$6:$A$370,0))),"",INDEX('Conversion Factors'!$B$6:$B$370,MATCH('Jan 1 - Jan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98</v>
      </c>
      <c r="P46" s="90">
        <f t="shared" ref="P46:X46" si="161">(P21+P29+P37+P45)-P13</f>
        <v>-4.3334999999999999</v>
      </c>
      <c r="Q46" s="34">
        <f t="shared" si="161"/>
        <v>10</v>
      </c>
      <c r="R46" s="78">
        <f t="shared" si="161"/>
        <v>10.83375</v>
      </c>
      <c r="S46" s="34">
        <f t="shared" si="161"/>
        <v>4</v>
      </c>
      <c r="T46" s="34">
        <f t="shared" si="161"/>
        <v>6</v>
      </c>
      <c r="U46" s="164">
        <f t="shared" si="161"/>
        <v>8</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22" priority="17" operator="equal">
      <formula>FALSE</formula>
    </cfRule>
  </conditionalFormatting>
  <conditionalFormatting sqref="A22:C22">
    <cfRule type="cellIs" dxfId="221" priority="16" operator="equal">
      <formula>FALSE</formula>
    </cfRule>
  </conditionalFormatting>
  <conditionalFormatting sqref="D22:D28">
    <cfRule type="cellIs" dxfId="220" priority="15" operator="equal">
      <formula>FALSE</formula>
    </cfRule>
  </conditionalFormatting>
  <conditionalFormatting sqref="Z22:Z28">
    <cfRule type="cellIs" dxfId="219" priority="14" operator="equal">
      <formula>FALSE</formula>
    </cfRule>
  </conditionalFormatting>
  <conditionalFormatting sqref="Z30:Z36">
    <cfRule type="cellIs" dxfId="218" priority="13" operator="equal">
      <formula>FALSE</formula>
    </cfRule>
  </conditionalFormatting>
  <conditionalFormatting sqref="X21 X29 X37">
    <cfRule type="containsErrors" dxfId="217" priority="12">
      <formula>ISERROR(X21)</formula>
    </cfRule>
  </conditionalFormatting>
  <conditionalFormatting sqref="Z39:Z44">
    <cfRule type="cellIs" dxfId="216" priority="10" operator="equal">
      <formula>FALSE</formula>
    </cfRule>
  </conditionalFormatting>
  <conditionalFormatting sqref="Z38">
    <cfRule type="cellIs" dxfId="215" priority="11" operator="equal">
      <formula>FALSE</formula>
    </cfRule>
  </conditionalFormatting>
  <conditionalFormatting sqref="W11:X11">
    <cfRule type="cellIs" dxfId="214" priority="9" operator="equal">
      <formula>"Please Select"</formula>
    </cfRule>
  </conditionalFormatting>
  <conditionalFormatting sqref="E11:F11">
    <cfRule type="containsBlanks" dxfId="213" priority="8">
      <formula>LEN(TRIM(E11))=0</formula>
    </cfRule>
  </conditionalFormatting>
  <conditionalFormatting sqref="U14:U46">
    <cfRule type="cellIs" dxfId="212" priority="7" operator="equal">
      <formula>FALSE</formula>
    </cfRule>
  </conditionalFormatting>
  <conditionalFormatting sqref="P26">
    <cfRule type="cellIs" dxfId="211" priority="6" operator="lessThan">
      <formula>$BQ$21</formula>
    </cfRule>
  </conditionalFormatting>
  <conditionalFormatting sqref="X14:X20">
    <cfRule type="containsErrors" dxfId="210" priority="5">
      <formula>ISERROR(X14)</formula>
    </cfRule>
  </conditionalFormatting>
  <conditionalFormatting sqref="X30:X36">
    <cfRule type="containsErrors" dxfId="209" priority="4">
      <formula>ISERROR(X30)</formula>
    </cfRule>
  </conditionalFormatting>
  <conditionalFormatting sqref="X38:X44">
    <cfRule type="containsErrors" dxfId="208" priority="3">
      <formula>ISERROR(X38)</formula>
    </cfRule>
  </conditionalFormatting>
  <conditionalFormatting sqref="X22">
    <cfRule type="containsErrors" dxfId="207" priority="2">
      <formula>ISERROR(X22)</formula>
    </cfRule>
  </conditionalFormatting>
  <conditionalFormatting sqref="X23:X28">
    <cfRule type="containsErrors" dxfId="206"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B726CB44-9C20-4B12-B291-69DB90953F61}">
      <formula1>$AD$6:$AD$8</formula1>
    </dataValidation>
    <dataValidation allowBlank="1" showInputMessage="1" showErrorMessage="1" promptTitle="Hours Per Week" prompt="Please enter the number of hours you are scheduled to work each week.  (Example:  40)_x000a_" sqref="E11:F11" xr:uid="{523D7175-9443-456E-AAF7-D118F2B454BB}"/>
    <dataValidation allowBlank="1" showInputMessage="1" showErrorMessage="1" prompt="Enter your MSU ID into this field and it will populate to all the other time re[prts in this workbook." sqref="C6:H6" xr:uid="{A87AB9A8-D62C-48FA-8675-5CCF52BA2284}"/>
    <dataValidation allowBlank="1" showInputMessage="1" showErrorMessage="1" prompt="Enter your Name into this field and it will populate to all the other time reports in this workbook." sqref="C7:H7" xr:uid="{2F64F686-64DC-4701-A9D3-D3CD23F70A99}"/>
    <dataValidation allowBlank="1" showInputMessage="1" showErrorMessage="1" prompt="Enter your Department Name into this field and it will populate to all the other time reports in this workbook." sqref="C8:H8" xr:uid="{CE1DE90E-3053-434C-9E5B-6CF87EF3767D}"/>
  </dataValidations>
  <hyperlinks>
    <hyperlink ref="O49" r:id="rId1" xr:uid="{11A32ACF-E2F0-4E42-9AE6-7AE9D954B564}"/>
    <hyperlink ref="O48:W48" r:id="rId2" display="Leave/Leave Without Pay Policy" xr:uid="{18E7596A-98DA-4525-9EBB-DA4CD063EBA8}"/>
    <hyperlink ref="O50:W50" r:id="rId3" display="Time Sheet Definitions/Policies" xr:uid="{B1534A63-0201-4934-9582-9CC6A1FB9273}"/>
    <hyperlink ref="O49:T49" r:id="rId4" display="Overtime/Compensatory Time" xr:uid="{42938AE9-C7CE-487F-B69F-BA12BAE87D59}"/>
  </hyperlinks>
  <printOptions horizontalCentered="1"/>
  <pageMargins left="0.5" right="0.5" top="0.5" bottom="0.5" header="0.5" footer="0"/>
  <pageSetup scale="75" orientation="portrait" r:id="rId5"/>
  <headerFooter alignWithMargins="0">
    <oddFooter>&amp;RRevised:  05/2019</oddFooter>
  </headerFooter>
  <ignoredErrors>
    <ignoredError sqref="E17:N18" unlockedFormula="1"/>
  </ignoredError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8A07-8A01-48BE-B04E-30401B996F62}">
  <sheetPr codeName="Sheet20">
    <tabColor theme="4" tint="0.79998168889431442"/>
  </sheetPr>
  <dimension ref="A1:BQ57"/>
  <sheetViews>
    <sheetView showGridLines="0" showZeros="0" zoomScaleNormal="100" workbookViewId="0">
      <pane ySplit="13" topLeftCell="A19"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Notes'!$A$15</f>
        <v>44577</v>
      </c>
      <c r="P6" s="265"/>
      <c r="Q6" s="265"/>
      <c r="R6" s="265"/>
      <c r="S6" s="265"/>
      <c r="T6" s="265"/>
      <c r="U6" s="53"/>
      <c r="V6" s="53"/>
      <c r="W6" s="24"/>
      <c r="X6" s="30"/>
      <c r="Z6" s="4" t="str">
        <f>TEXT(O6,"dddd")</f>
        <v>Sunday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Notes'!$B$15</f>
        <v>44592</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Notes'!$C$15</f>
        <v>2</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v>0</v>
      </c>
      <c r="F13" s="86">
        <v>0</v>
      </c>
      <c r="G13" s="86">
        <v>0</v>
      </c>
      <c r="H13" s="86">
        <v>0</v>
      </c>
      <c r="I13" s="86">
        <v>0</v>
      </c>
      <c r="J13" s="86">
        <v>0</v>
      </c>
      <c r="K13" s="86">
        <v>0</v>
      </c>
      <c r="L13" s="86">
        <v>0</v>
      </c>
      <c r="M13" s="86">
        <v>0</v>
      </c>
      <c r="N13" s="86">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f>IF(EXACT(D14,$Z$6)=TRUE,$O$6,IF(A12=0,"",IF(A12&lt;$O$7,A12+1,IF(A12=$O$7,""))))</f>
        <v>44577</v>
      </c>
      <c r="B14" s="238"/>
      <c r="C14" s="239"/>
      <c r="D14" s="32" t="s">
        <v>23</v>
      </c>
      <c r="E14" s="176"/>
      <c r="F14" s="176"/>
      <c r="G14" s="177"/>
      <c r="H14" s="176"/>
      <c r="I14" s="176"/>
      <c r="J14" s="178"/>
      <c r="K14" s="178"/>
      <c r="L14" s="179"/>
      <c r="M14" s="176"/>
      <c r="N14" s="176"/>
      <c r="O14" s="110">
        <f>SUM(E14:N14)-J14</f>
        <v>0</v>
      </c>
      <c r="P14" s="187" t="str">
        <f>IF(AND(ISNUMBER(AA14),ISNUMBER(X14)),AA14*X14,"")</f>
        <v/>
      </c>
      <c r="Q14" s="182"/>
      <c r="R14" s="50" t="str">
        <f>IF(AND(ISNUMBER(AB14),ISNUMBER(X14)),AB14*X14,"")</f>
        <v/>
      </c>
      <c r="S14" s="52"/>
      <c r="T14" s="52"/>
      <c r="U14" s="206">
        <f>IF(BJ14&gt;0,BJ14,BN14)</f>
        <v>0</v>
      </c>
      <c r="V14" s="150">
        <f>IF(BK14&gt;0,BK14,0)</f>
        <v>0</v>
      </c>
      <c r="W14" s="50"/>
      <c r="X14" s="49">
        <f>IF(ISNA(INDEX('Conversion Factors'!$B$6:$B$371,MATCH('Jan 16 - Jan 31'!$Z$14:$Z$20,'Conversion Factors'!$A$6:$A$371,0))),"",INDEX('Conversion Factors'!$B$6:$B$371,MATCH('Jan 16 - Jan 31'!$Z$14:$Z$20,'Conversion Factors'!$A$6:$A$371,0)))</f>
        <v>7.8789999999999996</v>
      </c>
      <c r="Z14" s="18">
        <f t="shared" ref="Z14:Z20" si="0">A14</f>
        <v>44577</v>
      </c>
      <c r="AA14" s="57" t="str">
        <f t="shared" ref="AA14:AA20" si="1">IF(AND(ISNUMBER(N14),ISNUMBER($Z$12)),N14/$Z$12,"")</f>
        <v/>
      </c>
      <c r="AB14" s="57" t="str">
        <f t="shared" ref="AB14:AB20" si="2">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3">J14</f>
        <v>0</v>
      </c>
      <c r="AO14" s="152">
        <f t="shared" ref="AO14:AO20" si="4">IF(G14=0,0,"")</f>
        <v>0</v>
      </c>
      <c r="AP14" s="152">
        <f t="shared" ref="AP14:AP20" si="5">IF(AND(AH14&lt;=40,E14=G14),G14,0)</f>
        <v>0</v>
      </c>
      <c r="AQ14" s="153">
        <f t="shared" ref="AQ14:AQ20" si="6">IF(AND(AH14&lt;=40,E14&gt;=G14,G14&gt;0),O14-E14,0)</f>
        <v>0</v>
      </c>
      <c r="AR14" s="152">
        <f t="shared" ref="AR14:AR20" si="7">IF(AND(AH14&lt;=40,E14&lt;G14),O14-G14,0)</f>
        <v>0</v>
      </c>
      <c r="AS14" s="154">
        <f t="shared" ref="AS14:AS20" si="8">IF(AND(G14=0),G14,IF(AND(G14&gt;0,AI14&gt;0,G14=AT14),AT14,IF(AND(G14&gt;0,AI14&gt;0,G14-AT14),AT14,0)))</f>
        <v>0</v>
      </c>
      <c r="AT14" s="154"/>
      <c r="AU14" s="155">
        <f>AS14</f>
        <v>0</v>
      </c>
      <c r="AV14" s="156">
        <f t="shared" ref="AV14:AV20" si="9">IF(AND(AH13+AU14=40,AI14&gt;0,AI14&gt;AU14),AI14-AU14,IF(AND(AH13+AU14=40,AI14&gt;0,AI14&lt;AU14,AU14+AI14=G14),AI14,IF(AND(AH13&gt;40,AH14&gt;40,G14=AI14),AI14,0)))</f>
        <v>0</v>
      </c>
      <c r="AW14" s="157">
        <f>AV14</f>
        <v>0</v>
      </c>
      <c r="AY14" s="157">
        <f t="shared" ref="AY14:AY20" si="10">IF(AND(J14&gt;0,AI14&gt;=J14,BB14=0),O14-AI14,IF(AND(J14&gt;0,AI14&gt;0,BB14&lt;=AI14),AI14-BB14,IF(AND(J14&gt;0,AI14&gt;0,BB14&gt;AI14),J14-BB14,0)))</f>
        <v>0</v>
      </c>
      <c r="AZ14" s="152">
        <f t="shared" ref="AZ14:AZ20" si="11">IF(J14=0,0,"")</f>
        <v>0</v>
      </c>
      <c r="BA14" s="152">
        <f t="shared" ref="BA14:BA20" si="12">IF(AND(AH14&lt;=40,E14=J14),J14,0)</f>
        <v>0</v>
      </c>
      <c r="BB14" s="158">
        <f t="shared" ref="BB14:BB20" si="13">IF(AND(AZ14=0),AZ14,IF(AND(AH14&gt;40,E14&gt;=J14),BE14,IF(AND(AH14&lt;=40,E14&gt;J14),J14,0)))</f>
        <v>0</v>
      </c>
      <c r="BC14" s="152">
        <f t="shared" ref="BC14:BC20" si="14">IF(AND(AH14&lt;=40,E14&lt;J14),O14-J14,0)</f>
        <v>0</v>
      </c>
      <c r="BD14" s="154">
        <f t="shared" ref="BD14:BD20" si="15">IF(AND(J14=0),J14,IF(AND(J14&gt;0,AI14&gt;0,J14=BC14),BC14,IF(AND(J14&gt;0,AI14&gt;0,J14-BC14),BC14,0)))</f>
        <v>0</v>
      </c>
      <c r="BE14" s="154"/>
      <c r="BF14" s="159">
        <f>BD14</f>
        <v>0</v>
      </c>
      <c r="BG14" s="160"/>
      <c r="BH14" s="160">
        <f>IF(AND(G14&gt;0,E14&gt;0),1,0)</f>
        <v>0</v>
      </c>
      <c r="BI14" s="161">
        <f t="shared" ref="BI14:BI20" si="16">40-AH14</f>
        <v>40</v>
      </c>
      <c r="BJ14" s="161">
        <f t="shared" ref="BJ14:BJ20" si="17">IF(AND(BH14=1,40-BL13&gt;0,40-BL13&lt;8),40-BL13,IF(AND(E14&lt;G14),E14,G14))</f>
        <v>0</v>
      </c>
      <c r="BK14" s="161">
        <f t="shared" ref="BK14:BK20" si="18">IF(AND(BH14=1,BL14&gt;40,E14&lt;G14),E14-BJ14,(IF(AND(BH14=1,BL14&gt;0,E14&gt;=G14),G14-BJ14,0)))</f>
        <v>0</v>
      </c>
      <c r="BL14" s="161">
        <f>E14</f>
        <v>0</v>
      </c>
      <c r="BM14" s="160">
        <f>IF(AND(K14&gt;0,E14&gt;0),1,0)</f>
        <v>0</v>
      </c>
      <c r="BN14" s="161">
        <f>IF(AND(BM14=1,J14&gt;8),K14,(IF(AND(BM14=1,J14&gt;0),J14,0)))</f>
        <v>0</v>
      </c>
      <c r="BO14" s="161">
        <f t="shared" ref="BO14:BO15" si="19">IF(AND(BM14=1,40-BL13&gt;0,40-BL13&lt;8),40-BL13,IF(AND(J14&lt;K14),J14,K14))</f>
        <v>0</v>
      </c>
      <c r="BP14" s="161">
        <f t="shared" ref="BP14:BP18" si="20">IF(AND(BM14=1,BL14&gt;40,J14&lt;=K14),J14-BO14,IF(AND(BM14=1,BL14&gt;0,J14&gt;K14),K14-BO14,0))</f>
        <v>0</v>
      </c>
      <c r="BQ14" s="160"/>
    </row>
    <row r="15" spans="1:69" ht="15" customHeight="1">
      <c r="A15" s="237">
        <f t="shared" ref="A15:A20" si="21">IF(EXACT(D15,$Z$6)=TRUE,$O$6,IF(A14=0,"",IF(A14&lt;$O$7,A14+1,IF(A14=$O$7,""))))</f>
        <v>44578</v>
      </c>
      <c r="B15" s="238"/>
      <c r="C15" s="239"/>
      <c r="D15" s="32" t="s">
        <v>24</v>
      </c>
      <c r="E15" s="176"/>
      <c r="F15" s="176"/>
      <c r="G15" s="177"/>
      <c r="H15" s="176"/>
      <c r="I15" s="176"/>
      <c r="J15" s="178"/>
      <c r="K15" s="178"/>
      <c r="L15" s="179"/>
      <c r="M15" s="176"/>
      <c r="N15" s="176"/>
      <c r="O15" s="110">
        <f>SUM(E15:N15)-J15</f>
        <v>0</v>
      </c>
      <c r="P15" s="187" t="str">
        <f t="shared" ref="P15:P20" si="22">IF(AND(ISNUMBER(AA15),ISNUMBER(X15)),AA15*X15,"")</f>
        <v/>
      </c>
      <c r="Q15" s="182"/>
      <c r="R15" s="50" t="str">
        <f t="shared" ref="R15:R20" si="23">IF(AND(ISNUMBER(AB15),ISNUMBER(X15)),AB15*X15,"")</f>
        <v/>
      </c>
      <c r="S15" s="52"/>
      <c r="T15" s="52"/>
      <c r="U15" s="149">
        <f>IF(BJ15&gt;0,BJ15,BN15)</f>
        <v>0</v>
      </c>
      <c r="V15" s="150">
        <f t="shared" ref="V15:V20" si="24">IF(BK15&gt;0,BK15,0)</f>
        <v>0</v>
      </c>
      <c r="W15" s="50"/>
      <c r="X15" s="49">
        <f>IF(ISNA(INDEX('Conversion Factors'!$B$6:$B$371,MATCH('Jan 16 - Jan 31'!$Z$14:$Z$20,'Conversion Factors'!$A$6:$A$371,0))),"",INDEX('Conversion Factors'!$B$6:$B$371,MATCH('Jan 16 - Jan 31'!$Z$14:$Z$20,'Conversion Factors'!$A$6:$A$371,0)))</f>
        <v>7.8789999999999996</v>
      </c>
      <c r="Z15" s="18">
        <f t="shared" si="0"/>
        <v>44578</v>
      </c>
      <c r="AA15" s="57" t="str">
        <f t="shared" si="1"/>
        <v/>
      </c>
      <c r="AB15" s="57" t="str">
        <f t="shared" si="2"/>
        <v/>
      </c>
      <c r="AH15" s="71">
        <f t="shared" ref="AH15:AH20" si="25">E15+AH14</f>
        <v>0</v>
      </c>
      <c r="AI15" s="68">
        <f>IF(AH15&gt;$AI$12,AH15-($AI$12+AI14),0)</f>
        <v>0</v>
      </c>
      <c r="AJ15" s="145" t="b">
        <f t="shared" ref="AJ15:AJ20" si="26">IF(AND(AZ15&gt;0,AZ15),IF(BA15&gt;0,BA15,IF(BB15&gt;0,BB15,IF(BC15&gt;0,BC15,IF(BF15&gt;0,BF15,"")))))</f>
        <v>0</v>
      </c>
      <c r="AK15" s="151" t="b">
        <f t="shared" ref="AK15:AK20" si="27">IF(AND(AO15&gt;0,AO15),IF(AP15&gt;0,AP15,IF(AQ15&gt;0,AQ15,IF(AR15&gt;0,AR15,IF(AU15&gt;0,AU15,0)))))</f>
        <v>0</v>
      </c>
      <c r="AM15" s="147">
        <f t="shared" si="3"/>
        <v>0</v>
      </c>
      <c r="AO15" s="162">
        <f t="shared" si="4"/>
        <v>0</v>
      </c>
      <c r="AP15" s="162">
        <f t="shared" si="5"/>
        <v>0</v>
      </c>
      <c r="AQ15" s="153">
        <f t="shared" si="6"/>
        <v>0</v>
      </c>
      <c r="AR15" s="162">
        <f t="shared" si="7"/>
        <v>0</v>
      </c>
      <c r="AS15" s="154">
        <f t="shared" si="8"/>
        <v>0</v>
      </c>
      <c r="AT15" s="154">
        <f t="shared" ref="AT15:AT17" si="28">IF(AND(AH14&lt;=40),40-AH14,0)</f>
        <v>40</v>
      </c>
      <c r="AU15" s="155">
        <f t="shared" ref="AU15:AU20" si="29">AS15</f>
        <v>0</v>
      </c>
      <c r="AV15" s="156">
        <f t="shared" si="9"/>
        <v>0</v>
      </c>
      <c r="AW15" s="157">
        <f t="shared" ref="AW15:AW20" si="30">AV15</f>
        <v>0</v>
      </c>
      <c r="AY15" s="157">
        <f t="shared" si="10"/>
        <v>0</v>
      </c>
      <c r="AZ15" s="152">
        <f t="shared" si="11"/>
        <v>0</v>
      </c>
      <c r="BA15" s="152">
        <f t="shared" si="12"/>
        <v>0</v>
      </c>
      <c r="BB15" s="158">
        <f t="shared" si="13"/>
        <v>0</v>
      </c>
      <c r="BC15" s="152">
        <f t="shared" si="14"/>
        <v>0</v>
      </c>
      <c r="BD15" s="154">
        <f t="shared" si="15"/>
        <v>0</v>
      </c>
      <c r="BE15" s="154">
        <f>IF(AND(AH14&lt;=40),40-AH14,0)</f>
        <v>40</v>
      </c>
      <c r="BF15" s="159">
        <f t="shared" ref="BF15:BF20" si="31">BD15</f>
        <v>0</v>
      </c>
      <c r="BG15" s="160"/>
      <c r="BH15" s="160">
        <f>IF(AND(G15&gt;0,E15&gt;0),1,0)</f>
        <v>0</v>
      </c>
      <c r="BI15" s="161">
        <f t="shared" si="16"/>
        <v>40</v>
      </c>
      <c r="BJ15" s="161">
        <f t="shared" si="17"/>
        <v>0</v>
      </c>
      <c r="BK15" s="161">
        <f t="shared" si="18"/>
        <v>0</v>
      </c>
      <c r="BL15" s="161">
        <f>SUM(E14:E15)</f>
        <v>0</v>
      </c>
      <c r="BM15" s="160">
        <f t="shared" ref="BM15:BM20" si="32">IF(AND(K15&gt;0,E15&gt;0),1,0)</f>
        <v>0</v>
      </c>
      <c r="BN15" s="161">
        <f>IF(AND(BM15=1,J15&gt;8),K15,(IF(AND(BM15=1,J15&gt;0),J15,0)))</f>
        <v>0</v>
      </c>
      <c r="BO15" s="161">
        <f t="shared" si="19"/>
        <v>0</v>
      </c>
      <c r="BP15" s="161">
        <f t="shared" si="20"/>
        <v>0</v>
      </c>
      <c r="BQ15" s="160"/>
    </row>
    <row r="16" spans="1:69" ht="15" customHeight="1">
      <c r="A16" s="237">
        <f t="shared" si="21"/>
        <v>44579</v>
      </c>
      <c r="B16" s="238"/>
      <c r="C16" s="239"/>
      <c r="D16" s="32" t="s">
        <v>25</v>
      </c>
      <c r="E16" s="176"/>
      <c r="F16" s="176"/>
      <c r="G16" s="177"/>
      <c r="H16" s="176"/>
      <c r="I16" s="176"/>
      <c r="J16" s="178"/>
      <c r="K16" s="178"/>
      <c r="L16" s="179"/>
      <c r="M16" s="176"/>
      <c r="N16" s="176"/>
      <c r="O16" s="110">
        <f t="shared" ref="O16:O19" si="33">SUM(E16:N16)-J16</f>
        <v>0</v>
      </c>
      <c r="P16" s="187" t="str">
        <f t="shared" si="22"/>
        <v/>
      </c>
      <c r="Q16" s="182"/>
      <c r="R16" s="50" t="str">
        <f t="shared" si="23"/>
        <v/>
      </c>
      <c r="S16" s="52"/>
      <c r="T16" s="52"/>
      <c r="U16" s="149">
        <f t="shared" ref="U16:U44" si="34">IF(BJ16&gt;0,BJ16,BN16)</f>
        <v>0</v>
      </c>
      <c r="V16" s="150">
        <f t="shared" si="24"/>
        <v>0</v>
      </c>
      <c r="W16" s="50"/>
      <c r="X16" s="49">
        <f>IF(ISNA(INDEX('Conversion Factors'!$B$6:$B$371,MATCH('Jan 16 - Jan 31'!$Z$14:$Z$20,'Conversion Factors'!$A$6:$A$371,0))),"",INDEX('Conversion Factors'!$B$6:$B$371,MATCH('Jan 16 - Jan 31'!$Z$14:$Z$20,'Conversion Factors'!$A$6:$A$371,0)))</f>
        <v>7.8789999999999996</v>
      </c>
      <c r="Z16" s="18">
        <f t="shared" si="0"/>
        <v>44579</v>
      </c>
      <c r="AA16" s="57" t="str">
        <f t="shared" si="1"/>
        <v/>
      </c>
      <c r="AB16" s="57" t="str">
        <f t="shared" si="2"/>
        <v/>
      </c>
      <c r="AG16" s="1"/>
      <c r="AH16" s="71">
        <f t="shared" si="25"/>
        <v>0</v>
      </c>
      <c r="AI16" s="68">
        <f>IF(AH16&gt;$AI$12,AH16-($AI$12+AI15+AI14),0)</f>
        <v>0</v>
      </c>
      <c r="AJ16" s="145" t="b">
        <f t="shared" si="26"/>
        <v>0</v>
      </c>
      <c r="AK16" s="151" t="b">
        <f t="shared" si="27"/>
        <v>0</v>
      </c>
      <c r="AM16" s="147">
        <f t="shared" si="3"/>
        <v>0</v>
      </c>
      <c r="AO16" s="162">
        <f t="shared" si="4"/>
        <v>0</v>
      </c>
      <c r="AP16" s="162">
        <f t="shared" si="5"/>
        <v>0</v>
      </c>
      <c r="AQ16" s="153">
        <f t="shared" si="6"/>
        <v>0</v>
      </c>
      <c r="AR16" s="162">
        <f t="shared" si="7"/>
        <v>0</v>
      </c>
      <c r="AS16" s="154">
        <f t="shared" si="8"/>
        <v>0</v>
      </c>
      <c r="AT16" s="154">
        <f t="shared" si="28"/>
        <v>40</v>
      </c>
      <c r="AU16" s="155">
        <f t="shared" si="29"/>
        <v>0</v>
      </c>
      <c r="AV16" s="156">
        <f t="shared" si="9"/>
        <v>0</v>
      </c>
      <c r="AW16" s="157">
        <f t="shared" si="30"/>
        <v>0</v>
      </c>
      <c r="AY16" s="157">
        <f t="shared" si="10"/>
        <v>0</v>
      </c>
      <c r="AZ16" s="152">
        <f t="shared" si="11"/>
        <v>0</v>
      </c>
      <c r="BA16" s="152">
        <f t="shared" si="12"/>
        <v>0</v>
      </c>
      <c r="BB16" s="158">
        <f t="shared" si="13"/>
        <v>0</v>
      </c>
      <c r="BC16" s="152">
        <f t="shared" si="14"/>
        <v>0</v>
      </c>
      <c r="BD16" s="154">
        <f t="shared" si="15"/>
        <v>0</v>
      </c>
      <c r="BE16" s="154">
        <f t="shared" ref="BE16:BE20" si="35">IF(AND(AH15&lt;=40),40-AH15,0)</f>
        <v>40</v>
      </c>
      <c r="BF16" s="159">
        <f t="shared" si="31"/>
        <v>0</v>
      </c>
      <c r="BG16" s="160"/>
      <c r="BH16" s="160">
        <f t="shared" ref="BH16:BH20" si="36">IF(AND(G16&gt;0,E16&gt;0),1,0)</f>
        <v>0</v>
      </c>
      <c r="BI16" s="161">
        <f t="shared" si="16"/>
        <v>40</v>
      </c>
      <c r="BJ16" s="161">
        <f t="shared" si="17"/>
        <v>0</v>
      </c>
      <c r="BK16" s="161">
        <f t="shared" si="18"/>
        <v>0</v>
      </c>
      <c r="BL16" s="161">
        <f>SUM(E14:E16)</f>
        <v>0</v>
      </c>
      <c r="BM16" s="160">
        <f t="shared" si="32"/>
        <v>0</v>
      </c>
      <c r="BN16" s="161">
        <f>IF(AND(BM16=1,J16&gt;8),K16,(IF(AND(BM16=1,J16&gt;0),J16,0)))</f>
        <v>0</v>
      </c>
      <c r="BO16" s="161">
        <f>IF(AND(BM16=1,40-BL15&gt;0,40-BL15&lt;8),40-BL15,IF(AND(J16&lt;K16),J16,K16))</f>
        <v>0</v>
      </c>
      <c r="BP16" s="161">
        <f t="shared" si="20"/>
        <v>0</v>
      </c>
      <c r="BQ16" s="160"/>
    </row>
    <row r="17" spans="1:69" ht="15" customHeight="1">
      <c r="A17" s="237">
        <f t="shared" si="21"/>
        <v>44580</v>
      </c>
      <c r="B17" s="238"/>
      <c r="C17" s="239"/>
      <c r="D17" s="32" t="s">
        <v>26</v>
      </c>
      <c r="E17" s="176"/>
      <c r="F17" s="176"/>
      <c r="G17" s="177"/>
      <c r="H17" s="176"/>
      <c r="I17" s="176"/>
      <c r="J17" s="178"/>
      <c r="K17" s="178"/>
      <c r="L17" s="179"/>
      <c r="M17" s="176"/>
      <c r="N17" s="176"/>
      <c r="O17" s="110">
        <f t="shared" si="33"/>
        <v>0</v>
      </c>
      <c r="P17" s="187" t="str">
        <f t="shared" si="22"/>
        <v/>
      </c>
      <c r="Q17" s="182"/>
      <c r="R17" s="50" t="str">
        <f t="shared" si="23"/>
        <v/>
      </c>
      <c r="S17" s="52"/>
      <c r="T17" s="52"/>
      <c r="U17" s="149">
        <f t="shared" si="34"/>
        <v>0</v>
      </c>
      <c r="V17" s="150">
        <f t="shared" si="24"/>
        <v>0</v>
      </c>
      <c r="W17" s="50"/>
      <c r="X17" s="49">
        <f>IF(ISNA(INDEX('Conversion Factors'!$B$6:$B$371,MATCH('Jan 16 - Jan 31'!$Z$14:$Z$20,'Conversion Factors'!$A$6:$A$371,0))),"",INDEX('Conversion Factors'!$B$6:$B$371,MATCH('Jan 16 - Jan 31'!$Z$14:$Z$20,'Conversion Factors'!$A$6:$A$371,0)))</f>
        <v>7.8789999999999996</v>
      </c>
      <c r="Z17" s="18">
        <f t="shared" si="0"/>
        <v>44580</v>
      </c>
      <c r="AA17" s="57" t="str">
        <f t="shared" si="1"/>
        <v/>
      </c>
      <c r="AB17" s="57" t="str">
        <f t="shared" si="2"/>
        <v/>
      </c>
      <c r="AG17" s="1"/>
      <c r="AH17" s="71">
        <f t="shared" si="25"/>
        <v>0</v>
      </c>
      <c r="AI17" s="68">
        <f>IF(AH17&gt;$AI$12,AH17-($AI$12+AI16+AI15+AI14),0)</f>
        <v>0</v>
      </c>
      <c r="AJ17" s="145" t="b">
        <f t="shared" si="26"/>
        <v>0</v>
      </c>
      <c r="AK17" s="151" t="b">
        <f t="shared" si="27"/>
        <v>0</v>
      </c>
      <c r="AM17" s="147">
        <f t="shared" si="3"/>
        <v>0</v>
      </c>
      <c r="AO17" s="162">
        <f t="shared" si="4"/>
        <v>0</v>
      </c>
      <c r="AP17" s="162">
        <f t="shared" si="5"/>
        <v>0</v>
      </c>
      <c r="AQ17" s="153">
        <f t="shared" si="6"/>
        <v>0</v>
      </c>
      <c r="AR17" s="162">
        <f t="shared" si="7"/>
        <v>0</v>
      </c>
      <c r="AS17" s="154">
        <f t="shared" si="8"/>
        <v>0</v>
      </c>
      <c r="AT17" s="154">
        <f t="shared" si="28"/>
        <v>40</v>
      </c>
      <c r="AU17" s="155">
        <f t="shared" si="29"/>
        <v>0</v>
      </c>
      <c r="AV17" s="156">
        <f t="shared" si="9"/>
        <v>0</v>
      </c>
      <c r="AW17" s="157">
        <f t="shared" si="30"/>
        <v>0</v>
      </c>
      <c r="AY17" s="157">
        <f t="shared" si="10"/>
        <v>0</v>
      </c>
      <c r="AZ17" s="152">
        <f t="shared" si="11"/>
        <v>0</v>
      </c>
      <c r="BA17" s="152">
        <f t="shared" si="12"/>
        <v>0</v>
      </c>
      <c r="BB17" s="158">
        <f t="shared" si="13"/>
        <v>0</v>
      </c>
      <c r="BC17" s="152">
        <f t="shared" si="14"/>
        <v>0</v>
      </c>
      <c r="BD17" s="154">
        <f t="shared" si="15"/>
        <v>0</v>
      </c>
      <c r="BE17" s="154">
        <f t="shared" si="35"/>
        <v>40</v>
      </c>
      <c r="BF17" s="159">
        <f t="shared" si="31"/>
        <v>0</v>
      </c>
      <c r="BG17" s="160"/>
      <c r="BH17" s="160">
        <f t="shared" si="36"/>
        <v>0</v>
      </c>
      <c r="BI17" s="161">
        <f t="shared" si="16"/>
        <v>40</v>
      </c>
      <c r="BJ17" s="161">
        <f t="shared" si="17"/>
        <v>0</v>
      </c>
      <c r="BK17" s="161">
        <f t="shared" si="18"/>
        <v>0</v>
      </c>
      <c r="BL17" s="161">
        <f>SUM(E14:E17)</f>
        <v>0</v>
      </c>
      <c r="BM17" s="160">
        <f t="shared" si="32"/>
        <v>0</v>
      </c>
      <c r="BN17" s="161">
        <f t="shared" ref="BN17:BN20" si="37">IF(AND(BM17=1,J17&gt;8),K17,(IF(AND(BM17=1,J17&gt;0),J17,0)))</f>
        <v>0</v>
      </c>
      <c r="BO17" s="161">
        <f t="shared" ref="BO17:BO20" si="38">IF(AND(BM17=1,40-BL16&gt;0,40-BL16&lt;8),40-BL16,IF(AND(J17&lt;K17),J17,K17))</f>
        <v>0</v>
      </c>
      <c r="BP17" s="161">
        <f t="shared" si="20"/>
        <v>0</v>
      </c>
      <c r="BQ17" s="160"/>
    </row>
    <row r="18" spans="1:69" ht="15" customHeight="1">
      <c r="A18" s="237">
        <f t="shared" si="21"/>
        <v>44581</v>
      </c>
      <c r="B18" s="238"/>
      <c r="C18" s="239"/>
      <c r="D18" s="32" t="s">
        <v>27</v>
      </c>
      <c r="E18" s="176"/>
      <c r="F18" s="176"/>
      <c r="G18" s="177"/>
      <c r="H18" s="176"/>
      <c r="I18" s="176"/>
      <c r="J18" s="178"/>
      <c r="K18" s="178"/>
      <c r="L18" s="179"/>
      <c r="M18" s="176"/>
      <c r="N18" s="176"/>
      <c r="O18" s="110">
        <f t="shared" si="33"/>
        <v>0</v>
      </c>
      <c r="P18" s="50" t="str">
        <f t="shared" si="22"/>
        <v/>
      </c>
      <c r="Q18" s="51"/>
      <c r="R18" s="50" t="str">
        <f t="shared" si="23"/>
        <v/>
      </c>
      <c r="S18" s="52"/>
      <c r="T18" s="52"/>
      <c r="U18" s="149">
        <f t="shared" si="34"/>
        <v>0</v>
      </c>
      <c r="V18" s="150">
        <f t="shared" si="24"/>
        <v>0</v>
      </c>
      <c r="W18" s="50"/>
      <c r="X18" s="49">
        <f>IF(ISNA(INDEX('Conversion Factors'!$B$6:$B$371,MATCH('Jan 16 - Jan 31'!$Z$14:$Z$20,'Conversion Factors'!$A$6:$A$371,0))),"",INDEX('Conversion Factors'!$B$6:$B$371,MATCH('Jan 16 - Jan 31'!$Z$14:$Z$20,'Conversion Factors'!$A$6:$A$371,0)))</f>
        <v>7.8789999999999996</v>
      </c>
      <c r="Z18" s="18">
        <f t="shared" si="0"/>
        <v>44581</v>
      </c>
      <c r="AA18" s="57" t="str">
        <f t="shared" si="1"/>
        <v/>
      </c>
      <c r="AB18" s="57" t="str">
        <f t="shared" si="2"/>
        <v/>
      </c>
      <c r="AH18" s="71">
        <f t="shared" si="25"/>
        <v>0</v>
      </c>
      <c r="AI18" s="68">
        <f>IF(AH18&gt;$AI$12,AH18-($AI$12+AI17+AI16+AI15+AI14),0)</f>
        <v>0</v>
      </c>
      <c r="AJ18" s="145" t="b">
        <f t="shared" si="26"/>
        <v>0</v>
      </c>
      <c r="AK18" s="151" t="b">
        <f t="shared" si="27"/>
        <v>0</v>
      </c>
      <c r="AM18" s="147">
        <f t="shared" si="3"/>
        <v>0</v>
      </c>
      <c r="AO18" s="162">
        <f t="shared" si="4"/>
        <v>0</v>
      </c>
      <c r="AP18" s="162">
        <f t="shared" si="5"/>
        <v>0</v>
      </c>
      <c r="AQ18" s="153">
        <f t="shared" si="6"/>
        <v>0</v>
      </c>
      <c r="AR18" s="162">
        <f t="shared" si="7"/>
        <v>0</v>
      </c>
      <c r="AS18" s="154">
        <f t="shared" si="8"/>
        <v>0</v>
      </c>
      <c r="AT18" s="154">
        <f>IF(AND(AH17&lt;=40),40-AH17,0)</f>
        <v>40</v>
      </c>
      <c r="AU18" s="155">
        <f t="shared" si="29"/>
        <v>0</v>
      </c>
      <c r="AV18" s="156">
        <f t="shared" si="9"/>
        <v>0</v>
      </c>
      <c r="AW18" s="157">
        <f t="shared" si="30"/>
        <v>0</v>
      </c>
      <c r="AY18" s="157">
        <f t="shared" si="10"/>
        <v>0</v>
      </c>
      <c r="AZ18" s="152">
        <f t="shared" si="11"/>
        <v>0</v>
      </c>
      <c r="BA18" s="152">
        <f t="shared" si="12"/>
        <v>0</v>
      </c>
      <c r="BB18" s="158">
        <f t="shared" si="13"/>
        <v>0</v>
      </c>
      <c r="BC18" s="152">
        <f t="shared" si="14"/>
        <v>0</v>
      </c>
      <c r="BD18" s="154">
        <f t="shared" si="15"/>
        <v>0</v>
      </c>
      <c r="BE18" s="154">
        <f t="shared" si="35"/>
        <v>40</v>
      </c>
      <c r="BF18" s="159">
        <f t="shared" si="31"/>
        <v>0</v>
      </c>
      <c r="BG18" s="160"/>
      <c r="BH18" s="160">
        <f t="shared" si="36"/>
        <v>0</v>
      </c>
      <c r="BI18" s="161">
        <f t="shared" si="16"/>
        <v>40</v>
      </c>
      <c r="BJ18" s="161">
        <f t="shared" si="17"/>
        <v>0</v>
      </c>
      <c r="BK18" s="161">
        <f t="shared" si="18"/>
        <v>0</v>
      </c>
      <c r="BL18" s="161">
        <f>SUM(E14:E18)</f>
        <v>0</v>
      </c>
      <c r="BM18" s="160">
        <f t="shared" si="32"/>
        <v>0</v>
      </c>
      <c r="BN18" s="161">
        <f t="shared" si="37"/>
        <v>0</v>
      </c>
      <c r="BO18" s="161">
        <f t="shared" si="38"/>
        <v>0</v>
      </c>
      <c r="BP18" s="161">
        <f t="shared" si="20"/>
        <v>0</v>
      </c>
      <c r="BQ18" s="160"/>
    </row>
    <row r="19" spans="1:69" ht="15" customHeight="1">
      <c r="A19" s="237">
        <f t="shared" si="21"/>
        <v>44582</v>
      </c>
      <c r="B19" s="238"/>
      <c r="C19" s="239"/>
      <c r="D19" s="32" t="s">
        <v>28</v>
      </c>
      <c r="E19" s="176"/>
      <c r="F19" s="176"/>
      <c r="G19" s="177"/>
      <c r="H19" s="176"/>
      <c r="I19" s="176"/>
      <c r="J19" s="178"/>
      <c r="K19" s="178"/>
      <c r="L19" s="179"/>
      <c r="M19" s="176"/>
      <c r="N19" s="176"/>
      <c r="O19" s="110">
        <f t="shared" si="33"/>
        <v>0</v>
      </c>
      <c r="P19" s="50" t="str">
        <f t="shared" si="22"/>
        <v/>
      </c>
      <c r="Q19" s="51"/>
      <c r="R19" s="50" t="str">
        <f t="shared" si="23"/>
        <v/>
      </c>
      <c r="S19" s="52"/>
      <c r="T19" s="52"/>
      <c r="U19" s="149">
        <f t="shared" si="34"/>
        <v>0</v>
      </c>
      <c r="V19" s="150">
        <f t="shared" si="24"/>
        <v>0</v>
      </c>
      <c r="W19" s="50"/>
      <c r="X19" s="49">
        <f>IF(ISNA(INDEX('Conversion Factors'!$B$6:$B$371,MATCH('Jan 16 - Jan 31'!$Z$14:$Z$20,'Conversion Factors'!$A$6:$A$371,0))),"",INDEX('Conversion Factors'!$B$6:$B$371,MATCH('Jan 16 - Jan 31'!$Z$14:$Z$20,'Conversion Factors'!$A$6:$A$371,0)))</f>
        <v>7.8789999999999996</v>
      </c>
      <c r="Z19" s="18">
        <f t="shared" si="0"/>
        <v>44582</v>
      </c>
      <c r="AA19" s="57" t="str">
        <f t="shared" si="1"/>
        <v/>
      </c>
      <c r="AB19" s="57" t="str">
        <f t="shared" si="2"/>
        <v/>
      </c>
      <c r="AH19" s="71">
        <f t="shared" si="25"/>
        <v>0</v>
      </c>
      <c r="AI19" s="68">
        <f>IF(AH19&gt;$AI$12,AH19-($AI$12+AI18+AI17+AI16+AI15+AI14),0)</f>
        <v>0</v>
      </c>
      <c r="AJ19" s="145" t="b">
        <f t="shared" si="26"/>
        <v>0</v>
      </c>
      <c r="AK19" s="151" t="b">
        <f t="shared" si="27"/>
        <v>0</v>
      </c>
      <c r="AM19" s="147">
        <f t="shared" si="3"/>
        <v>0</v>
      </c>
      <c r="AO19" s="162">
        <f t="shared" si="4"/>
        <v>0</v>
      </c>
      <c r="AP19" s="162">
        <f t="shared" si="5"/>
        <v>0</v>
      </c>
      <c r="AQ19" s="153">
        <f t="shared" si="6"/>
        <v>0</v>
      </c>
      <c r="AR19" s="162">
        <f t="shared" si="7"/>
        <v>0</v>
      </c>
      <c r="AS19" s="154">
        <f t="shared" si="8"/>
        <v>0</v>
      </c>
      <c r="AT19" s="154">
        <f t="shared" ref="AT19:AT20" si="39">IF(AND(AH18&lt;=40),40-AH18,0)</f>
        <v>40</v>
      </c>
      <c r="AU19" s="155">
        <f t="shared" si="29"/>
        <v>0</v>
      </c>
      <c r="AV19" s="156">
        <f t="shared" si="9"/>
        <v>0</v>
      </c>
      <c r="AW19" s="157">
        <f t="shared" si="30"/>
        <v>0</v>
      </c>
      <c r="AY19" s="157">
        <f t="shared" si="10"/>
        <v>0</v>
      </c>
      <c r="AZ19" s="152">
        <f t="shared" si="11"/>
        <v>0</v>
      </c>
      <c r="BA19" s="152">
        <f t="shared" si="12"/>
        <v>0</v>
      </c>
      <c r="BB19" s="158">
        <f t="shared" si="13"/>
        <v>0</v>
      </c>
      <c r="BC19" s="152">
        <f t="shared" si="14"/>
        <v>0</v>
      </c>
      <c r="BD19" s="154">
        <f t="shared" si="15"/>
        <v>0</v>
      </c>
      <c r="BE19" s="154">
        <f t="shared" si="35"/>
        <v>40</v>
      </c>
      <c r="BF19" s="159">
        <f t="shared" si="31"/>
        <v>0</v>
      </c>
      <c r="BG19" s="160"/>
      <c r="BH19" s="160">
        <f t="shared" si="36"/>
        <v>0</v>
      </c>
      <c r="BI19" s="161">
        <f t="shared" si="16"/>
        <v>40</v>
      </c>
      <c r="BJ19" s="161">
        <f t="shared" si="17"/>
        <v>0</v>
      </c>
      <c r="BK19" s="161">
        <f t="shared" si="18"/>
        <v>0</v>
      </c>
      <c r="BL19" s="161">
        <f>SUM(E14:E19)</f>
        <v>0</v>
      </c>
      <c r="BM19" s="160">
        <f t="shared" si="32"/>
        <v>0</v>
      </c>
      <c r="BN19" s="161">
        <f t="shared" si="37"/>
        <v>0</v>
      </c>
      <c r="BO19" s="161">
        <f t="shared" si="38"/>
        <v>0</v>
      </c>
      <c r="BP19" s="161">
        <f>IF(AND(BM19=1,BL19&gt;40,J19&lt;=K19),J19-BO19,IF(AND(BM19=1,BL19&gt;0,J19&gt;K19),K19-BO19,0))</f>
        <v>0</v>
      </c>
      <c r="BQ19" s="160"/>
    </row>
    <row r="20" spans="1:69" ht="15" customHeight="1" thickBot="1">
      <c r="A20" s="237">
        <f t="shared" si="21"/>
        <v>44583</v>
      </c>
      <c r="B20" s="238"/>
      <c r="C20" s="239"/>
      <c r="D20" s="32" t="s">
        <v>29</v>
      </c>
      <c r="E20" s="176"/>
      <c r="F20" s="176"/>
      <c r="G20" s="177"/>
      <c r="H20" s="176"/>
      <c r="I20" s="176"/>
      <c r="J20" s="178"/>
      <c r="K20" s="178"/>
      <c r="L20" s="179"/>
      <c r="M20" s="176"/>
      <c r="N20" s="176"/>
      <c r="O20" s="110">
        <f>SUM(E20:N20)-J20</f>
        <v>0</v>
      </c>
      <c r="P20" s="50" t="str">
        <f t="shared" si="22"/>
        <v/>
      </c>
      <c r="Q20" s="52"/>
      <c r="R20" s="50" t="str">
        <f t="shared" si="23"/>
        <v/>
      </c>
      <c r="S20" s="52"/>
      <c r="T20" s="52"/>
      <c r="U20" s="149">
        <f t="shared" si="34"/>
        <v>0</v>
      </c>
      <c r="V20" s="150">
        <f t="shared" si="24"/>
        <v>0</v>
      </c>
      <c r="W20" s="50"/>
      <c r="X20" s="49">
        <f>IF(ISNA(INDEX('Conversion Factors'!$B$6:$B$371,MATCH('Jan 16 - Jan 31'!$Z$14:$Z$20,'Conversion Factors'!$A$6:$A$371,0))),"",INDEX('Conversion Factors'!$B$6:$B$371,MATCH('Jan 16 - Jan 31'!$Z$14:$Z$20,'Conversion Factors'!$A$6:$A$371,0)))</f>
        <v>7.8789999999999996</v>
      </c>
      <c r="Z20" s="18">
        <f t="shared" si="0"/>
        <v>44583</v>
      </c>
      <c r="AA20" s="57" t="str">
        <f t="shared" si="1"/>
        <v/>
      </c>
      <c r="AB20" s="57" t="str">
        <f t="shared" si="2"/>
        <v/>
      </c>
      <c r="AH20" s="71">
        <f t="shared" si="25"/>
        <v>0</v>
      </c>
      <c r="AI20" s="68">
        <f>IF(AH20&gt;$AI$12,AH20-($AI$12+AI19+AI18+AI17+AI16+AI15+AI14),0)</f>
        <v>0</v>
      </c>
      <c r="AJ20" s="145" t="b">
        <f t="shared" si="26"/>
        <v>0</v>
      </c>
      <c r="AK20" s="151" t="b">
        <f t="shared" si="27"/>
        <v>0</v>
      </c>
      <c r="AM20" s="147">
        <f t="shared" si="3"/>
        <v>0</v>
      </c>
      <c r="AO20" s="163">
        <f t="shared" si="4"/>
        <v>0</v>
      </c>
      <c r="AP20" s="163">
        <f t="shared" si="5"/>
        <v>0</v>
      </c>
      <c r="AQ20" s="153">
        <f t="shared" si="6"/>
        <v>0</v>
      </c>
      <c r="AR20" s="163">
        <f t="shared" si="7"/>
        <v>0</v>
      </c>
      <c r="AS20" s="154">
        <f t="shared" si="8"/>
        <v>0</v>
      </c>
      <c r="AT20" s="154">
        <f t="shared" si="39"/>
        <v>40</v>
      </c>
      <c r="AU20" s="155">
        <f t="shared" si="29"/>
        <v>0</v>
      </c>
      <c r="AV20" s="156">
        <f t="shared" si="9"/>
        <v>0</v>
      </c>
      <c r="AW20" s="157">
        <f t="shared" si="30"/>
        <v>0</v>
      </c>
      <c r="AY20" s="157">
        <f t="shared" si="10"/>
        <v>0</v>
      </c>
      <c r="AZ20" s="152">
        <f t="shared" si="11"/>
        <v>0</v>
      </c>
      <c r="BA20" s="152">
        <f t="shared" si="12"/>
        <v>0</v>
      </c>
      <c r="BB20" s="158">
        <f t="shared" si="13"/>
        <v>0</v>
      </c>
      <c r="BC20" s="152">
        <f t="shared" si="14"/>
        <v>0</v>
      </c>
      <c r="BD20" s="154">
        <f t="shared" si="15"/>
        <v>0</v>
      </c>
      <c r="BE20" s="154">
        <f t="shared" si="35"/>
        <v>40</v>
      </c>
      <c r="BF20" s="159">
        <f t="shared" si="31"/>
        <v>0</v>
      </c>
      <c r="BG20" s="160"/>
      <c r="BH20" s="160">
        <f t="shared" si="36"/>
        <v>0</v>
      </c>
      <c r="BI20" s="161">
        <f t="shared" si="16"/>
        <v>40</v>
      </c>
      <c r="BJ20" s="161">
        <f t="shared" si="17"/>
        <v>0</v>
      </c>
      <c r="BK20" s="161">
        <f t="shared" si="18"/>
        <v>0</v>
      </c>
      <c r="BL20" s="161">
        <f>SUM(E14:E20)</f>
        <v>0</v>
      </c>
      <c r="BM20" s="160">
        <f t="shared" si="32"/>
        <v>0</v>
      </c>
      <c r="BN20" s="161">
        <f t="shared" si="37"/>
        <v>0</v>
      </c>
      <c r="BO20" s="161">
        <f t="shared" si="38"/>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0">SUM(F14:F20)</f>
        <v>0</v>
      </c>
      <c r="G21" s="76">
        <f t="shared" si="40"/>
        <v>0</v>
      </c>
      <c r="H21" s="34">
        <f t="shared" si="40"/>
        <v>0</v>
      </c>
      <c r="I21" s="34">
        <f t="shared" si="40"/>
        <v>0</v>
      </c>
      <c r="J21" s="74"/>
      <c r="K21" s="74">
        <f t="shared" si="40"/>
        <v>0</v>
      </c>
      <c r="L21" s="34">
        <f t="shared" si="40"/>
        <v>0</v>
      </c>
      <c r="M21" s="34">
        <f t="shared" si="40"/>
        <v>0</v>
      </c>
      <c r="N21" s="34">
        <f t="shared" si="40"/>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44584</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4"/>
        <v>0</v>
      </c>
      <c r="V22" s="150">
        <f>IF(BK22&gt;0,BK22,0)</f>
        <v>0</v>
      </c>
      <c r="W22" s="50"/>
      <c r="X22" s="49">
        <f>IF(ISNA(INDEX('Conversion Factors'!$B$6:$B$371,MATCH('Jan 16 - Jan 31'!$Z$22:$Z$28,'Conversion Factors'!$A$6:$A$371,0))),"",INDEX('Conversion Factors'!$B$6:$B$371,MATCH('Jan 16 - Jan 31'!$Z$22:$Z$28,'Conversion Factors'!$A$6:$A$371,0)))</f>
        <v>7.8789999999999996</v>
      </c>
      <c r="Z22" s="17">
        <f t="shared" ref="Z22:Z28" si="41">A22</f>
        <v>44584</v>
      </c>
      <c r="AA22" s="57" t="str">
        <f t="shared" ref="AA22:AA28" si="42">IF(AND(ISNUMBER(N22),ISNUMBER($Z$12)),N22/$Z$12,"")</f>
        <v/>
      </c>
      <c r="AB22" s="57" t="str">
        <f t="shared" ref="AB22:AB28" si="43">IF(AND(ISNUMBER(Q22),ISNUMBER($Z$12)),Q22/$Z$12,"")</f>
        <v/>
      </c>
      <c r="AC22" s="58"/>
      <c r="AD22" s="59"/>
      <c r="AE22" s="58"/>
      <c r="AF22" s="58"/>
      <c r="AG22" s="64"/>
      <c r="AH22" s="71">
        <f t="shared" ref="AH22:AH28" si="44">E22+AH21</f>
        <v>0</v>
      </c>
      <c r="AI22" s="68">
        <f>IF(AH22&gt;$AI$12,AH22-($AI$12+AI21),0)</f>
        <v>0</v>
      </c>
      <c r="AJ22" s="145" t="b">
        <f t="shared" ref="AJ22:AJ28" si="45">IF(AND(AZ22&gt;0,AZ22),IF(BA22&gt;0,BA22,IF(BB22&gt;0,BB22,IF(BC22&gt;0,BC22,IF(BF22&gt;0,BF22,"")))))</f>
        <v>0</v>
      </c>
      <c r="AK22" s="151" t="b">
        <f>IF(AND(AO22&gt;0,AO22),IF(AP22&gt;0,AP22,IF(AQ22&gt;0,AQ22,IF(AR22&gt;0,AR22,IF(AU22&gt;0,AU22,"")))))</f>
        <v>0</v>
      </c>
      <c r="AM22" s="147">
        <f t="shared" ref="AM22:AM28" si="46">J22</f>
        <v>0</v>
      </c>
      <c r="AO22" s="152">
        <f t="shared" ref="AO22:AO28" si="47">IF(G22=0,0,"")</f>
        <v>0</v>
      </c>
      <c r="AP22" s="152">
        <f t="shared" ref="AP22:AP28" si="48">IF(AND(AH22&lt;=40,E22=G22),G22,0)</f>
        <v>0</v>
      </c>
      <c r="AQ22" s="153">
        <f t="shared" ref="AQ22:AQ28" si="49">IF(AND(AH22&lt;=40,E22&gt;=G22,G22&gt;0),O22-E22,0)</f>
        <v>0</v>
      </c>
      <c r="AR22" s="152">
        <f t="shared" ref="AR22:AR28" si="50">IF(AND(AH22&lt;=40,E22&lt;G22),O22-G22,0)</f>
        <v>0</v>
      </c>
      <c r="AS22" s="154">
        <f t="shared" ref="AS22:AS28" si="51">IF(AND(G22=0),G22,IF(AND(G22&gt;0,AI22&gt;0,G22=AT22),AT22,IF(AND(G22&gt;0,AI22&gt;0,G22-AT22),AT22,0)))</f>
        <v>0</v>
      </c>
      <c r="AT22" s="154"/>
      <c r="AU22" s="155">
        <f>AS22</f>
        <v>0</v>
      </c>
      <c r="AV22" s="156">
        <f t="shared" ref="AV22:AV28" si="52">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3">IF(J22=0,0,"")</f>
        <v>0</v>
      </c>
      <c r="BA22" s="152">
        <f t="shared" ref="BA22:BA28" si="54">IF(AND(AH22&lt;=40,E22=J22),J22,0)</f>
        <v>0</v>
      </c>
      <c r="BB22" s="158">
        <f t="shared" ref="BB22:BB28" si="55">IF(AND(AZ22=0),AZ22,IF(AND(AH22&gt;40,E22&gt;=J22),BE22,IF(AND(AH22&lt;=40,E22&gt;J22),J22,0)))</f>
        <v>0</v>
      </c>
      <c r="BC22" s="152">
        <f t="shared" ref="BC22:BC28" si="56">IF(AND(AH22&lt;=40,E22&lt;J22),O22-J22,0)</f>
        <v>0</v>
      </c>
      <c r="BD22" s="154">
        <f t="shared" ref="BD22:BD28" si="57">IF(AND(J22=0),J22,IF(AND(J22&gt;0,AI22&gt;0,J22=BC22),BC22,IF(AND(J22&gt;0,AI22&gt;0,J22-BC22),BC22,0)))</f>
        <v>0</v>
      </c>
      <c r="BE22" s="154"/>
      <c r="BF22" s="159">
        <f>BD22</f>
        <v>0</v>
      </c>
      <c r="BG22" s="160"/>
      <c r="BH22" s="160">
        <f>IF(AND(G22&gt;0,E22&gt;0),1,0)</f>
        <v>0</v>
      </c>
      <c r="BI22" s="161">
        <f t="shared" ref="BI22:BI28" si="58">40-AH22</f>
        <v>40</v>
      </c>
      <c r="BJ22" s="161">
        <f t="shared" ref="BJ22:BJ28" si="59">IF(AND(BH22=1,40-BL21&gt;0,40-BL21&lt;8),40-BL21,IF(AND(E22&lt;G22),E22,G22))</f>
        <v>0</v>
      </c>
      <c r="BK22" s="161">
        <f t="shared" ref="BK22:BK28" si="60">IF(AND(BH22=1,BL22&gt;40,E22&lt;G22),E22-BJ22,(IF(AND(BH22=1,BL22&gt;0,E22&gt;=G22),G22-BJ22,0)))</f>
        <v>0</v>
      </c>
      <c r="BL22" s="161">
        <f>E22</f>
        <v>0</v>
      </c>
      <c r="BM22" s="160">
        <f>IF(AND(K22&gt;0,E22&gt;0),1,0)</f>
        <v>0</v>
      </c>
      <c r="BN22" s="161">
        <f>IF(AND(BM22=1,J22&gt;8),K22,(IF(AND(BM22=1,J22&gt;0),J22,0)))</f>
        <v>0</v>
      </c>
      <c r="BO22" s="161">
        <f t="shared" ref="BO22:BO23" si="61">IF(AND(BM22=1,40-BL21&gt;0,40-BL21&lt;8),40-BL21,IF(AND(J22&lt;K22),J22,K22))</f>
        <v>0</v>
      </c>
      <c r="BP22" s="161">
        <f t="shared" ref="BP22:BP26" si="62">IF(AND(BM22=1,BL22&gt;40,J22&lt;=K22),J22-BO22,IF(AND(BM22=1,BL22&gt;0,J22&gt;K22),K22-BO22,0))</f>
        <v>0</v>
      </c>
      <c r="BQ22" s="160"/>
    </row>
    <row r="23" spans="1:69" ht="15" customHeight="1">
      <c r="A23" s="225">
        <f t="shared" ref="A23:A28" si="63">IF(A22&lt;$O$7,A22+1,IF(A22=$O$7,""))</f>
        <v>44585</v>
      </c>
      <c r="B23" s="226"/>
      <c r="C23" s="227"/>
      <c r="D23" s="32" t="s">
        <v>24</v>
      </c>
      <c r="E23" s="176"/>
      <c r="F23" s="176"/>
      <c r="G23" s="177"/>
      <c r="H23" s="176"/>
      <c r="I23" s="176"/>
      <c r="J23" s="178"/>
      <c r="K23" s="178"/>
      <c r="L23" s="179"/>
      <c r="M23" s="176"/>
      <c r="N23" s="176"/>
      <c r="O23" s="110">
        <f>SUM(E23:N23)-J23</f>
        <v>0</v>
      </c>
      <c r="P23" s="50" t="str">
        <f t="shared" ref="P23:P28" si="64">IF(AND(ISNUMBER(AA23),ISNUMBER(X23)),AA23*X23,"")</f>
        <v/>
      </c>
      <c r="Q23" s="51"/>
      <c r="R23" s="50" t="str">
        <f t="shared" ref="R23:R28" si="65">IF(AND(ISNUMBER(AB23),ISNUMBER(X23)),AB23*X23,"")</f>
        <v/>
      </c>
      <c r="S23" s="52"/>
      <c r="T23" s="52"/>
      <c r="U23" s="149">
        <f t="shared" si="34"/>
        <v>0</v>
      </c>
      <c r="V23" s="150">
        <f t="shared" ref="V23:V28" si="66">IF(BK23&gt;0,BK23,0)</f>
        <v>0</v>
      </c>
      <c r="W23" s="50"/>
      <c r="X23" s="49">
        <f>IF(ISNA(INDEX('Conversion Factors'!$B$6:$B$371,MATCH('Jan 16 - Jan 31'!$Z$22:$Z$28,'Conversion Factors'!$A$6:$A$371,0))),"",INDEX('Conversion Factors'!$B$6:$B$371,MATCH('Jan 16 - Jan 31'!$Z$22:$Z$28,'Conversion Factors'!$A$6:$A$371,0)))</f>
        <v>7.8789999999999996</v>
      </c>
      <c r="Z23" s="17">
        <f t="shared" si="41"/>
        <v>44585</v>
      </c>
      <c r="AA23" s="57" t="str">
        <f t="shared" si="42"/>
        <v/>
      </c>
      <c r="AB23" s="57" t="str">
        <f t="shared" si="43"/>
        <v/>
      </c>
      <c r="AH23" s="71">
        <f t="shared" si="44"/>
        <v>0</v>
      </c>
      <c r="AI23" s="68">
        <f>IF(AH23&gt;$AI$12,AH23-($AI$12+AI22+AI21),0)</f>
        <v>0</v>
      </c>
      <c r="AJ23" s="145" t="b">
        <f t="shared" si="45"/>
        <v>0</v>
      </c>
      <c r="AK23" s="151" t="b">
        <f t="shared" ref="AK23:AK28" si="67">IF(AND(AO23&gt;0,AO23),IF(AP23&gt;0,AP23,IF(AQ23&gt;0,AQ23,IF(AR23&gt;0,AR23,IF(AU23&gt;0,AU23,0)))))</f>
        <v>0</v>
      </c>
      <c r="AM23" s="147">
        <f t="shared" si="46"/>
        <v>0</v>
      </c>
      <c r="AO23" s="162">
        <f t="shared" si="47"/>
        <v>0</v>
      </c>
      <c r="AP23" s="162">
        <f t="shared" si="48"/>
        <v>0</v>
      </c>
      <c r="AQ23" s="153">
        <f t="shared" si="49"/>
        <v>0</v>
      </c>
      <c r="AR23" s="162">
        <f t="shared" si="50"/>
        <v>0</v>
      </c>
      <c r="AS23" s="154">
        <f t="shared" si="51"/>
        <v>0</v>
      </c>
      <c r="AT23" s="154">
        <f t="shared" ref="AT23:AT25" si="68">IF(AND(AH22&lt;=40),40-AH22,0)</f>
        <v>40</v>
      </c>
      <c r="AU23" s="155">
        <f t="shared" ref="AU23:AU28" si="69">AS23</f>
        <v>0</v>
      </c>
      <c r="AV23" s="156">
        <f t="shared" si="52"/>
        <v>0</v>
      </c>
      <c r="AW23" s="157">
        <f t="shared" ref="AW23:AW28" si="70">AV23</f>
        <v>0</v>
      </c>
      <c r="AY23" s="169">
        <f>IF(AND(J23&gt;0,AI23&gt;0,BB23&lt;=AI23),AI23-BB23,IF(AND(J23&gt;0,AI23&gt;0,BB23&gt;AI23),J23-BB23,0))</f>
        <v>0</v>
      </c>
      <c r="AZ23" s="152">
        <f t="shared" si="53"/>
        <v>0</v>
      </c>
      <c r="BA23" s="152">
        <f t="shared" si="54"/>
        <v>0</v>
      </c>
      <c r="BB23" s="158">
        <f t="shared" si="55"/>
        <v>0</v>
      </c>
      <c r="BC23" s="152">
        <f t="shared" si="56"/>
        <v>0</v>
      </c>
      <c r="BD23" s="154">
        <f t="shared" si="57"/>
        <v>0</v>
      </c>
      <c r="BE23" s="154">
        <f>IF(AND(AH22&lt;=40),40-AH22,0)</f>
        <v>40</v>
      </c>
      <c r="BF23" s="159">
        <f t="shared" ref="BF23:BF28" si="71">BD23</f>
        <v>0</v>
      </c>
      <c r="BG23" s="160"/>
      <c r="BH23" s="160">
        <f>IF(AND(G23&gt;0,E23&gt;0),1,0)</f>
        <v>0</v>
      </c>
      <c r="BI23" s="161">
        <f t="shared" si="58"/>
        <v>40</v>
      </c>
      <c r="BJ23" s="161">
        <f t="shared" si="59"/>
        <v>0</v>
      </c>
      <c r="BK23" s="161">
        <f t="shared" si="60"/>
        <v>0</v>
      </c>
      <c r="BL23" s="161">
        <f>SUM(E22:E23)</f>
        <v>0</v>
      </c>
      <c r="BM23" s="160">
        <f t="shared" ref="BM23:BM28" si="72">IF(AND(K23&gt;0,E23&gt;0),1,0)</f>
        <v>0</v>
      </c>
      <c r="BN23" s="161">
        <f>IF(AND(BM23=1,J23&gt;8),K23,(IF(AND(BM23=1,J23&gt;0),J23,0)))</f>
        <v>0</v>
      </c>
      <c r="BO23" s="161">
        <f t="shared" si="61"/>
        <v>0</v>
      </c>
      <c r="BP23" s="161">
        <f t="shared" si="62"/>
        <v>0</v>
      </c>
      <c r="BQ23" s="160"/>
    </row>
    <row r="24" spans="1:69" ht="15" customHeight="1">
      <c r="A24" s="225">
        <f t="shared" si="63"/>
        <v>44586</v>
      </c>
      <c r="B24" s="226"/>
      <c r="C24" s="227"/>
      <c r="D24" s="32" t="s">
        <v>25</v>
      </c>
      <c r="E24" s="176"/>
      <c r="F24" s="176"/>
      <c r="G24" s="177"/>
      <c r="H24" s="176"/>
      <c r="I24" s="176"/>
      <c r="J24" s="178"/>
      <c r="K24" s="178"/>
      <c r="L24" s="179"/>
      <c r="M24" s="176"/>
      <c r="N24" s="176"/>
      <c r="O24" s="110">
        <f t="shared" ref="O24:O27" si="73">SUM(E24:N24)-J24</f>
        <v>0</v>
      </c>
      <c r="P24" s="50" t="str">
        <f t="shared" si="64"/>
        <v/>
      </c>
      <c r="Q24" s="51"/>
      <c r="R24" s="50" t="str">
        <f t="shared" si="65"/>
        <v/>
      </c>
      <c r="S24" s="52"/>
      <c r="T24" s="52"/>
      <c r="U24" s="149">
        <f t="shared" si="34"/>
        <v>0</v>
      </c>
      <c r="V24" s="150">
        <f t="shared" si="66"/>
        <v>0</v>
      </c>
      <c r="W24" s="50"/>
      <c r="X24" s="49">
        <f>IF(ISNA(INDEX('Conversion Factors'!$B$6:$B$371,MATCH('Jan 16 - Jan 31'!$Z$22:$Z$28,'Conversion Factors'!$A$6:$A$371,0))),"",INDEX('Conversion Factors'!$B$6:$B$371,MATCH('Jan 16 - Jan 31'!$Z$22:$Z$28,'Conversion Factors'!$A$6:$A$371,0)))</f>
        <v>7.8789999999999996</v>
      </c>
      <c r="Z24" s="17">
        <f t="shared" si="41"/>
        <v>44586</v>
      </c>
      <c r="AA24" s="57" t="str">
        <f t="shared" si="42"/>
        <v/>
      </c>
      <c r="AB24" s="57" t="str">
        <f t="shared" si="43"/>
        <v/>
      </c>
      <c r="AG24" s="1"/>
      <c r="AH24" s="71">
        <f t="shared" si="44"/>
        <v>0</v>
      </c>
      <c r="AI24" s="68">
        <f>IF(AH24&gt;$AI$12,AH24-($AI$12+AI23+AI22+AI21),0)</f>
        <v>0</v>
      </c>
      <c r="AJ24" s="145" t="b">
        <f t="shared" si="45"/>
        <v>0</v>
      </c>
      <c r="AK24" s="151" t="b">
        <f t="shared" si="67"/>
        <v>0</v>
      </c>
      <c r="AM24" s="147">
        <f t="shared" si="46"/>
        <v>0</v>
      </c>
      <c r="AO24" s="162">
        <f t="shared" si="47"/>
        <v>0</v>
      </c>
      <c r="AP24" s="162">
        <f t="shared" si="48"/>
        <v>0</v>
      </c>
      <c r="AQ24" s="153">
        <f t="shared" si="49"/>
        <v>0</v>
      </c>
      <c r="AR24" s="162">
        <f t="shared" si="50"/>
        <v>0</v>
      </c>
      <c r="AS24" s="154">
        <f t="shared" si="51"/>
        <v>0</v>
      </c>
      <c r="AT24" s="154">
        <f t="shared" si="68"/>
        <v>40</v>
      </c>
      <c r="AU24" s="155">
        <f t="shared" si="69"/>
        <v>0</v>
      </c>
      <c r="AV24" s="156">
        <f t="shared" si="52"/>
        <v>0</v>
      </c>
      <c r="AW24" s="157">
        <f t="shared" si="70"/>
        <v>0</v>
      </c>
      <c r="AY24" s="169">
        <f>IF(AND(J24&gt;0,AI24&gt;0,BB24&lt;=AI24),AI24-BB24,IF(AND(J24&gt;0,AI24&gt;0,BB24&gt;AI24),J24-BB24,0))</f>
        <v>0</v>
      </c>
      <c r="AZ24" s="152">
        <f t="shared" si="53"/>
        <v>0</v>
      </c>
      <c r="BA24" s="152">
        <f t="shared" si="54"/>
        <v>0</v>
      </c>
      <c r="BB24" s="158">
        <f t="shared" si="55"/>
        <v>0</v>
      </c>
      <c r="BC24" s="152">
        <f t="shared" si="56"/>
        <v>0</v>
      </c>
      <c r="BD24" s="154">
        <f t="shared" si="57"/>
        <v>0</v>
      </c>
      <c r="BE24" s="154">
        <f t="shared" ref="BE24:BE28" si="74">IF(AND(AH23&lt;=40),40-AH23,0)</f>
        <v>40</v>
      </c>
      <c r="BF24" s="159">
        <f t="shared" si="71"/>
        <v>0</v>
      </c>
      <c r="BG24" s="160"/>
      <c r="BH24" s="160">
        <f t="shared" ref="BH24:BH28" si="75">IF(AND(G24&gt;0,E24&gt;0),1,0)</f>
        <v>0</v>
      </c>
      <c r="BI24" s="161">
        <f t="shared" si="58"/>
        <v>40</v>
      </c>
      <c r="BJ24" s="161">
        <f t="shared" si="59"/>
        <v>0</v>
      </c>
      <c r="BK24" s="161">
        <f t="shared" si="60"/>
        <v>0</v>
      </c>
      <c r="BL24" s="161">
        <f>SUM(E22:E24)</f>
        <v>0</v>
      </c>
      <c r="BM24" s="160">
        <f t="shared" si="72"/>
        <v>0</v>
      </c>
      <c r="BN24" s="161">
        <f>IF(AND(BM24=1,J24&gt;8),K24,(IF(AND(BM24=1,J24&gt;0),J24,0)))</f>
        <v>0</v>
      </c>
      <c r="BO24" s="161">
        <f>IF(AND(BM24=1,40-BL23&gt;0,40-BL23&lt;8),40-BL23,IF(AND(J24&lt;K24),J24,K24))</f>
        <v>0</v>
      </c>
      <c r="BP24" s="161">
        <f t="shared" si="62"/>
        <v>0</v>
      </c>
      <c r="BQ24" s="160"/>
    </row>
    <row r="25" spans="1:69" ht="15" customHeight="1">
      <c r="A25" s="225">
        <f t="shared" si="63"/>
        <v>44587</v>
      </c>
      <c r="B25" s="226"/>
      <c r="C25" s="227"/>
      <c r="D25" s="32" t="s">
        <v>26</v>
      </c>
      <c r="E25" s="176"/>
      <c r="F25" s="176"/>
      <c r="G25" s="177"/>
      <c r="H25" s="176"/>
      <c r="I25" s="176"/>
      <c r="J25" s="178"/>
      <c r="K25" s="178"/>
      <c r="L25" s="179"/>
      <c r="M25" s="176"/>
      <c r="N25" s="176"/>
      <c r="O25" s="110">
        <f t="shared" si="73"/>
        <v>0</v>
      </c>
      <c r="P25" s="50" t="str">
        <f t="shared" si="64"/>
        <v/>
      </c>
      <c r="Q25" s="51"/>
      <c r="R25" s="50" t="str">
        <f t="shared" si="65"/>
        <v/>
      </c>
      <c r="S25" s="52"/>
      <c r="T25" s="52"/>
      <c r="U25" s="149">
        <f t="shared" si="34"/>
        <v>0</v>
      </c>
      <c r="V25" s="150">
        <f t="shared" si="66"/>
        <v>0</v>
      </c>
      <c r="W25" s="50"/>
      <c r="X25" s="49">
        <f>IF(ISNA(INDEX('Conversion Factors'!$B$6:$B$371,MATCH('Jan 16 - Jan 31'!$Z$22:$Z$28,'Conversion Factors'!$A$6:$A$371,0))),"",INDEX('Conversion Factors'!$B$6:$B$371,MATCH('Jan 16 - Jan 31'!$Z$22:$Z$28,'Conversion Factors'!$A$6:$A$371,0)))</f>
        <v>7.8789999999999996</v>
      </c>
      <c r="Z25" s="17">
        <f t="shared" si="41"/>
        <v>44587</v>
      </c>
      <c r="AA25" s="57" t="str">
        <f t="shared" si="42"/>
        <v/>
      </c>
      <c r="AB25" s="57" t="str">
        <f t="shared" si="43"/>
        <v/>
      </c>
      <c r="AG25" s="1"/>
      <c r="AH25" s="71">
        <f t="shared" si="44"/>
        <v>0</v>
      </c>
      <c r="AI25" s="68">
        <f>IF(AH25&gt;$AI$12,AH25-($AI$12+AI24+AI23+AI22+AI21),0)</f>
        <v>0</v>
      </c>
      <c r="AJ25" s="145" t="b">
        <f t="shared" si="45"/>
        <v>0</v>
      </c>
      <c r="AK25" s="151" t="b">
        <f t="shared" si="67"/>
        <v>0</v>
      </c>
      <c r="AM25" s="147">
        <f t="shared" si="46"/>
        <v>0</v>
      </c>
      <c r="AO25" s="162">
        <f t="shared" si="47"/>
        <v>0</v>
      </c>
      <c r="AP25" s="162">
        <f t="shared" si="48"/>
        <v>0</v>
      </c>
      <c r="AQ25" s="153">
        <f t="shared" si="49"/>
        <v>0</v>
      </c>
      <c r="AR25" s="162">
        <f t="shared" si="50"/>
        <v>0</v>
      </c>
      <c r="AS25" s="154">
        <f t="shared" si="51"/>
        <v>0</v>
      </c>
      <c r="AT25" s="154">
        <f t="shared" si="68"/>
        <v>40</v>
      </c>
      <c r="AU25" s="155">
        <f t="shared" si="69"/>
        <v>0</v>
      </c>
      <c r="AV25" s="156">
        <f t="shared" si="52"/>
        <v>0</v>
      </c>
      <c r="AW25" s="157">
        <f t="shared" si="70"/>
        <v>0</v>
      </c>
      <c r="AY25" s="169">
        <f>IF(AND(J25&gt;0,AI25&gt;0,BB25&lt;=AI25),AI25-BB25,IF(AND(J25&gt;0,AI25&gt;0,BB25&gt;AI25),J25-BB25,0))</f>
        <v>0</v>
      </c>
      <c r="AZ25" s="152">
        <f t="shared" si="53"/>
        <v>0</v>
      </c>
      <c r="BA25" s="152">
        <f t="shared" si="54"/>
        <v>0</v>
      </c>
      <c r="BB25" s="158">
        <f t="shared" si="55"/>
        <v>0</v>
      </c>
      <c r="BC25" s="152">
        <f t="shared" si="56"/>
        <v>0</v>
      </c>
      <c r="BD25" s="154">
        <f t="shared" si="57"/>
        <v>0</v>
      </c>
      <c r="BE25" s="154">
        <f t="shared" si="74"/>
        <v>40</v>
      </c>
      <c r="BF25" s="159">
        <f t="shared" si="71"/>
        <v>0</v>
      </c>
      <c r="BG25" s="160"/>
      <c r="BH25" s="160">
        <f t="shared" si="75"/>
        <v>0</v>
      </c>
      <c r="BI25" s="161">
        <f t="shared" si="58"/>
        <v>40</v>
      </c>
      <c r="BJ25" s="161">
        <f t="shared" si="59"/>
        <v>0</v>
      </c>
      <c r="BK25" s="161">
        <f t="shared" si="60"/>
        <v>0</v>
      </c>
      <c r="BL25" s="161">
        <f>SUM(E22:E25)</f>
        <v>0</v>
      </c>
      <c r="BM25" s="160">
        <f t="shared" si="72"/>
        <v>0</v>
      </c>
      <c r="BN25" s="161">
        <f t="shared" ref="BN25:BN28" si="76">IF(AND(BM25=1,J25&gt;8),K25,(IF(AND(BM25=1,J25&gt;0),J25,0)))</f>
        <v>0</v>
      </c>
      <c r="BO25" s="161">
        <f t="shared" ref="BO25:BO28" si="77">IF(AND(BM25=1,40-BL24&gt;0,40-BL24&lt;8),40-BL24,IF(AND(J25&lt;K25),J25,K25))</f>
        <v>0</v>
      </c>
      <c r="BP25" s="161">
        <f t="shared" si="62"/>
        <v>0</v>
      </c>
      <c r="BQ25" s="160"/>
    </row>
    <row r="26" spans="1:69" ht="15" customHeight="1">
      <c r="A26" s="225">
        <f t="shared" si="63"/>
        <v>44588</v>
      </c>
      <c r="B26" s="226"/>
      <c r="C26" s="227"/>
      <c r="D26" s="32" t="s">
        <v>27</v>
      </c>
      <c r="E26" s="176"/>
      <c r="F26" s="176"/>
      <c r="G26" s="177"/>
      <c r="H26" s="176"/>
      <c r="I26" s="176"/>
      <c r="J26" s="178"/>
      <c r="K26" s="178"/>
      <c r="L26" s="179"/>
      <c r="M26" s="176"/>
      <c r="N26" s="176"/>
      <c r="O26" s="110">
        <f t="shared" si="73"/>
        <v>0</v>
      </c>
      <c r="P26" s="50" t="str">
        <f t="shared" si="64"/>
        <v/>
      </c>
      <c r="Q26" s="51"/>
      <c r="R26" s="50" t="str">
        <f t="shared" si="65"/>
        <v/>
      </c>
      <c r="S26" s="52"/>
      <c r="T26" s="52"/>
      <c r="U26" s="149">
        <f t="shared" si="34"/>
        <v>0</v>
      </c>
      <c r="V26" s="150">
        <f t="shared" si="66"/>
        <v>0</v>
      </c>
      <c r="W26" s="50"/>
      <c r="X26" s="49">
        <f>IF(ISNA(INDEX('Conversion Factors'!$B$6:$B$371,MATCH('Jan 16 - Jan 31'!$Z$22:$Z$28,'Conversion Factors'!$A$6:$A$371,0))),"",INDEX('Conversion Factors'!$B$6:$B$371,MATCH('Jan 16 - Jan 31'!$Z$22:$Z$28,'Conversion Factors'!$A$6:$A$371,0)))</f>
        <v>7.8789999999999996</v>
      </c>
      <c r="Z26" s="17">
        <f t="shared" si="41"/>
        <v>44588</v>
      </c>
      <c r="AA26" s="57" t="str">
        <f t="shared" si="42"/>
        <v/>
      </c>
      <c r="AB26" s="57" t="str">
        <f t="shared" si="43"/>
        <v/>
      </c>
      <c r="AH26" s="71">
        <f t="shared" si="44"/>
        <v>0</v>
      </c>
      <c r="AI26" s="68">
        <f>IF(AH26&gt;$AI$12,AH26-($AI$12+AI25+AI24+AI23+AI22+AI21),0)</f>
        <v>0</v>
      </c>
      <c r="AJ26" s="145" t="b">
        <f t="shared" si="45"/>
        <v>0</v>
      </c>
      <c r="AK26" s="151" t="b">
        <f t="shared" si="67"/>
        <v>0</v>
      </c>
      <c r="AM26" s="147">
        <f t="shared" si="46"/>
        <v>0</v>
      </c>
      <c r="AO26" s="162">
        <f t="shared" si="47"/>
        <v>0</v>
      </c>
      <c r="AP26" s="162">
        <f t="shared" si="48"/>
        <v>0</v>
      </c>
      <c r="AQ26" s="153">
        <f t="shared" si="49"/>
        <v>0</v>
      </c>
      <c r="AR26" s="162">
        <f t="shared" si="50"/>
        <v>0</v>
      </c>
      <c r="AS26" s="154">
        <f t="shared" si="51"/>
        <v>0</v>
      </c>
      <c r="AT26" s="154">
        <f>IF(AND(AH25&lt;=40),40-AH25,0)</f>
        <v>40</v>
      </c>
      <c r="AU26" s="155">
        <f t="shared" si="69"/>
        <v>0</v>
      </c>
      <c r="AV26" s="156">
        <f t="shared" si="52"/>
        <v>0</v>
      </c>
      <c r="AW26" s="157">
        <f t="shared" si="70"/>
        <v>0</v>
      </c>
      <c r="AY26" s="157">
        <f>IF(AND(J26&gt;0,AI26&gt;=J26,BB26=0),O26-AI26,IF(AND(J26&gt;0,AI26&gt;0,BB26&lt;=AI26),AI26-BB26,IF(AND(J26&gt;0,AI26&gt;0,BB26&gt;AI26),J26-BB26,0)))</f>
        <v>0</v>
      </c>
      <c r="AZ26" s="152">
        <f t="shared" si="53"/>
        <v>0</v>
      </c>
      <c r="BA26" s="152">
        <f t="shared" si="54"/>
        <v>0</v>
      </c>
      <c r="BB26" s="158">
        <f t="shared" si="55"/>
        <v>0</v>
      </c>
      <c r="BC26" s="152">
        <f t="shared" si="56"/>
        <v>0</v>
      </c>
      <c r="BD26" s="154">
        <f t="shared" si="57"/>
        <v>0</v>
      </c>
      <c r="BE26" s="154">
        <f t="shared" si="74"/>
        <v>40</v>
      </c>
      <c r="BF26" s="159">
        <f t="shared" si="71"/>
        <v>0</v>
      </c>
      <c r="BG26" s="160"/>
      <c r="BH26" s="160">
        <f t="shared" si="75"/>
        <v>0</v>
      </c>
      <c r="BI26" s="161">
        <f t="shared" si="58"/>
        <v>40</v>
      </c>
      <c r="BJ26" s="161">
        <f t="shared" si="59"/>
        <v>0</v>
      </c>
      <c r="BK26" s="161">
        <f t="shared" si="60"/>
        <v>0</v>
      </c>
      <c r="BL26" s="161">
        <f>SUM(E22:E26)</f>
        <v>0</v>
      </c>
      <c r="BM26" s="160">
        <f t="shared" si="72"/>
        <v>0</v>
      </c>
      <c r="BN26" s="161">
        <f t="shared" si="76"/>
        <v>0</v>
      </c>
      <c r="BO26" s="161">
        <f t="shared" si="77"/>
        <v>0</v>
      </c>
      <c r="BP26" s="161">
        <f t="shared" si="62"/>
        <v>0</v>
      </c>
      <c r="BQ26" s="160"/>
    </row>
    <row r="27" spans="1:69" ht="15" customHeight="1">
      <c r="A27" s="225">
        <f t="shared" si="63"/>
        <v>44589</v>
      </c>
      <c r="B27" s="226"/>
      <c r="C27" s="227"/>
      <c r="D27" s="32" t="s">
        <v>28</v>
      </c>
      <c r="E27" s="176"/>
      <c r="F27" s="176"/>
      <c r="G27" s="177"/>
      <c r="H27" s="176"/>
      <c r="I27" s="176"/>
      <c r="J27" s="178"/>
      <c r="K27" s="178"/>
      <c r="L27" s="179"/>
      <c r="M27" s="176"/>
      <c r="N27" s="176"/>
      <c r="O27" s="110">
        <f t="shared" si="73"/>
        <v>0</v>
      </c>
      <c r="P27" s="50" t="str">
        <f t="shared" si="64"/>
        <v/>
      </c>
      <c r="Q27" s="51"/>
      <c r="R27" s="50" t="str">
        <f t="shared" si="65"/>
        <v/>
      </c>
      <c r="S27" s="52"/>
      <c r="T27" s="52"/>
      <c r="U27" s="149">
        <f t="shared" si="34"/>
        <v>0</v>
      </c>
      <c r="V27" s="150">
        <f t="shared" si="66"/>
        <v>0</v>
      </c>
      <c r="W27" s="50"/>
      <c r="X27" s="49">
        <f>IF(ISNA(INDEX('Conversion Factors'!$B$6:$B$371,MATCH('Jan 16 - Jan 31'!$Z$22:$Z$28,'Conversion Factors'!$A$6:$A$371,0))),"",INDEX('Conversion Factors'!$B$6:$B$371,MATCH('Jan 16 - Jan 31'!$Z$22:$Z$28,'Conversion Factors'!$A$6:$A$371,0)))</f>
        <v>7.8789999999999996</v>
      </c>
      <c r="Z27" s="17">
        <f t="shared" si="41"/>
        <v>44589</v>
      </c>
      <c r="AA27" s="57" t="str">
        <f t="shared" si="42"/>
        <v/>
      </c>
      <c r="AB27" s="57" t="str">
        <f t="shared" si="43"/>
        <v/>
      </c>
      <c r="AH27" s="71">
        <f t="shared" si="44"/>
        <v>0</v>
      </c>
      <c r="AI27" s="68">
        <f>IF(AH27&gt;$AI$12,AH27-($AI$12+AI26+AI25+AI24+AI23+AI22+AI21),0)</f>
        <v>0</v>
      </c>
      <c r="AJ27" s="145" t="b">
        <f t="shared" si="45"/>
        <v>0</v>
      </c>
      <c r="AK27" s="151" t="b">
        <f t="shared" si="67"/>
        <v>0</v>
      </c>
      <c r="AM27" s="147">
        <f t="shared" si="46"/>
        <v>0</v>
      </c>
      <c r="AO27" s="162">
        <f t="shared" si="47"/>
        <v>0</v>
      </c>
      <c r="AP27" s="162">
        <f t="shared" si="48"/>
        <v>0</v>
      </c>
      <c r="AQ27" s="170">
        <f t="shared" si="49"/>
        <v>0</v>
      </c>
      <c r="AR27" s="162">
        <f t="shared" si="50"/>
        <v>0</v>
      </c>
      <c r="AS27" s="154">
        <f t="shared" si="51"/>
        <v>0</v>
      </c>
      <c r="AT27" s="154">
        <f t="shared" ref="AT27:AT28" si="78">IF(AND(AH26&lt;=40),40-AH26,0)</f>
        <v>40</v>
      </c>
      <c r="AU27" s="155">
        <f t="shared" si="69"/>
        <v>0</v>
      </c>
      <c r="AV27" s="156">
        <f t="shared" si="52"/>
        <v>0</v>
      </c>
      <c r="AW27" s="157">
        <f t="shared" si="70"/>
        <v>0</v>
      </c>
      <c r="AY27" s="157">
        <f>IF(AND(J27&gt;0,AI27&gt;=J27,BB27=0),O27-AI27,IF(AND(J27&gt;0,AI27&gt;0,BB27&lt;=AI27),AI27-BB27,IF(AND(J27&gt;0,AI27&gt;0,BB27&gt;AI27),J27-BB27,0)))</f>
        <v>0</v>
      </c>
      <c r="AZ27" s="152">
        <f t="shared" si="53"/>
        <v>0</v>
      </c>
      <c r="BA27" s="152">
        <f t="shared" si="54"/>
        <v>0</v>
      </c>
      <c r="BB27" s="158">
        <f t="shared" si="55"/>
        <v>0</v>
      </c>
      <c r="BC27" s="152">
        <f t="shared" si="56"/>
        <v>0</v>
      </c>
      <c r="BD27" s="154">
        <f t="shared" si="57"/>
        <v>0</v>
      </c>
      <c r="BE27" s="154">
        <f t="shared" si="74"/>
        <v>40</v>
      </c>
      <c r="BF27" s="159">
        <f t="shared" si="71"/>
        <v>0</v>
      </c>
      <c r="BG27" s="160"/>
      <c r="BH27" s="160">
        <f t="shared" si="75"/>
        <v>0</v>
      </c>
      <c r="BI27" s="161">
        <f t="shared" si="58"/>
        <v>40</v>
      </c>
      <c r="BJ27" s="161">
        <f t="shared" si="59"/>
        <v>0</v>
      </c>
      <c r="BK27" s="161">
        <f t="shared" si="60"/>
        <v>0</v>
      </c>
      <c r="BL27" s="161">
        <f>SUM(E22:E27)</f>
        <v>0</v>
      </c>
      <c r="BM27" s="160">
        <f t="shared" si="72"/>
        <v>0</v>
      </c>
      <c r="BN27" s="161">
        <f t="shared" si="76"/>
        <v>0</v>
      </c>
      <c r="BO27" s="161">
        <f t="shared" si="77"/>
        <v>0</v>
      </c>
      <c r="BP27" s="161">
        <f>IF(AND(BM27=1,BL27&gt;40,J27&lt;=K27),J27-BO27,IF(AND(BM27=1,BL27&gt;0,J27&gt;K27),K27-BO27,0))</f>
        <v>0</v>
      </c>
      <c r="BQ27" s="160"/>
    </row>
    <row r="28" spans="1:69" ht="15" customHeight="1" thickBot="1">
      <c r="A28" s="225">
        <f t="shared" si="63"/>
        <v>44590</v>
      </c>
      <c r="B28" s="226"/>
      <c r="C28" s="227"/>
      <c r="D28" s="32" t="s">
        <v>29</v>
      </c>
      <c r="E28" s="176"/>
      <c r="F28" s="176"/>
      <c r="G28" s="177"/>
      <c r="H28" s="176"/>
      <c r="I28" s="176"/>
      <c r="J28" s="178"/>
      <c r="K28" s="178"/>
      <c r="L28" s="179"/>
      <c r="M28" s="176"/>
      <c r="N28" s="176"/>
      <c r="O28" s="110">
        <f>SUM(E28:N28)-J28</f>
        <v>0</v>
      </c>
      <c r="P28" s="50" t="str">
        <f t="shared" si="64"/>
        <v/>
      </c>
      <c r="Q28" s="52"/>
      <c r="R28" s="50" t="str">
        <f t="shared" si="65"/>
        <v/>
      </c>
      <c r="S28" s="52"/>
      <c r="T28" s="52"/>
      <c r="U28" s="149">
        <f t="shared" si="34"/>
        <v>0</v>
      </c>
      <c r="V28" s="150">
        <f t="shared" si="66"/>
        <v>0</v>
      </c>
      <c r="W28" s="50"/>
      <c r="X28" s="49">
        <f>IF(ISNA(INDEX('Conversion Factors'!$B$6:$B$371,MATCH('Jan 16 - Jan 31'!$Z$22:$Z$28,'Conversion Factors'!$A$6:$A$371,0))),"",INDEX('Conversion Factors'!$B$6:$B$371,MATCH('Jan 16 - Jan 31'!$Z$22:$Z$28,'Conversion Factors'!$A$6:$A$371,0)))</f>
        <v>7.8789999999999996</v>
      </c>
      <c r="Z28" s="17">
        <f t="shared" si="41"/>
        <v>44590</v>
      </c>
      <c r="AA28" s="57" t="str">
        <f t="shared" si="42"/>
        <v/>
      </c>
      <c r="AB28" s="57" t="str">
        <f t="shared" si="43"/>
        <v/>
      </c>
      <c r="AH28" s="71">
        <f t="shared" si="44"/>
        <v>0</v>
      </c>
      <c r="AI28" s="68">
        <f>IF(AH28&gt;$AI$12,AH28-($AI$12+AI27+AI26+AI25+AI24+AI23+AI22+AI21),0)</f>
        <v>0</v>
      </c>
      <c r="AJ28" s="145" t="b">
        <f t="shared" si="45"/>
        <v>0</v>
      </c>
      <c r="AK28" s="151" t="b">
        <f t="shared" si="67"/>
        <v>0</v>
      </c>
      <c r="AM28" s="147">
        <f t="shared" si="46"/>
        <v>0</v>
      </c>
      <c r="AO28" s="163">
        <f t="shared" si="47"/>
        <v>0</v>
      </c>
      <c r="AP28" s="163">
        <f t="shared" si="48"/>
        <v>0</v>
      </c>
      <c r="AQ28" s="153">
        <f t="shared" si="49"/>
        <v>0</v>
      </c>
      <c r="AR28" s="163">
        <f t="shared" si="50"/>
        <v>0</v>
      </c>
      <c r="AS28" s="154">
        <f t="shared" si="51"/>
        <v>0</v>
      </c>
      <c r="AT28" s="154">
        <f t="shared" si="78"/>
        <v>40</v>
      </c>
      <c r="AU28" s="155">
        <f t="shared" si="69"/>
        <v>0</v>
      </c>
      <c r="AV28" s="156">
        <f t="shared" si="52"/>
        <v>0</v>
      </c>
      <c r="AW28" s="157">
        <f t="shared" si="70"/>
        <v>0</v>
      </c>
      <c r="AY28" s="157">
        <f>IF(AND(J28&gt;0,AI28&gt;=J28,BB28=0),O28-AI28,IF(AND(J28&gt;0,AI28&gt;0,BB28&lt;=AI28),AI28-BB28,IF(AND(J28&gt;0,AI28&gt;0,BB28&gt;AI28),J28-BB28,0)))</f>
        <v>0</v>
      </c>
      <c r="AZ28" s="152">
        <f t="shared" si="53"/>
        <v>0</v>
      </c>
      <c r="BA28" s="152">
        <f t="shared" si="54"/>
        <v>0</v>
      </c>
      <c r="BB28" s="158">
        <f t="shared" si="55"/>
        <v>0</v>
      </c>
      <c r="BC28" s="152">
        <f t="shared" si="56"/>
        <v>0</v>
      </c>
      <c r="BD28" s="154">
        <f t="shared" si="57"/>
        <v>0</v>
      </c>
      <c r="BE28" s="154">
        <f t="shared" si="74"/>
        <v>40</v>
      </c>
      <c r="BF28" s="159">
        <f t="shared" si="71"/>
        <v>0</v>
      </c>
      <c r="BG28" s="160"/>
      <c r="BH28" s="160">
        <f t="shared" si="75"/>
        <v>0</v>
      </c>
      <c r="BI28" s="161">
        <f t="shared" si="58"/>
        <v>40</v>
      </c>
      <c r="BJ28" s="161">
        <f t="shared" si="59"/>
        <v>0</v>
      </c>
      <c r="BK28" s="161">
        <f t="shared" si="60"/>
        <v>0</v>
      </c>
      <c r="BL28" s="161">
        <f>SUM(E22:E28)</f>
        <v>0</v>
      </c>
      <c r="BM28" s="160">
        <f t="shared" si="72"/>
        <v>0</v>
      </c>
      <c r="BN28" s="161">
        <f t="shared" si="76"/>
        <v>0</v>
      </c>
      <c r="BO28" s="161">
        <f t="shared" si="77"/>
        <v>0</v>
      </c>
      <c r="BP28" s="161">
        <f>IF(AND(BM28=1,BL28&gt;40,J28&lt;=K28),J28-BO28,IF(AND(BM28=1,BL28&gt;0,J28&gt;K28),K28-BO28,0))</f>
        <v>0</v>
      </c>
      <c r="BQ28" s="160"/>
    </row>
    <row r="29" spans="1:69" ht="15" customHeight="1" thickTop="1" thickBot="1">
      <c r="A29" s="228" t="s">
        <v>30</v>
      </c>
      <c r="B29" s="229"/>
      <c r="C29" s="230"/>
      <c r="D29" s="33"/>
      <c r="E29" s="34">
        <f t="shared" ref="E29:N29" si="79">SUM(E22:E28)</f>
        <v>0</v>
      </c>
      <c r="F29" s="34">
        <f t="shared" si="79"/>
        <v>0</v>
      </c>
      <c r="G29" s="76">
        <f t="shared" si="79"/>
        <v>0</v>
      </c>
      <c r="H29" s="34">
        <f t="shared" si="79"/>
        <v>0</v>
      </c>
      <c r="I29" s="34">
        <f t="shared" si="79"/>
        <v>0</v>
      </c>
      <c r="J29" s="74"/>
      <c r="K29" s="74">
        <f t="shared" si="79"/>
        <v>0</v>
      </c>
      <c r="L29" s="34">
        <f t="shared" si="79"/>
        <v>0</v>
      </c>
      <c r="M29" s="34">
        <f t="shared" si="79"/>
        <v>0</v>
      </c>
      <c r="N29" s="34">
        <f t="shared" si="79"/>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44591</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4"/>
        <v>0</v>
      </c>
      <c r="V30" s="150">
        <f>IF(BK30&gt;0,BK30,0)</f>
        <v>0</v>
      </c>
      <c r="W30" s="50"/>
      <c r="X30" s="49">
        <f>IF(ISNA(INDEX('Conversion Factors'!$B$6:$B$370,MATCH('Jan 16 - Jan 31'!$Z$30:$Z$36,'Conversion Factors'!$A$6:$A$370,0))),"",INDEX('Conversion Factors'!$B$6:$B$370,MATCH('Jan 16 - Jan 31'!$Z$30:$Z$36,'Conversion Factors'!$A$6:$A$370,0)))</f>
        <v>7.8789999999999996</v>
      </c>
      <c r="Z30" s="17">
        <f t="shared" ref="Z30:Z36" si="80">A30</f>
        <v>44591</v>
      </c>
      <c r="AA30" s="57" t="str">
        <f t="shared" ref="AA30:AA36" si="81">IF(AND(ISNUMBER(N30),ISNUMBER($Z$12)),N30/$Z$12,"")</f>
        <v/>
      </c>
      <c r="AB30" s="57" t="str">
        <f t="shared" ref="AB30:AB36" si="82">IF(AND(ISNUMBER(Q30),ISNUMBER($Z$12)),Q30/$Z$12,"")</f>
        <v/>
      </c>
      <c r="AC30" s="58"/>
      <c r="AD30" s="59"/>
      <c r="AE30" s="58"/>
      <c r="AF30" s="58"/>
      <c r="AG30" s="64"/>
      <c r="AH30" s="71">
        <f t="shared" ref="AH30:AH36" si="83">E30+AH29</f>
        <v>0</v>
      </c>
      <c r="AI30" s="68">
        <f>IF(AH30&gt;$AI$12,AH30-($AI$12+AI29),0)</f>
        <v>0</v>
      </c>
      <c r="AJ30" s="145" t="b">
        <f t="shared" ref="AJ30:AJ36" si="84">IF(AND(AZ30&gt;0,AZ30),IF(BA30&gt;0,BA30,IF(BB30&gt;0,BB30,IF(BC30&gt;0,BC30,IF(BF30&gt;0,BF30,"")))))</f>
        <v>0</v>
      </c>
      <c r="AK30" s="151" t="b">
        <f>IF(AND(AO30&gt;0,AO30),IF(AP30&gt;0,AP30,IF(AQ30&gt;0,AQ30,IF(AR30&gt;0,AR30,IF(AU30&gt;0,AU30,"")))))</f>
        <v>0</v>
      </c>
      <c r="AM30" s="147">
        <f t="shared" ref="AM30:AM36" si="85">J30</f>
        <v>0</v>
      </c>
      <c r="AO30" s="152">
        <f t="shared" ref="AO30:AO36" si="86">IF(G30=0,0,"")</f>
        <v>0</v>
      </c>
      <c r="AP30" s="152">
        <f t="shared" ref="AP30:AP36" si="87">IF(AND(AH30&lt;=40,E30=G30),G30,0)</f>
        <v>0</v>
      </c>
      <c r="AQ30" s="153">
        <f t="shared" ref="AQ30:AQ36" si="88">IF(AND(AH30&lt;=40,E30&gt;=G30,G30&gt;0),O30-E30,0)</f>
        <v>0</v>
      </c>
      <c r="AR30" s="152">
        <f t="shared" ref="AR30:AR36" si="89">IF(AND(AH30&lt;=40,E30&lt;G30),O30-G30,0)</f>
        <v>0</v>
      </c>
      <c r="AS30" s="154">
        <f t="shared" ref="AS30:AS36" si="90">IF(AND(G30=0),G30,IF(AND(G30&gt;0,AI30&gt;0,G30=AT30),AT30,IF(AND(G30&gt;0,AI30&gt;0,G30-AT30),AT30,0)))</f>
        <v>0</v>
      </c>
      <c r="AT30" s="154"/>
      <c r="AU30" s="155">
        <f>AS30</f>
        <v>0</v>
      </c>
      <c r="AV30" s="156">
        <f t="shared" ref="AV30:AV36" si="91">IF(AND(AH29+AU30=40,AI30&gt;0,AI30&gt;AU30),AI30-AU30,IF(AND(AH29+AU30=40,AI30&gt;0,AI30&lt;AU30,AU30+AI30=G30),AI30,IF(AND(AH29&gt;40,AH30&gt;40,G30=AI30),AI30,0)))</f>
        <v>0</v>
      </c>
      <c r="AW30" s="157">
        <f>AV30</f>
        <v>0</v>
      </c>
      <c r="AY30" s="157">
        <f t="shared" ref="AY30:AY36" si="92">IF(AND(J30&gt;0,AI30&gt;=J30,BB30=0),O30-AI30,IF(AND(J30&gt;0,AI30&gt;0,BB30&lt;=AI30),AI30-BB30,IF(AND(J30&gt;0,AI30&gt;0,BB30&gt;AI30),J30-BB30,0)))</f>
        <v>0</v>
      </c>
      <c r="AZ30" s="152">
        <f t="shared" ref="AZ30:AZ36" si="93">IF(J30=0,0,"")</f>
        <v>0</v>
      </c>
      <c r="BA30" s="152">
        <f t="shared" ref="BA30:BA36" si="94">IF(AND(AH30&lt;=40,E30=J30),J30,0)</f>
        <v>0</v>
      </c>
      <c r="BB30" s="158">
        <f t="shared" ref="BB30:BB36" si="95">IF(AND(AZ30=0),AZ30,IF(AND(AH30&gt;40,E30&gt;=J30),BE30,IF(AND(AH30&lt;=40,E30&gt;J30),J30,0)))</f>
        <v>0</v>
      </c>
      <c r="BC30" s="152">
        <f t="shared" ref="BC30:BC36" si="96">IF(AND(AH30&lt;=40,E30&lt;J30),O30-J30,0)</f>
        <v>0</v>
      </c>
      <c r="BD30" s="154">
        <f t="shared" ref="BD30:BD36" si="97">IF(AND(J30=0),J30,IF(AND(J30&gt;0,AI30&gt;0,J30=BC30),BC30,IF(AND(J30&gt;0,AI30&gt;0,J30-BC30),BC30,0)))</f>
        <v>0</v>
      </c>
      <c r="BE30" s="154"/>
      <c r="BF30" s="159">
        <f>BD30</f>
        <v>0</v>
      </c>
      <c r="BG30" s="160"/>
      <c r="BH30" s="160">
        <f>IF(AND(G30&gt;0,E30&gt;0),1,0)</f>
        <v>0</v>
      </c>
      <c r="BI30" s="161">
        <f t="shared" ref="BI30:BI36" si="98">40-AH30</f>
        <v>40</v>
      </c>
      <c r="BJ30" s="161">
        <f t="shared" ref="BJ30:BJ36" si="99">IF(AND(BH30=1,40-BL29&gt;0,40-BL29&lt;8),40-BL29,IF(AND(E30&lt;G30),E30,G30))</f>
        <v>0</v>
      </c>
      <c r="BK30" s="161">
        <f t="shared" ref="BK30:BK36" si="100">IF(AND(BH30=1,BL30&gt;40,E30&lt;G30),E30-BJ30,(IF(AND(BH30=1,BL30&gt;0,E30&gt;=G30),G30-BJ30,0)))</f>
        <v>0</v>
      </c>
      <c r="BL30" s="161">
        <f>E30</f>
        <v>0</v>
      </c>
      <c r="BM30" s="160">
        <f>IF(AND(K30&gt;0,E30&gt;0),1,0)</f>
        <v>0</v>
      </c>
      <c r="BN30" s="161">
        <f>IF(AND(BM30=1,J30&gt;8),K30,(IF(AND(BM30=1,J30&gt;0),J30,0)))</f>
        <v>0</v>
      </c>
      <c r="BO30" s="161">
        <f t="shared" ref="BO30:BO31" si="101">IF(AND(BM30=1,40-BL29&gt;0,40-BL29&lt;8),40-BL29,IF(AND(J30&lt;K30),J30,K30))</f>
        <v>0</v>
      </c>
      <c r="BP30" s="161">
        <f t="shared" ref="BP30:BP34" si="102">IF(AND(BM30=1,BL30&gt;40,J30&lt;=K30),J30-BO30,IF(AND(BM30=1,BL30&gt;0,J30&gt;K30),K30-BO30,0))</f>
        <v>0</v>
      </c>
      <c r="BQ30" s="160"/>
    </row>
    <row r="31" spans="1:69" ht="15" customHeight="1">
      <c r="A31" s="225">
        <f t="shared" ref="A31:A36" si="103">IF(A30&lt;$O$7,A30+1,IF(A30=$O$7,""))</f>
        <v>44592</v>
      </c>
      <c r="B31" s="226"/>
      <c r="C31" s="227"/>
      <c r="D31" s="32" t="s">
        <v>24</v>
      </c>
      <c r="E31" s="176"/>
      <c r="F31" s="176"/>
      <c r="G31" s="177"/>
      <c r="H31" s="176"/>
      <c r="I31" s="176"/>
      <c r="J31" s="178"/>
      <c r="K31" s="178"/>
      <c r="L31" s="179"/>
      <c r="M31" s="176"/>
      <c r="N31" s="176"/>
      <c r="O31" s="110">
        <f t="shared" ref="O31:O36" si="104">SUM(E31:N31)-J31</f>
        <v>0</v>
      </c>
      <c r="P31" s="50" t="str">
        <f t="shared" ref="P31:P36" si="105">IF(AND(ISNUMBER(AA31),ISNUMBER(X31)),AA31*X31,"")</f>
        <v/>
      </c>
      <c r="Q31" s="51"/>
      <c r="R31" s="50" t="str">
        <f t="shared" ref="R31:R36" si="106">IF(AND(ISNUMBER(AB31),ISNUMBER(X31)),AB31*X31,"")</f>
        <v/>
      </c>
      <c r="S31" s="52"/>
      <c r="T31" s="52"/>
      <c r="U31" s="149">
        <f t="shared" si="34"/>
        <v>0</v>
      </c>
      <c r="V31" s="150">
        <f t="shared" ref="V31:V36" si="107">IF(BK31&gt;0,BK31,0)</f>
        <v>0</v>
      </c>
      <c r="W31" s="50"/>
      <c r="X31" s="49">
        <f>IF(ISNA(INDEX('Conversion Factors'!$B$6:$B$370,MATCH('Jan 16 - Jan 31'!$Z$30:$Z$36,'Conversion Factors'!$A$6:$A$370,0))),"",INDEX('Conversion Factors'!$B$6:$B$370,MATCH('Jan 16 - Jan 31'!$Z$30:$Z$36,'Conversion Factors'!$A$6:$A$370,0)))</f>
        <v>7.8789999999999996</v>
      </c>
      <c r="Z31" s="17">
        <f t="shared" si="80"/>
        <v>44592</v>
      </c>
      <c r="AA31" s="57" t="str">
        <f t="shared" si="81"/>
        <v/>
      </c>
      <c r="AB31" s="57" t="str">
        <f t="shared" si="82"/>
        <v/>
      </c>
      <c r="AH31" s="71">
        <f t="shared" si="83"/>
        <v>0</v>
      </c>
      <c r="AI31" s="68">
        <f>IF(AH31&gt;$AI$12,AH31-($AI$12+AI30+AI29),0)</f>
        <v>0</v>
      </c>
      <c r="AJ31" s="145" t="b">
        <f t="shared" si="84"/>
        <v>0</v>
      </c>
      <c r="AK31" s="151" t="b">
        <f t="shared" ref="AK31:AK36" si="108">IF(AND(AO31&gt;0,AO31),IF(AP31&gt;0,AP31,IF(AQ31&gt;0,AQ31,IF(AR31&gt;0,AR31,IF(AU31&gt;0,AU31,0)))))</f>
        <v>0</v>
      </c>
      <c r="AM31" s="147">
        <f t="shared" si="85"/>
        <v>0</v>
      </c>
      <c r="AO31" s="162">
        <f t="shared" si="86"/>
        <v>0</v>
      </c>
      <c r="AP31" s="162">
        <f t="shared" si="87"/>
        <v>0</v>
      </c>
      <c r="AQ31" s="153">
        <f t="shared" si="88"/>
        <v>0</v>
      </c>
      <c r="AR31" s="162">
        <f t="shared" si="89"/>
        <v>0</v>
      </c>
      <c r="AS31" s="154">
        <f t="shared" si="90"/>
        <v>0</v>
      </c>
      <c r="AT31" s="154">
        <f t="shared" ref="AT31:AT33" si="109">IF(AND(AH30&lt;=40),40-AH30,0)</f>
        <v>40</v>
      </c>
      <c r="AU31" s="155">
        <f t="shared" ref="AU31:AU36" si="110">AS31</f>
        <v>0</v>
      </c>
      <c r="AV31" s="156">
        <f t="shared" si="91"/>
        <v>0</v>
      </c>
      <c r="AW31" s="157">
        <f t="shared" ref="AW31:AW36" si="111">AV31</f>
        <v>0</v>
      </c>
      <c r="AY31" s="157">
        <f t="shared" si="92"/>
        <v>0</v>
      </c>
      <c r="AZ31" s="152">
        <f t="shared" si="93"/>
        <v>0</v>
      </c>
      <c r="BA31" s="152">
        <f t="shared" si="94"/>
        <v>0</v>
      </c>
      <c r="BB31" s="158">
        <f t="shared" si="95"/>
        <v>0</v>
      </c>
      <c r="BC31" s="152">
        <f t="shared" si="96"/>
        <v>0</v>
      </c>
      <c r="BD31" s="154">
        <f t="shared" si="97"/>
        <v>0</v>
      </c>
      <c r="BE31" s="154">
        <f>IF(AND(AH30&lt;=40),40-AH30,0)</f>
        <v>40</v>
      </c>
      <c r="BF31" s="159">
        <f t="shared" ref="BF31:BF36" si="112">BD31</f>
        <v>0</v>
      </c>
      <c r="BG31" s="160"/>
      <c r="BH31" s="160">
        <f>IF(AND(G31&gt;0,E31&gt;0),1,0)</f>
        <v>0</v>
      </c>
      <c r="BI31" s="161">
        <f t="shared" si="98"/>
        <v>40</v>
      </c>
      <c r="BJ31" s="161">
        <f t="shared" si="99"/>
        <v>0</v>
      </c>
      <c r="BK31" s="161">
        <f t="shared" si="100"/>
        <v>0</v>
      </c>
      <c r="BL31" s="161">
        <f>SUM(E30:E31)</f>
        <v>0</v>
      </c>
      <c r="BM31" s="160">
        <f t="shared" ref="BM31:BM36" si="113">IF(AND(K31&gt;0,E31&gt;0),1,0)</f>
        <v>0</v>
      </c>
      <c r="BN31" s="161">
        <f>IF(AND(BM31=1,J31&gt;8),K31,(IF(AND(BM31=1,J31&gt;0),J31,0)))</f>
        <v>0</v>
      </c>
      <c r="BO31" s="161">
        <f t="shared" si="101"/>
        <v>0</v>
      </c>
      <c r="BP31" s="161">
        <f t="shared" si="102"/>
        <v>0</v>
      </c>
      <c r="BQ31" s="160"/>
    </row>
    <row r="32" spans="1:69" ht="15" customHeight="1">
      <c r="A32" s="225" t="str">
        <f t="shared" si="103"/>
        <v/>
      </c>
      <c r="B32" s="226"/>
      <c r="C32" s="227"/>
      <c r="D32" s="32" t="s">
        <v>25</v>
      </c>
      <c r="E32" s="52"/>
      <c r="F32" s="52"/>
      <c r="G32" s="77"/>
      <c r="H32" s="52"/>
      <c r="I32" s="52"/>
      <c r="J32" s="108"/>
      <c r="K32" s="108"/>
      <c r="L32" s="109"/>
      <c r="M32" s="52"/>
      <c r="N32" s="52"/>
      <c r="O32" s="110">
        <f t="shared" si="104"/>
        <v>0</v>
      </c>
      <c r="P32" s="50" t="str">
        <f t="shared" si="105"/>
        <v/>
      </c>
      <c r="Q32" s="51"/>
      <c r="R32" s="50" t="str">
        <f t="shared" si="106"/>
        <v/>
      </c>
      <c r="S32" s="52"/>
      <c r="T32" s="52"/>
      <c r="U32" s="149">
        <f t="shared" si="34"/>
        <v>0</v>
      </c>
      <c r="V32" s="150">
        <f t="shared" si="107"/>
        <v>0</v>
      </c>
      <c r="W32" s="50"/>
      <c r="X32" s="49" t="str">
        <f>IF(ISNA(INDEX('Conversion Factors'!$B$6:$B$370,MATCH('Jan 16 - Jan 31'!$Z$30:$Z$36,'Conversion Factors'!$A$6:$A$370,0))),"",INDEX('Conversion Factors'!$B$6:$B$370,MATCH('Jan 16 - Jan 31'!$Z$30:$Z$36,'Conversion Factors'!$A$6:$A$370,0)))</f>
        <v/>
      </c>
      <c r="Z32" s="17" t="str">
        <f t="shared" si="80"/>
        <v/>
      </c>
      <c r="AA32" s="57" t="str">
        <f t="shared" si="81"/>
        <v/>
      </c>
      <c r="AB32" s="57" t="str">
        <f t="shared" si="82"/>
        <v/>
      </c>
      <c r="AG32" s="1"/>
      <c r="AH32" s="71">
        <f t="shared" si="83"/>
        <v>0</v>
      </c>
      <c r="AI32" s="68">
        <f>IF(AH32&gt;$AI$12,AH32-($AI$12+AI31+AI30+AI29),0)</f>
        <v>0</v>
      </c>
      <c r="AJ32" s="145" t="b">
        <f t="shared" si="84"/>
        <v>0</v>
      </c>
      <c r="AK32" s="151" t="b">
        <f t="shared" si="108"/>
        <v>0</v>
      </c>
      <c r="AM32" s="147">
        <f t="shared" si="85"/>
        <v>0</v>
      </c>
      <c r="AO32" s="162">
        <f t="shared" si="86"/>
        <v>0</v>
      </c>
      <c r="AP32" s="162">
        <f t="shared" si="87"/>
        <v>0</v>
      </c>
      <c r="AQ32" s="153">
        <f t="shared" si="88"/>
        <v>0</v>
      </c>
      <c r="AR32" s="162">
        <f t="shared" si="89"/>
        <v>0</v>
      </c>
      <c r="AS32" s="154">
        <f t="shared" si="90"/>
        <v>0</v>
      </c>
      <c r="AT32" s="154">
        <f t="shared" si="109"/>
        <v>40</v>
      </c>
      <c r="AU32" s="155">
        <f t="shared" si="110"/>
        <v>0</v>
      </c>
      <c r="AV32" s="156">
        <f t="shared" si="91"/>
        <v>0</v>
      </c>
      <c r="AW32" s="157">
        <f t="shared" si="111"/>
        <v>0</v>
      </c>
      <c r="AY32" s="157">
        <f t="shared" si="92"/>
        <v>0</v>
      </c>
      <c r="AZ32" s="152">
        <f t="shared" si="93"/>
        <v>0</v>
      </c>
      <c r="BA32" s="152">
        <f t="shared" si="94"/>
        <v>0</v>
      </c>
      <c r="BB32" s="158">
        <f t="shared" si="95"/>
        <v>0</v>
      </c>
      <c r="BC32" s="152">
        <f t="shared" si="96"/>
        <v>0</v>
      </c>
      <c r="BD32" s="154">
        <f t="shared" si="97"/>
        <v>0</v>
      </c>
      <c r="BE32" s="154">
        <f t="shared" ref="BE32:BE36" si="114">IF(AND(AH31&lt;=40),40-AH31,0)</f>
        <v>40</v>
      </c>
      <c r="BF32" s="159">
        <f t="shared" si="112"/>
        <v>0</v>
      </c>
      <c r="BG32" s="160"/>
      <c r="BH32" s="160">
        <f>IF(AND(G32&gt;0,E32&gt;0),1,0)</f>
        <v>0</v>
      </c>
      <c r="BI32" s="161">
        <f t="shared" si="98"/>
        <v>40</v>
      </c>
      <c r="BJ32" s="161">
        <f t="shared" si="99"/>
        <v>0</v>
      </c>
      <c r="BK32" s="161">
        <f t="shared" si="100"/>
        <v>0</v>
      </c>
      <c r="BL32" s="161">
        <f>SUM(E30:E32)</f>
        <v>0</v>
      </c>
      <c r="BM32" s="160">
        <f t="shared" si="113"/>
        <v>0</v>
      </c>
      <c r="BN32" s="161">
        <f>IF(AND(BM32=1,J32&gt;8),K32,(IF(AND(BM32=1,J32&gt;0),J32,0)))</f>
        <v>0</v>
      </c>
      <c r="BO32" s="161">
        <f>IF(AND(BM32=1,40-BL31&gt;0,40-BL31&lt;8),40-BL31,IF(AND(J32&lt;K32),J32,K32))</f>
        <v>0</v>
      </c>
      <c r="BP32" s="161">
        <f t="shared" si="102"/>
        <v>0</v>
      </c>
      <c r="BQ32" s="160"/>
    </row>
    <row r="33" spans="1:69" ht="15" customHeight="1">
      <c r="A33" s="225" t="b">
        <f t="shared" si="103"/>
        <v>0</v>
      </c>
      <c r="B33" s="226"/>
      <c r="C33" s="227"/>
      <c r="D33" s="32" t="s">
        <v>26</v>
      </c>
      <c r="E33" s="52"/>
      <c r="F33" s="52"/>
      <c r="G33" s="77"/>
      <c r="H33" s="52"/>
      <c r="I33" s="52"/>
      <c r="J33" s="108"/>
      <c r="K33" s="108"/>
      <c r="L33" s="109"/>
      <c r="M33" s="52"/>
      <c r="N33" s="52"/>
      <c r="O33" s="110">
        <f t="shared" si="104"/>
        <v>0</v>
      </c>
      <c r="P33" s="50" t="str">
        <f t="shared" si="105"/>
        <v/>
      </c>
      <c r="Q33" s="51"/>
      <c r="R33" s="50" t="str">
        <f t="shared" si="106"/>
        <v/>
      </c>
      <c r="S33" s="52"/>
      <c r="T33" s="52"/>
      <c r="U33" s="149">
        <f t="shared" si="34"/>
        <v>0</v>
      </c>
      <c r="V33" s="150">
        <f t="shared" si="107"/>
        <v>0</v>
      </c>
      <c r="W33" s="50"/>
      <c r="X33" s="49" t="str">
        <f>IF(ISNA(INDEX('Conversion Factors'!$B$6:$B$370,MATCH('Jan 16 - Jan 31'!$Z$30:$Z$36,'Conversion Factors'!$A$6:$A$370,0))),"",INDEX('Conversion Factors'!$B$6:$B$370,MATCH('Jan 16 - Jan 31'!$Z$30:$Z$36,'Conversion Factors'!$A$6:$A$370,0)))</f>
        <v/>
      </c>
      <c r="Z33" s="17" t="b">
        <f t="shared" si="80"/>
        <v>0</v>
      </c>
      <c r="AA33" s="57" t="str">
        <f t="shared" si="81"/>
        <v/>
      </c>
      <c r="AB33" s="57" t="str">
        <f t="shared" si="82"/>
        <v/>
      </c>
      <c r="AG33" s="1"/>
      <c r="AH33" s="71">
        <f t="shared" si="83"/>
        <v>0</v>
      </c>
      <c r="AI33" s="68">
        <f>IF(AH33&gt;$AI$12,AH33-($AI$12+AI32+AI31+AI30+AI29),0)</f>
        <v>0</v>
      </c>
      <c r="AJ33" s="145" t="b">
        <f t="shared" si="84"/>
        <v>0</v>
      </c>
      <c r="AK33" s="151" t="b">
        <f t="shared" si="108"/>
        <v>0</v>
      </c>
      <c r="AM33" s="147">
        <f t="shared" si="85"/>
        <v>0</v>
      </c>
      <c r="AO33" s="162">
        <f t="shared" si="86"/>
        <v>0</v>
      </c>
      <c r="AP33" s="162">
        <f t="shared" si="87"/>
        <v>0</v>
      </c>
      <c r="AQ33" s="153">
        <f t="shared" si="88"/>
        <v>0</v>
      </c>
      <c r="AR33" s="162">
        <f t="shared" si="89"/>
        <v>0</v>
      </c>
      <c r="AS33" s="154">
        <f t="shared" si="90"/>
        <v>0</v>
      </c>
      <c r="AT33" s="154">
        <f t="shared" si="109"/>
        <v>40</v>
      </c>
      <c r="AU33" s="155">
        <f t="shared" si="110"/>
        <v>0</v>
      </c>
      <c r="AV33" s="156">
        <f t="shared" si="91"/>
        <v>0</v>
      </c>
      <c r="AW33" s="157">
        <f t="shared" si="111"/>
        <v>0</v>
      </c>
      <c r="AY33" s="157">
        <f t="shared" si="92"/>
        <v>0</v>
      </c>
      <c r="AZ33" s="152">
        <f t="shared" si="93"/>
        <v>0</v>
      </c>
      <c r="BA33" s="152">
        <f t="shared" si="94"/>
        <v>0</v>
      </c>
      <c r="BB33" s="158">
        <f t="shared" si="95"/>
        <v>0</v>
      </c>
      <c r="BC33" s="152">
        <f t="shared" si="96"/>
        <v>0</v>
      </c>
      <c r="BD33" s="154">
        <f t="shared" si="97"/>
        <v>0</v>
      </c>
      <c r="BE33" s="154">
        <f t="shared" si="114"/>
        <v>40</v>
      </c>
      <c r="BF33" s="159">
        <f t="shared" si="112"/>
        <v>0</v>
      </c>
      <c r="BG33" s="160"/>
      <c r="BH33" s="160">
        <f t="shared" ref="BH33:BH37" si="115">IF(AND(G33&gt;0,E33&gt;0),1,0)</f>
        <v>0</v>
      </c>
      <c r="BI33" s="161">
        <f t="shared" si="98"/>
        <v>40</v>
      </c>
      <c r="BJ33" s="161">
        <f t="shared" si="99"/>
        <v>0</v>
      </c>
      <c r="BK33" s="161">
        <f t="shared" si="100"/>
        <v>0</v>
      </c>
      <c r="BL33" s="161">
        <f>SUM(E30:E33)</f>
        <v>0</v>
      </c>
      <c r="BM33" s="160">
        <f t="shared" si="113"/>
        <v>0</v>
      </c>
      <c r="BN33" s="161">
        <f t="shared" ref="BN33:BN36" si="116">IF(AND(BM33=1,J33&gt;8),K33,(IF(AND(BM33=1,J33&gt;0),J33,0)))</f>
        <v>0</v>
      </c>
      <c r="BO33" s="161">
        <f t="shared" ref="BO33:BO36" si="117">IF(AND(BM33=1,40-BL32&gt;0,40-BL32&lt;8),40-BL32,IF(AND(J33&lt;K33),J33,K33))</f>
        <v>0</v>
      </c>
      <c r="BP33" s="161">
        <f t="shared" si="102"/>
        <v>0</v>
      </c>
      <c r="BQ33" s="160"/>
    </row>
    <row r="34" spans="1:69" ht="15" customHeight="1">
      <c r="A34" s="225" t="b">
        <f t="shared" si="103"/>
        <v>0</v>
      </c>
      <c r="B34" s="226"/>
      <c r="C34" s="227"/>
      <c r="D34" s="32" t="s">
        <v>27</v>
      </c>
      <c r="E34" s="52"/>
      <c r="F34" s="52"/>
      <c r="G34" s="77"/>
      <c r="H34" s="52"/>
      <c r="I34" s="52"/>
      <c r="J34" s="108"/>
      <c r="K34" s="108"/>
      <c r="L34" s="109"/>
      <c r="M34" s="52"/>
      <c r="N34" s="52"/>
      <c r="O34" s="110">
        <f t="shared" si="104"/>
        <v>0</v>
      </c>
      <c r="P34" s="50" t="str">
        <f t="shared" si="105"/>
        <v/>
      </c>
      <c r="Q34" s="51"/>
      <c r="R34" s="50" t="str">
        <f t="shared" si="106"/>
        <v/>
      </c>
      <c r="S34" s="52"/>
      <c r="T34" s="52"/>
      <c r="U34" s="149">
        <f t="shared" si="34"/>
        <v>0</v>
      </c>
      <c r="V34" s="150">
        <f t="shared" si="107"/>
        <v>0</v>
      </c>
      <c r="W34" s="50"/>
      <c r="X34" s="49" t="str">
        <f>IF(ISNA(INDEX('Conversion Factors'!$B$6:$B$370,MATCH('Jan 16 - Jan 31'!$Z$30:$Z$36,'Conversion Factors'!$A$6:$A$370,0))),"",INDEX('Conversion Factors'!$B$6:$B$370,MATCH('Jan 16 - Jan 31'!$Z$30:$Z$36,'Conversion Factors'!$A$6:$A$370,0)))</f>
        <v/>
      </c>
      <c r="Z34" s="17" t="b">
        <f t="shared" si="80"/>
        <v>0</v>
      </c>
      <c r="AA34" s="57" t="str">
        <f t="shared" si="81"/>
        <v/>
      </c>
      <c r="AB34" s="57" t="str">
        <f t="shared" si="82"/>
        <v/>
      </c>
      <c r="AH34" s="71">
        <f t="shared" si="83"/>
        <v>0</v>
      </c>
      <c r="AI34" s="68">
        <f>IF(AH34&gt;$AI$12,AH34-($AI$12+AI33+AI32+AI31+AI30+AI29),0)</f>
        <v>0</v>
      </c>
      <c r="AJ34" s="145" t="b">
        <f t="shared" si="84"/>
        <v>0</v>
      </c>
      <c r="AK34" s="151" t="b">
        <f t="shared" si="108"/>
        <v>0</v>
      </c>
      <c r="AM34" s="147">
        <f t="shared" si="85"/>
        <v>0</v>
      </c>
      <c r="AO34" s="162">
        <f t="shared" si="86"/>
        <v>0</v>
      </c>
      <c r="AP34" s="162">
        <f t="shared" si="87"/>
        <v>0</v>
      </c>
      <c r="AQ34" s="153">
        <f t="shared" si="88"/>
        <v>0</v>
      </c>
      <c r="AR34" s="162">
        <f t="shared" si="89"/>
        <v>0</v>
      </c>
      <c r="AS34" s="154">
        <f t="shared" si="90"/>
        <v>0</v>
      </c>
      <c r="AT34" s="154">
        <f>IF(AND(AH33&lt;=40),40-AH33,0)</f>
        <v>40</v>
      </c>
      <c r="AU34" s="155">
        <f t="shared" si="110"/>
        <v>0</v>
      </c>
      <c r="AV34" s="156">
        <f t="shared" si="91"/>
        <v>0</v>
      </c>
      <c r="AW34" s="157">
        <f t="shared" si="111"/>
        <v>0</v>
      </c>
      <c r="AY34" s="157">
        <f t="shared" si="92"/>
        <v>0</v>
      </c>
      <c r="AZ34" s="152">
        <f t="shared" si="93"/>
        <v>0</v>
      </c>
      <c r="BA34" s="152">
        <f t="shared" si="94"/>
        <v>0</v>
      </c>
      <c r="BB34" s="158">
        <f t="shared" si="95"/>
        <v>0</v>
      </c>
      <c r="BC34" s="152">
        <f t="shared" si="96"/>
        <v>0</v>
      </c>
      <c r="BD34" s="154">
        <f t="shared" si="97"/>
        <v>0</v>
      </c>
      <c r="BE34" s="154">
        <f t="shared" si="114"/>
        <v>40</v>
      </c>
      <c r="BF34" s="159">
        <f t="shared" si="112"/>
        <v>0</v>
      </c>
      <c r="BG34" s="160"/>
      <c r="BH34" s="160">
        <f t="shared" si="115"/>
        <v>0</v>
      </c>
      <c r="BI34" s="161">
        <f t="shared" si="98"/>
        <v>40</v>
      </c>
      <c r="BJ34" s="161">
        <f t="shared" si="99"/>
        <v>0</v>
      </c>
      <c r="BK34" s="161">
        <f t="shared" si="100"/>
        <v>0</v>
      </c>
      <c r="BL34" s="161">
        <f>SUM(E30:E34)</f>
        <v>0</v>
      </c>
      <c r="BM34" s="160">
        <f t="shared" si="113"/>
        <v>0</v>
      </c>
      <c r="BN34" s="161">
        <f t="shared" si="116"/>
        <v>0</v>
      </c>
      <c r="BO34" s="161">
        <f t="shared" si="117"/>
        <v>0</v>
      </c>
      <c r="BP34" s="161">
        <f t="shared" si="102"/>
        <v>0</v>
      </c>
      <c r="BQ34" s="160"/>
    </row>
    <row r="35" spans="1:69" ht="15" customHeight="1">
      <c r="A35" s="225" t="b">
        <f t="shared" si="103"/>
        <v>0</v>
      </c>
      <c r="B35" s="226"/>
      <c r="C35" s="227"/>
      <c r="D35" s="32" t="s">
        <v>28</v>
      </c>
      <c r="E35" s="52"/>
      <c r="F35" s="52"/>
      <c r="G35" s="77"/>
      <c r="H35" s="52"/>
      <c r="I35" s="52"/>
      <c r="J35" s="108"/>
      <c r="K35" s="108"/>
      <c r="L35" s="109"/>
      <c r="M35" s="52"/>
      <c r="N35" s="52"/>
      <c r="O35" s="110">
        <f t="shared" si="104"/>
        <v>0</v>
      </c>
      <c r="P35" s="50" t="str">
        <f t="shared" si="105"/>
        <v/>
      </c>
      <c r="Q35" s="51"/>
      <c r="R35" s="50" t="str">
        <f t="shared" si="106"/>
        <v/>
      </c>
      <c r="S35" s="52"/>
      <c r="T35" s="52"/>
      <c r="U35" s="149">
        <f t="shared" si="34"/>
        <v>0</v>
      </c>
      <c r="V35" s="150">
        <f t="shared" si="107"/>
        <v>0</v>
      </c>
      <c r="W35" s="50"/>
      <c r="X35" s="49" t="str">
        <f>IF(ISNA(INDEX('Conversion Factors'!$B$6:$B$370,MATCH('Jan 16 - Jan 31'!$Z$30:$Z$36,'Conversion Factors'!$A$6:$A$370,0))),"",INDEX('Conversion Factors'!$B$6:$B$370,MATCH('Jan 16 - Jan 31'!$Z$30:$Z$36,'Conversion Factors'!$A$6:$A$370,0)))</f>
        <v/>
      </c>
      <c r="Z35" s="17" t="b">
        <f t="shared" si="80"/>
        <v>0</v>
      </c>
      <c r="AA35" s="57" t="str">
        <f t="shared" si="81"/>
        <v/>
      </c>
      <c r="AB35" s="57" t="str">
        <f t="shared" si="82"/>
        <v/>
      </c>
      <c r="AH35" s="71">
        <f t="shared" si="83"/>
        <v>0</v>
      </c>
      <c r="AI35" s="68">
        <f>IF(AH35&gt;$AI$12,AH35-($AI$12+AI34+AI33+AI32+AI31+AI30+AI29),0)</f>
        <v>0</v>
      </c>
      <c r="AJ35" s="145" t="b">
        <f t="shared" si="84"/>
        <v>0</v>
      </c>
      <c r="AK35" s="151" t="b">
        <f t="shared" si="108"/>
        <v>0</v>
      </c>
      <c r="AM35" s="147">
        <f t="shared" si="85"/>
        <v>0</v>
      </c>
      <c r="AO35" s="162">
        <f t="shared" si="86"/>
        <v>0</v>
      </c>
      <c r="AP35" s="162">
        <f t="shared" si="87"/>
        <v>0</v>
      </c>
      <c r="AQ35" s="153">
        <f t="shared" si="88"/>
        <v>0</v>
      </c>
      <c r="AR35" s="162">
        <f t="shared" si="89"/>
        <v>0</v>
      </c>
      <c r="AS35" s="154">
        <f t="shared" si="90"/>
        <v>0</v>
      </c>
      <c r="AT35" s="154">
        <f t="shared" ref="AT35:AT36" si="118">IF(AND(AH34&lt;=40),40-AH34,0)</f>
        <v>40</v>
      </c>
      <c r="AU35" s="155">
        <f t="shared" si="110"/>
        <v>0</v>
      </c>
      <c r="AV35" s="156">
        <f t="shared" si="91"/>
        <v>0</v>
      </c>
      <c r="AW35" s="157">
        <f t="shared" si="111"/>
        <v>0</v>
      </c>
      <c r="AY35" s="157">
        <f t="shared" si="92"/>
        <v>0</v>
      </c>
      <c r="AZ35" s="152">
        <f t="shared" si="93"/>
        <v>0</v>
      </c>
      <c r="BA35" s="152">
        <f t="shared" si="94"/>
        <v>0</v>
      </c>
      <c r="BB35" s="158">
        <f t="shared" si="95"/>
        <v>0</v>
      </c>
      <c r="BC35" s="152">
        <f t="shared" si="96"/>
        <v>0</v>
      </c>
      <c r="BD35" s="154">
        <f t="shared" si="97"/>
        <v>0</v>
      </c>
      <c r="BE35" s="154">
        <f t="shared" si="114"/>
        <v>40</v>
      </c>
      <c r="BF35" s="159">
        <f t="shared" si="112"/>
        <v>0</v>
      </c>
      <c r="BG35" s="160"/>
      <c r="BH35" s="160">
        <f t="shared" si="115"/>
        <v>0</v>
      </c>
      <c r="BI35" s="161">
        <f t="shared" si="98"/>
        <v>40</v>
      </c>
      <c r="BJ35" s="161">
        <f t="shared" si="99"/>
        <v>0</v>
      </c>
      <c r="BK35" s="161">
        <f t="shared" si="100"/>
        <v>0</v>
      </c>
      <c r="BL35" s="161">
        <f>SUM(E30:E35)</f>
        <v>0</v>
      </c>
      <c r="BM35" s="160">
        <f t="shared" si="113"/>
        <v>0</v>
      </c>
      <c r="BN35" s="161">
        <f t="shared" si="116"/>
        <v>0</v>
      </c>
      <c r="BO35" s="161">
        <f t="shared" si="117"/>
        <v>0</v>
      </c>
      <c r="BP35" s="161">
        <f>IF(AND(BM35=1,BL35&gt;40,J35&lt;=K35),J35-BO35,IF(AND(BM35=1,BL35&gt;0,J35&gt;K35),K35-BO35,0))</f>
        <v>0</v>
      </c>
      <c r="BQ35" s="160"/>
    </row>
    <row r="36" spans="1:69" ht="15" customHeight="1" thickBot="1">
      <c r="A36" s="225" t="b">
        <f t="shared" si="103"/>
        <v>0</v>
      </c>
      <c r="B36" s="226"/>
      <c r="C36" s="227"/>
      <c r="D36" s="32" t="s">
        <v>29</v>
      </c>
      <c r="E36" s="52"/>
      <c r="F36" s="52"/>
      <c r="G36" s="77"/>
      <c r="H36" s="52"/>
      <c r="I36" s="52"/>
      <c r="J36" s="108"/>
      <c r="K36" s="108"/>
      <c r="L36" s="109"/>
      <c r="M36" s="52"/>
      <c r="N36" s="52"/>
      <c r="O36" s="110">
        <f t="shared" si="104"/>
        <v>0</v>
      </c>
      <c r="P36" s="50" t="str">
        <f t="shared" si="105"/>
        <v/>
      </c>
      <c r="Q36" s="52"/>
      <c r="R36" s="50" t="str">
        <f t="shared" si="106"/>
        <v/>
      </c>
      <c r="S36" s="52"/>
      <c r="T36" s="52"/>
      <c r="U36" s="149">
        <f t="shared" si="34"/>
        <v>0</v>
      </c>
      <c r="V36" s="150">
        <f t="shared" si="107"/>
        <v>0</v>
      </c>
      <c r="W36" s="50"/>
      <c r="X36" s="49" t="str">
        <f>IF(ISNA(INDEX('Conversion Factors'!$B$6:$B$370,MATCH('Jan 16 - Jan 31'!$Z$30:$Z$36,'Conversion Factors'!$A$6:$A$370,0))),"",INDEX('Conversion Factors'!$B$6:$B$370,MATCH('Jan 16 - Jan 31'!$Z$30:$Z$36,'Conversion Factors'!$A$6:$A$370,0)))</f>
        <v/>
      </c>
      <c r="Z36" s="17" t="b">
        <f t="shared" si="80"/>
        <v>0</v>
      </c>
      <c r="AA36" s="57" t="str">
        <f t="shared" si="81"/>
        <v/>
      </c>
      <c r="AB36" s="57" t="str">
        <f t="shared" si="82"/>
        <v/>
      </c>
      <c r="AH36" s="71">
        <f t="shared" si="83"/>
        <v>0</v>
      </c>
      <c r="AI36" s="68">
        <f>IF(AH36&gt;$AI$12,AH36-($AI$12+AI35+AI34+AI33+AI32+AI31+AI30+AI29),0)</f>
        <v>0</v>
      </c>
      <c r="AJ36" s="145" t="b">
        <f t="shared" si="84"/>
        <v>0</v>
      </c>
      <c r="AK36" s="151" t="b">
        <f t="shared" si="108"/>
        <v>0</v>
      </c>
      <c r="AM36" s="147">
        <f t="shared" si="85"/>
        <v>0</v>
      </c>
      <c r="AO36" s="163">
        <f t="shared" si="86"/>
        <v>0</v>
      </c>
      <c r="AP36" s="163">
        <f t="shared" si="87"/>
        <v>0</v>
      </c>
      <c r="AQ36" s="153">
        <f t="shared" si="88"/>
        <v>0</v>
      </c>
      <c r="AR36" s="163">
        <f t="shared" si="89"/>
        <v>0</v>
      </c>
      <c r="AS36" s="154">
        <f t="shared" si="90"/>
        <v>0</v>
      </c>
      <c r="AT36" s="154">
        <f t="shared" si="118"/>
        <v>40</v>
      </c>
      <c r="AU36" s="155">
        <f t="shared" si="110"/>
        <v>0</v>
      </c>
      <c r="AV36" s="156">
        <f t="shared" si="91"/>
        <v>0</v>
      </c>
      <c r="AW36" s="157">
        <f t="shared" si="111"/>
        <v>0</v>
      </c>
      <c r="AY36" s="157">
        <f t="shared" si="92"/>
        <v>0</v>
      </c>
      <c r="AZ36" s="152">
        <f t="shared" si="93"/>
        <v>0</v>
      </c>
      <c r="BA36" s="152">
        <f t="shared" si="94"/>
        <v>0</v>
      </c>
      <c r="BB36" s="158">
        <f t="shared" si="95"/>
        <v>0</v>
      </c>
      <c r="BC36" s="152">
        <f t="shared" si="96"/>
        <v>0</v>
      </c>
      <c r="BD36" s="154">
        <f t="shared" si="97"/>
        <v>0</v>
      </c>
      <c r="BE36" s="154">
        <f t="shared" si="114"/>
        <v>40</v>
      </c>
      <c r="BF36" s="159">
        <f t="shared" si="112"/>
        <v>0</v>
      </c>
      <c r="BG36" s="160"/>
      <c r="BH36" s="160">
        <f t="shared" si="115"/>
        <v>0</v>
      </c>
      <c r="BI36" s="161">
        <f t="shared" si="98"/>
        <v>40</v>
      </c>
      <c r="BJ36" s="161">
        <f t="shared" si="99"/>
        <v>0</v>
      </c>
      <c r="BK36" s="161">
        <f t="shared" si="100"/>
        <v>0</v>
      </c>
      <c r="BL36" s="161">
        <f>SUM(E30:E36)</f>
        <v>0</v>
      </c>
      <c r="BM36" s="160">
        <f t="shared" si="113"/>
        <v>0</v>
      </c>
      <c r="BN36" s="161">
        <f t="shared" si="116"/>
        <v>0</v>
      </c>
      <c r="BO36" s="161">
        <f t="shared" si="117"/>
        <v>0</v>
      </c>
      <c r="BP36" s="161">
        <f>IF(AND(BM36=1,BL36&gt;40,J36&lt;=K36),J36-BO36,IF(AND(BM36=1,BL36&gt;0,J36&gt;K36),K36-BO36,0))</f>
        <v>0</v>
      </c>
      <c r="BQ36" s="160"/>
    </row>
    <row r="37" spans="1:69" ht="15" customHeight="1" thickTop="1" thickBot="1">
      <c r="A37" s="228" t="s">
        <v>31</v>
      </c>
      <c r="B37" s="229"/>
      <c r="C37" s="230"/>
      <c r="D37" s="48"/>
      <c r="E37" s="34">
        <f t="shared" ref="E37:N37" si="119">SUM(E30:E36)</f>
        <v>0</v>
      </c>
      <c r="F37" s="34">
        <f t="shared" si="119"/>
        <v>0</v>
      </c>
      <c r="G37" s="76">
        <f t="shared" si="119"/>
        <v>0</v>
      </c>
      <c r="H37" s="34">
        <f t="shared" si="119"/>
        <v>0</v>
      </c>
      <c r="I37" s="34">
        <f t="shared" si="119"/>
        <v>0</v>
      </c>
      <c r="J37" s="74"/>
      <c r="K37" s="74">
        <f t="shared" si="119"/>
        <v>0</v>
      </c>
      <c r="L37" s="34">
        <f t="shared" si="119"/>
        <v>0</v>
      </c>
      <c r="M37" s="34">
        <f t="shared" si="119"/>
        <v>0</v>
      </c>
      <c r="N37" s="34">
        <f t="shared" si="119"/>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5"/>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4"/>
        <v>0</v>
      </c>
      <c r="V38" s="150">
        <f>IF(BK38&gt;0,BK38,0)</f>
        <v>0</v>
      </c>
      <c r="W38" s="50"/>
      <c r="X38" s="49" t="str">
        <f>IF(ISNA(INDEX('Conversion Factors'!$B$6:$B$370,MATCH('Jan 16 - Jan 31'!$Z$38:$Z$44,'Conversion Factors'!$A$6:$A$370,0))),"",INDEX('Conversion Factors'!$B$6:$B$370,MATCH('Jan 16 - Jan 31'!$Z$38:$Z$44,'Conversion Factors'!$A$6:$A$370,0)))</f>
        <v/>
      </c>
      <c r="Z38" s="17" t="b">
        <f t="shared" ref="Z38:Z44" si="120">A38</f>
        <v>0</v>
      </c>
      <c r="AA38" s="57" t="str">
        <f t="shared" ref="AA38:AA44" si="121">IF(AND(ISNUMBER(N38),ISNUMBER($Z$12)),N38/$Z$12,"")</f>
        <v/>
      </c>
      <c r="AB38" s="57" t="str">
        <f t="shared" ref="AB38:AB44" si="122">IF(AND(ISNUMBER(Q38),ISNUMBER($Z$12)),Q38/$Z$12,"")</f>
        <v/>
      </c>
      <c r="AC38" s="58"/>
      <c r="AD38" s="59"/>
      <c r="AE38" s="58"/>
      <c r="AF38" s="58"/>
      <c r="AG38" s="64"/>
      <c r="AH38" s="71">
        <f t="shared" ref="AH38:AH44" si="123">E38+AH37</f>
        <v>0</v>
      </c>
      <c r="AI38" s="68">
        <f>IF(AH38&gt;$AI$12,AH38-($AI$12+AI37),0)</f>
        <v>0</v>
      </c>
      <c r="AJ38" s="145" t="b">
        <f t="shared" ref="AJ38:AJ44" si="124">IF(AND(AZ38&gt;0,AZ38),IF(BA38&gt;0,BA38,IF(BB38&gt;0,BB38,IF(BC38&gt;0,BC38,IF(BF38&gt;0,BF38,"")))))</f>
        <v>0</v>
      </c>
      <c r="AK38" s="151" t="b">
        <f>IF(AND(AO38&gt;0,AO38),IF(AP38&gt;0,AP38,IF(AQ38&gt;0,AQ38,IF(AR38&gt;0,AR38,IF(AU38&gt;0,AU38,"")))))</f>
        <v>0</v>
      </c>
      <c r="AM38" s="147">
        <f t="shared" ref="AM38:AM44" si="125">J38</f>
        <v>0</v>
      </c>
      <c r="AO38" s="152">
        <f t="shared" ref="AO38:AO44" si="126">IF(G38=0,0,"")</f>
        <v>0</v>
      </c>
      <c r="AP38" s="152">
        <f t="shared" ref="AP38:AP44" si="127">IF(AND(AH38&lt;=40,E38=G38),G38,0)</f>
        <v>0</v>
      </c>
      <c r="AQ38" s="153">
        <f t="shared" ref="AQ38:AQ44" si="128">IF(AND(AH38&lt;=40,E38&gt;=G38,G38&gt;0),O38-E38,0)</f>
        <v>0</v>
      </c>
      <c r="AR38" s="152">
        <f t="shared" ref="AR38:AR44" si="129">IF(AND(AH38&lt;=40,E38&lt;G38),O38-G38,0)</f>
        <v>0</v>
      </c>
      <c r="AS38" s="154">
        <f t="shared" ref="AS38:AS44" si="130">IF(AND(G38=0),G38,IF(AND(G38&gt;0,AI38&gt;0,G38=AT38),AT38,IF(AND(G38&gt;0,AI38&gt;0,G38-AT38),AT38,0)))</f>
        <v>0</v>
      </c>
      <c r="AT38" s="154"/>
      <c r="AU38" s="155">
        <f>AS38</f>
        <v>0</v>
      </c>
      <c r="AV38" s="156">
        <f t="shared" ref="AV38:AV44" si="131">IF(AND(AH37+AU38=40,AI38&gt;0,AI38&gt;AU38),AI38-AU38,IF(AND(AH37+AU38=40,AI38&gt;0,AI38&lt;AU38,AU38+AI38=G38),AI38,IF(AND(AH37&gt;40,AH38&gt;40,G38=AI38),AI38,0)))</f>
        <v>0</v>
      </c>
      <c r="AW38" s="157">
        <f>AV38</f>
        <v>0</v>
      </c>
      <c r="AY38" s="157">
        <f t="shared" ref="AY38:AY44" si="132">IF(AND(J38&gt;0,AI38&gt;=J38,BB38=0),O38-AI38,IF(AND(J38&gt;0,AI38&gt;0,BB38&lt;=AI38),AI38-BB38,IF(AND(J38&gt;0,AI38&gt;0,BB38&gt;AI38),J38-BB38,0)))</f>
        <v>0</v>
      </c>
      <c r="AZ38" s="152">
        <f t="shared" ref="AZ38:AZ44" si="133">IF(J38=0,0,"")</f>
        <v>0</v>
      </c>
      <c r="BA38" s="152">
        <f t="shared" ref="BA38:BA44" si="134">IF(AND(AH38&lt;=40,E38=J38),J38,0)</f>
        <v>0</v>
      </c>
      <c r="BB38" s="158">
        <f t="shared" ref="BB38:BB44" si="135">IF(AND(AZ38=0),AZ38,IF(AND(AH38&gt;40,E38&gt;=J38),BE38,IF(AND(AH38&lt;=40,E38&gt;J38),J38,0)))</f>
        <v>0</v>
      </c>
      <c r="BC38" s="152">
        <f t="shared" ref="BC38:BC44" si="136">IF(AND(AH38&lt;=40,E38&lt;J38),O38-J38,0)</f>
        <v>0</v>
      </c>
      <c r="BD38" s="154">
        <f t="shared" ref="BD38:BD44" si="137">IF(AND(J38=0),J38,IF(AND(J38&gt;0,AI38&gt;0,J38=BC38),BC38,IF(AND(J38&gt;0,AI38&gt;0,J38-BC38),BC38,0)))</f>
        <v>0</v>
      </c>
      <c r="BE38" s="154"/>
      <c r="BF38" s="159">
        <f>BD38</f>
        <v>0</v>
      </c>
      <c r="BG38" s="160"/>
      <c r="BH38" s="160">
        <f>IF(AND(G38&gt;0,E38&gt;0),1,0)</f>
        <v>0</v>
      </c>
      <c r="BI38" s="161">
        <f t="shared" ref="BI38:BI44" si="138">40-AH38</f>
        <v>40</v>
      </c>
      <c r="BJ38" s="161">
        <f t="shared" ref="BJ38:BJ44" si="139">IF(AND(BH38=1,40-BL37&gt;0,40-BL37&lt;8),40-BL37,IF(AND(E38&lt;G38),E38,G38))</f>
        <v>0</v>
      </c>
      <c r="BK38" s="161">
        <f t="shared" ref="BK38:BK44" si="140">IF(AND(BH38=1,BL38&gt;40,E38&lt;G38),E38-BJ38,(IF(AND(BH38=1,BL38&gt;0,E38&gt;=G38),G38-BJ38,0)))</f>
        <v>0</v>
      </c>
      <c r="BL38" s="161">
        <f>E38</f>
        <v>0</v>
      </c>
      <c r="BM38" s="160">
        <f>IF(AND(K38&gt;0,E38&gt;0),1,0)</f>
        <v>0</v>
      </c>
      <c r="BN38" s="161">
        <f>IF(AND(BM38=1,J38&gt;8),K38,(IF(AND(BM38=1,J38&gt;0),J38,0)))</f>
        <v>0</v>
      </c>
      <c r="BO38" s="161">
        <f t="shared" ref="BO38:BO39" si="141">IF(AND(BM38=1,40-BL37&gt;0,40-BL37&lt;8),40-BL37,IF(AND(J38&lt;K38),J38,K38))</f>
        <v>0</v>
      </c>
      <c r="BP38" s="161">
        <f t="shared" ref="BP38:BP42" si="142">IF(AND(BM38=1,BL38&gt;40,J38&lt;=K38),J38-BO38,IF(AND(BM38=1,BL38&gt;0,J38&gt;K38),K38-BO38,0))</f>
        <v>0</v>
      </c>
      <c r="BQ38" s="160"/>
    </row>
    <row r="39" spans="1:69" ht="15" customHeight="1">
      <c r="A39" s="225" t="b">
        <f t="shared" ref="A39:A44" si="143">IF(A38&lt;$O$7,A38+1,IF(A38=$O$7,""))</f>
        <v>0</v>
      </c>
      <c r="B39" s="226"/>
      <c r="C39" s="227"/>
      <c r="D39" s="32" t="s">
        <v>24</v>
      </c>
      <c r="E39" s="52"/>
      <c r="F39" s="52"/>
      <c r="G39" s="77"/>
      <c r="H39" s="52"/>
      <c r="I39" s="52"/>
      <c r="J39" s="108"/>
      <c r="K39" s="108"/>
      <c r="L39" s="109"/>
      <c r="M39" s="52"/>
      <c r="N39" s="52"/>
      <c r="O39" s="110">
        <f>SUM(E39:N39)-J39</f>
        <v>0</v>
      </c>
      <c r="P39" s="50" t="str">
        <f t="shared" ref="P39:P44" si="144">IF(AND(ISNUMBER(AA39),ISNUMBER(X39)),AA39*X39,"")</f>
        <v/>
      </c>
      <c r="Q39" s="52"/>
      <c r="R39" s="50" t="str">
        <f t="shared" ref="R39:R44" si="145">IF(AND(ISNUMBER(AB39),ISNUMBER(X39)),AB39*X39,"")</f>
        <v/>
      </c>
      <c r="S39" s="52"/>
      <c r="T39" s="52"/>
      <c r="U39" s="149">
        <f t="shared" si="34"/>
        <v>0</v>
      </c>
      <c r="V39" s="150">
        <f t="shared" ref="V39:V44" si="146">IF(BK39&gt;0,BK39,0)</f>
        <v>0</v>
      </c>
      <c r="W39" s="50"/>
      <c r="X39" s="49" t="str">
        <f>IF(ISNA(INDEX('Conversion Factors'!$B$6:$B$370,MATCH('Jan 16 - Jan 31'!$Z$38:$Z$44,'Conversion Factors'!$A$6:$A$370,0))),"",INDEX('Conversion Factors'!$B$6:$B$370,MATCH('Jan 16 - Jan 31'!$Z$38:$Z$44,'Conversion Factors'!$A$6:$A$370,0)))</f>
        <v/>
      </c>
      <c r="Z39" s="17" t="b">
        <f t="shared" si="120"/>
        <v>0</v>
      </c>
      <c r="AA39" s="57" t="str">
        <f t="shared" si="121"/>
        <v/>
      </c>
      <c r="AB39" s="57" t="str">
        <f t="shared" si="122"/>
        <v/>
      </c>
      <c r="AH39" s="71">
        <f t="shared" si="123"/>
        <v>0</v>
      </c>
      <c r="AI39" s="68">
        <f>IF(AH39&gt;$AI$12,AH39-($AI$12+AI38+AI37),0)</f>
        <v>0</v>
      </c>
      <c r="AJ39" s="145" t="b">
        <f t="shared" si="124"/>
        <v>0</v>
      </c>
      <c r="AK39" s="151" t="b">
        <f t="shared" ref="AK39:AK44" si="147">IF(AND(AO39&gt;0,AO39),IF(AP39&gt;0,AP39,IF(AQ39&gt;0,AQ39,IF(AR39&gt;0,AR39,IF(AU39&gt;0,AU39,0)))))</f>
        <v>0</v>
      </c>
      <c r="AM39" s="147">
        <f t="shared" si="125"/>
        <v>0</v>
      </c>
      <c r="AO39" s="162">
        <f t="shared" si="126"/>
        <v>0</v>
      </c>
      <c r="AP39" s="162">
        <f t="shared" si="127"/>
        <v>0</v>
      </c>
      <c r="AQ39" s="153">
        <f t="shared" si="128"/>
        <v>0</v>
      </c>
      <c r="AR39" s="162">
        <f t="shared" si="129"/>
        <v>0</v>
      </c>
      <c r="AS39" s="154">
        <f t="shared" si="130"/>
        <v>0</v>
      </c>
      <c r="AT39" s="154">
        <f t="shared" ref="AT39:AT41" si="148">IF(AND(AH38&lt;=40),40-AH38,0)</f>
        <v>40</v>
      </c>
      <c r="AU39" s="155">
        <f t="shared" ref="AU39:AU44" si="149">AS39</f>
        <v>0</v>
      </c>
      <c r="AV39" s="156">
        <f t="shared" si="131"/>
        <v>0</v>
      </c>
      <c r="AW39" s="157">
        <f t="shared" ref="AW39:AW44" si="150">AV39</f>
        <v>0</v>
      </c>
      <c r="AY39" s="157">
        <f t="shared" si="132"/>
        <v>0</v>
      </c>
      <c r="AZ39" s="152">
        <f t="shared" si="133"/>
        <v>0</v>
      </c>
      <c r="BA39" s="152">
        <f t="shared" si="134"/>
        <v>0</v>
      </c>
      <c r="BB39" s="158">
        <f t="shared" si="135"/>
        <v>0</v>
      </c>
      <c r="BC39" s="152">
        <f t="shared" si="136"/>
        <v>0</v>
      </c>
      <c r="BD39" s="154">
        <f t="shared" si="137"/>
        <v>0</v>
      </c>
      <c r="BE39" s="154">
        <f>IF(AND(AH38&lt;=40),40-AH38,0)</f>
        <v>40</v>
      </c>
      <c r="BF39" s="159">
        <f t="shared" ref="BF39:BF44" si="151">BD39</f>
        <v>0</v>
      </c>
      <c r="BG39" s="160"/>
      <c r="BH39" s="160">
        <f>IF(AND(G39&gt;0,E39&gt;0),1,0)</f>
        <v>0</v>
      </c>
      <c r="BI39" s="161">
        <f t="shared" si="138"/>
        <v>40</v>
      </c>
      <c r="BJ39" s="161">
        <f t="shared" si="139"/>
        <v>0</v>
      </c>
      <c r="BK39" s="161">
        <f t="shared" si="140"/>
        <v>0</v>
      </c>
      <c r="BL39" s="161">
        <f>SUM(E38:E39)</f>
        <v>0</v>
      </c>
      <c r="BM39" s="160">
        <f t="shared" ref="BM39:BM44" si="152">IF(AND(K39&gt;0,E39&gt;0),1,0)</f>
        <v>0</v>
      </c>
      <c r="BN39" s="161">
        <f>IF(AND(BM39=1,J39&gt;8),K39,(IF(AND(BM39=1,J39&gt;0),J39,0)))</f>
        <v>0</v>
      </c>
      <c r="BO39" s="161">
        <f t="shared" si="141"/>
        <v>0</v>
      </c>
      <c r="BP39" s="161">
        <f t="shared" si="142"/>
        <v>0</v>
      </c>
      <c r="BQ39" s="160"/>
    </row>
    <row r="40" spans="1:69" ht="15" customHeight="1">
      <c r="A40" s="225" t="b">
        <f t="shared" si="143"/>
        <v>0</v>
      </c>
      <c r="B40" s="226"/>
      <c r="C40" s="227"/>
      <c r="D40" s="32" t="s">
        <v>25</v>
      </c>
      <c r="E40" s="52"/>
      <c r="F40" s="52"/>
      <c r="G40" s="77"/>
      <c r="H40" s="52"/>
      <c r="I40" s="52"/>
      <c r="J40" s="108">
        <v>0</v>
      </c>
      <c r="K40" s="108">
        <v>0</v>
      </c>
      <c r="L40" s="109"/>
      <c r="M40" s="52"/>
      <c r="N40" s="52"/>
      <c r="O40" s="110">
        <f t="shared" ref="O40:O43" si="153">SUM(E40:N40)-J40</f>
        <v>0</v>
      </c>
      <c r="P40" s="50" t="str">
        <f t="shared" si="144"/>
        <v/>
      </c>
      <c r="Q40" s="52"/>
      <c r="R40" s="50" t="str">
        <f t="shared" si="145"/>
        <v/>
      </c>
      <c r="S40" s="52"/>
      <c r="T40" s="52"/>
      <c r="U40" s="149">
        <f t="shared" si="34"/>
        <v>0</v>
      </c>
      <c r="V40" s="150">
        <f t="shared" si="146"/>
        <v>0</v>
      </c>
      <c r="W40" s="50"/>
      <c r="X40" s="49" t="str">
        <f>IF(ISNA(INDEX('Conversion Factors'!$B$6:$B$370,MATCH('Jan 16 - Jan 31'!$Z$38:$Z$44,'Conversion Factors'!$A$6:$A$370,0))),"",INDEX('Conversion Factors'!$B$6:$B$370,MATCH('Jan 16 - Jan 31'!$Z$38:$Z$44,'Conversion Factors'!$A$6:$A$370,0)))</f>
        <v/>
      </c>
      <c r="Z40" s="17" t="b">
        <f t="shared" si="120"/>
        <v>0</v>
      </c>
      <c r="AA40" s="57" t="str">
        <f t="shared" si="121"/>
        <v/>
      </c>
      <c r="AB40" s="57" t="str">
        <f t="shared" si="122"/>
        <v/>
      </c>
      <c r="AG40" s="1"/>
      <c r="AH40" s="71">
        <f t="shared" si="123"/>
        <v>0</v>
      </c>
      <c r="AI40" s="68">
        <f>IF(AH40&gt;$AI$12,AH40-($AI$12+AI39+AI38+AI37),0)</f>
        <v>0</v>
      </c>
      <c r="AJ40" s="145" t="b">
        <f t="shared" si="124"/>
        <v>0</v>
      </c>
      <c r="AK40" s="151" t="b">
        <f t="shared" si="147"/>
        <v>0</v>
      </c>
      <c r="AM40" s="147">
        <f t="shared" si="125"/>
        <v>0</v>
      </c>
      <c r="AO40" s="162">
        <f t="shared" si="126"/>
        <v>0</v>
      </c>
      <c r="AP40" s="162">
        <f t="shared" si="127"/>
        <v>0</v>
      </c>
      <c r="AQ40" s="153">
        <f t="shared" si="128"/>
        <v>0</v>
      </c>
      <c r="AR40" s="162">
        <f t="shared" si="129"/>
        <v>0</v>
      </c>
      <c r="AS40" s="154">
        <f t="shared" si="130"/>
        <v>0</v>
      </c>
      <c r="AT40" s="154">
        <f t="shared" si="148"/>
        <v>40</v>
      </c>
      <c r="AU40" s="155">
        <f t="shared" si="149"/>
        <v>0</v>
      </c>
      <c r="AV40" s="156">
        <f t="shared" si="131"/>
        <v>0</v>
      </c>
      <c r="AW40" s="157">
        <f t="shared" si="150"/>
        <v>0</v>
      </c>
      <c r="AY40" s="157">
        <f t="shared" si="132"/>
        <v>0</v>
      </c>
      <c r="AZ40" s="152">
        <f t="shared" si="133"/>
        <v>0</v>
      </c>
      <c r="BA40" s="152">
        <f t="shared" si="134"/>
        <v>0</v>
      </c>
      <c r="BB40" s="158">
        <f t="shared" si="135"/>
        <v>0</v>
      </c>
      <c r="BC40" s="152">
        <f t="shared" si="136"/>
        <v>0</v>
      </c>
      <c r="BD40" s="154">
        <f t="shared" si="137"/>
        <v>0</v>
      </c>
      <c r="BE40" s="154">
        <f t="shared" ref="BE40:BE44" si="154">IF(AND(AH39&lt;=40),40-AH39,0)</f>
        <v>40</v>
      </c>
      <c r="BF40" s="159">
        <f t="shared" si="151"/>
        <v>0</v>
      </c>
      <c r="BG40" s="160"/>
      <c r="BH40" s="160">
        <f>IF(AND(G40&gt;0,E40&gt;0),1,0)</f>
        <v>0</v>
      </c>
      <c r="BI40" s="161">
        <f t="shared" si="138"/>
        <v>40</v>
      </c>
      <c r="BJ40" s="161">
        <f t="shared" si="139"/>
        <v>0</v>
      </c>
      <c r="BK40" s="161">
        <f t="shared" si="140"/>
        <v>0</v>
      </c>
      <c r="BL40" s="161">
        <f>SUM(E38:E40)</f>
        <v>0</v>
      </c>
      <c r="BM40" s="160">
        <f t="shared" si="152"/>
        <v>0</v>
      </c>
      <c r="BN40" s="161">
        <f>IF(AND(BM40=1,J40&gt;8),K40,(IF(AND(BM40=1,J40&gt;0),J40,0)))</f>
        <v>0</v>
      </c>
      <c r="BO40" s="161">
        <f>IF(AND(BM40=1,40-BL39&gt;0,40-BL39&lt;8),40-BL39,IF(AND(J40&lt;K40),J40,K40))</f>
        <v>0</v>
      </c>
      <c r="BP40" s="161">
        <f t="shared" si="142"/>
        <v>0</v>
      </c>
      <c r="BQ40" s="160"/>
    </row>
    <row r="41" spans="1:69" ht="15" customHeight="1">
      <c r="A41" s="225" t="b">
        <f t="shared" si="143"/>
        <v>0</v>
      </c>
      <c r="B41" s="226"/>
      <c r="C41" s="227"/>
      <c r="D41" s="32" t="s">
        <v>26</v>
      </c>
      <c r="E41" s="52"/>
      <c r="F41" s="52"/>
      <c r="G41" s="77"/>
      <c r="H41" s="52"/>
      <c r="I41" s="52"/>
      <c r="J41" s="108"/>
      <c r="K41" s="108"/>
      <c r="L41" s="109"/>
      <c r="M41" s="52"/>
      <c r="N41" s="52"/>
      <c r="O41" s="110">
        <f t="shared" si="153"/>
        <v>0</v>
      </c>
      <c r="P41" s="50" t="str">
        <f t="shared" si="144"/>
        <v/>
      </c>
      <c r="Q41" s="52"/>
      <c r="R41" s="50" t="str">
        <f t="shared" si="145"/>
        <v/>
      </c>
      <c r="S41" s="52"/>
      <c r="T41" s="52"/>
      <c r="U41" s="149">
        <f t="shared" si="34"/>
        <v>0</v>
      </c>
      <c r="V41" s="150">
        <f t="shared" si="146"/>
        <v>0</v>
      </c>
      <c r="W41" s="50"/>
      <c r="X41" s="49" t="str">
        <f>IF(ISNA(INDEX('Conversion Factors'!$B$6:$B$370,MATCH('Jan 16 - Jan 31'!$Z$38:$Z$44,'Conversion Factors'!$A$6:$A$370,0))),"",INDEX('Conversion Factors'!$B$6:$B$370,MATCH('Jan 16 - Jan 31'!$Z$38:$Z$44,'Conversion Factors'!$A$6:$A$370,0)))</f>
        <v/>
      </c>
      <c r="Z41" s="17" t="b">
        <f t="shared" si="120"/>
        <v>0</v>
      </c>
      <c r="AA41" s="57" t="str">
        <f t="shared" si="121"/>
        <v/>
      </c>
      <c r="AB41" s="57" t="str">
        <f t="shared" si="122"/>
        <v/>
      </c>
      <c r="AG41" s="1"/>
      <c r="AH41" s="71">
        <f t="shared" si="123"/>
        <v>0</v>
      </c>
      <c r="AI41" s="68">
        <f>IF(AH41&gt;$AI$12,AH41-($AI$12+AI40+AI39+AI38+AI37),0)</f>
        <v>0</v>
      </c>
      <c r="AJ41" s="145" t="b">
        <f t="shared" si="124"/>
        <v>0</v>
      </c>
      <c r="AK41" s="151" t="b">
        <f t="shared" si="147"/>
        <v>0</v>
      </c>
      <c r="AM41" s="147">
        <f t="shared" si="125"/>
        <v>0</v>
      </c>
      <c r="AO41" s="162">
        <f t="shared" si="126"/>
        <v>0</v>
      </c>
      <c r="AP41" s="162">
        <f t="shared" si="127"/>
        <v>0</v>
      </c>
      <c r="AQ41" s="153">
        <f t="shared" si="128"/>
        <v>0</v>
      </c>
      <c r="AR41" s="162">
        <f t="shared" si="129"/>
        <v>0</v>
      </c>
      <c r="AS41" s="154">
        <f t="shared" si="130"/>
        <v>0</v>
      </c>
      <c r="AT41" s="154">
        <f t="shared" si="148"/>
        <v>40</v>
      </c>
      <c r="AU41" s="155">
        <f t="shared" si="149"/>
        <v>0</v>
      </c>
      <c r="AV41" s="156">
        <f t="shared" si="131"/>
        <v>0</v>
      </c>
      <c r="AW41" s="157">
        <f t="shared" si="150"/>
        <v>0</v>
      </c>
      <c r="AY41" s="157">
        <f t="shared" si="132"/>
        <v>0</v>
      </c>
      <c r="AZ41" s="152">
        <f t="shared" si="133"/>
        <v>0</v>
      </c>
      <c r="BA41" s="152">
        <f t="shared" si="134"/>
        <v>0</v>
      </c>
      <c r="BB41" s="158">
        <f t="shared" si="135"/>
        <v>0</v>
      </c>
      <c r="BC41" s="152">
        <f t="shared" si="136"/>
        <v>0</v>
      </c>
      <c r="BD41" s="154">
        <f t="shared" si="137"/>
        <v>0</v>
      </c>
      <c r="BE41" s="154">
        <f t="shared" si="154"/>
        <v>40</v>
      </c>
      <c r="BF41" s="159">
        <f t="shared" si="151"/>
        <v>0</v>
      </c>
      <c r="BG41" s="160"/>
      <c r="BH41" s="160">
        <f t="shared" ref="BH41:BH44" si="155">IF(AND(G41&gt;0,E41&gt;0),1,0)</f>
        <v>0</v>
      </c>
      <c r="BI41" s="161">
        <f t="shared" si="138"/>
        <v>40</v>
      </c>
      <c r="BJ41" s="161">
        <f t="shared" si="139"/>
        <v>0</v>
      </c>
      <c r="BK41" s="161">
        <f t="shared" si="140"/>
        <v>0</v>
      </c>
      <c r="BL41" s="161">
        <f>SUM(E38:E41)</f>
        <v>0</v>
      </c>
      <c r="BM41" s="160">
        <f t="shared" si="152"/>
        <v>0</v>
      </c>
      <c r="BN41" s="161">
        <f t="shared" ref="BN41:BN44" si="156">IF(AND(BM41=1,J41&gt;8),K41,(IF(AND(BM41=1,J41&gt;0),J41,0)))</f>
        <v>0</v>
      </c>
      <c r="BO41" s="161">
        <f t="shared" ref="BO41:BO44" si="157">IF(AND(BM41=1,40-BL40&gt;0,40-BL40&lt;8),40-BL40,IF(AND(J41&lt;K41),J41,K41))</f>
        <v>0</v>
      </c>
      <c r="BP41" s="161">
        <f t="shared" si="142"/>
        <v>0</v>
      </c>
      <c r="BQ41" s="160"/>
    </row>
    <row r="42" spans="1:69" ht="15" customHeight="1">
      <c r="A42" s="225" t="b">
        <f t="shared" si="143"/>
        <v>0</v>
      </c>
      <c r="B42" s="226"/>
      <c r="C42" s="227"/>
      <c r="D42" s="32" t="s">
        <v>27</v>
      </c>
      <c r="E42" s="52"/>
      <c r="F42" s="52"/>
      <c r="G42" s="77"/>
      <c r="H42" s="52"/>
      <c r="I42" s="52"/>
      <c r="J42" s="108"/>
      <c r="K42" s="108"/>
      <c r="L42" s="109"/>
      <c r="M42" s="52"/>
      <c r="N42" s="52"/>
      <c r="O42" s="110">
        <f t="shared" si="153"/>
        <v>0</v>
      </c>
      <c r="P42" s="50" t="str">
        <f t="shared" si="144"/>
        <v/>
      </c>
      <c r="Q42" s="52"/>
      <c r="R42" s="50" t="str">
        <f t="shared" si="145"/>
        <v/>
      </c>
      <c r="S42" s="52"/>
      <c r="T42" s="52"/>
      <c r="U42" s="149">
        <f t="shared" si="34"/>
        <v>0</v>
      </c>
      <c r="V42" s="150">
        <f t="shared" si="146"/>
        <v>0</v>
      </c>
      <c r="W42" s="50"/>
      <c r="X42" s="49" t="str">
        <f>IF(ISNA(INDEX('Conversion Factors'!$B$6:$B$370,MATCH('Jan 16 - Jan 31'!$Z$38:$Z$44,'Conversion Factors'!$A$6:$A$370,0))),"",INDEX('Conversion Factors'!$B$6:$B$370,MATCH('Jan 16 - Jan 31'!$Z$38:$Z$44,'Conversion Factors'!$A$6:$A$370,0)))</f>
        <v/>
      </c>
      <c r="Z42" s="17" t="b">
        <f t="shared" si="120"/>
        <v>0</v>
      </c>
      <c r="AA42" s="57" t="str">
        <f t="shared" si="121"/>
        <v/>
      </c>
      <c r="AB42" s="57" t="str">
        <f t="shared" si="122"/>
        <v/>
      </c>
      <c r="AH42" s="71">
        <f t="shared" si="123"/>
        <v>0</v>
      </c>
      <c r="AI42" s="68">
        <f>IF(AH42&gt;$AI$12,AH42-($AI$12+AI41+AI40+AI39+AI38+AI37),0)</f>
        <v>0</v>
      </c>
      <c r="AJ42" s="145" t="b">
        <f t="shared" si="124"/>
        <v>0</v>
      </c>
      <c r="AK42" s="151" t="b">
        <f t="shared" si="147"/>
        <v>0</v>
      </c>
      <c r="AM42" s="147">
        <f t="shared" si="125"/>
        <v>0</v>
      </c>
      <c r="AO42" s="162">
        <f t="shared" si="126"/>
        <v>0</v>
      </c>
      <c r="AP42" s="162">
        <f t="shared" si="127"/>
        <v>0</v>
      </c>
      <c r="AQ42" s="153">
        <f t="shared" si="128"/>
        <v>0</v>
      </c>
      <c r="AR42" s="162">
        <f t="shared" si="129"/>
        <v>0</v>
      </c>
      <c r="AS42" s="154">
        <f t="shared" si="130"/>
        <v>0</v>
      </c>
      <c r="AT42" s="154">
        <f>IF(AND(AH41&lt;=40),40-AH41,0)</f>
        <v>40</v>
      </c>
      <c r="AU42" s="155">
        <f t="shared" si="149"/>
        <v>0</v>
      </c>
      <c r="AV42" s="156">
        <f t="shared" si="131"/>
        <v>0</v>
      </c>
      <c r="AW42" s="157">
        <f t="shared" si="150"/>
        <v>0</v>
      </c>
      <c r="AY42" s="157">
        <f t="shared" si="132"/>
        <v>0</v>
      </c>
      <c r="AZ42" s="152">
        <f t="shared" si="133"/>
        <v>0</v>
      </c>
      <c r="BA42" s="152">
        <f t="shared" si="134"/>
        <v>0</v>
      </c>
      <c r="BB42" s="158">
        <f t="shared" si="135"/>
        <v>0</v>
      </c>
      <c r="BC42" s="152">
        <f t="shared" si="136"/>
        <v>0</v>
      </c>
      <c r="BD42" s="154">
        <f t="shared" si="137"/>
        <v>0</v>
      </c>
      <c r="BE42" s="154">
        <f t="shared" si="154"/>
        <v>40</v>
      </c>
      <c r="BF42" s="159">
        <f t="shared" si="151"/>
        <v>0</v>
      </c>
      <c r="BG42" s="160"/>
      <c r="BH42" s="160">
        <f t="shared" si="155"/>
        <v>0</v>
      </c>
      <c r="BI42" s="161">
        <f t="shared" si="138"/>
        <v>40</v>
      </c>
      <c r="BJ42" s="161">
        <f t="shared" si="139"/>
        <v>0</v>
      </c>
      <c r="BK42" s="161">
        <f t="shared" si="140"/>
        <v>0</v>
      </c>
      <c r="BL42" s="161">
        <f>SUM(E38:E42)</f>
        <v>0</v>
      </c>
      <c r="BM42" s="160">
        <f t="shared" si="152"/>
        <v>0</v>
      </c>
      <c r="BN42" s="161">
        <f t="shared" si="156"/>
        <v>0</v>
      </c>
      <c r="BO42" s="161">
        <f t="shared" si="157"/>
        <v>0</v>
      </c>
      <c r="BP42" s="161">
        <f t="shared" si="142"/>
        <v>0</v>
      </c>
      <c r="BQ42" s="160"/>
    </row>
    <row r="43" spans="1:69" ht="15" customHeight="1">
      <c r="A43" s="225" t="b">
        <f t="shared" si="143"/>
        <v>0</v>
      </c>
      <c r="B43" s="226"/>
      <c r="C43" s="227"/>
      <c r="D43" s="32" t="s">
        <v>28</v>
      </c>
      <c r="E43" s="52"/>
      <c r="F43" s="52"/>
      <c r="G43" s="77"/>
      <c r="H43" s="52"/>
      <c r="I43" s="52"/>
      <c r="J43" s="108"/>
      <c r="K43" s="108"/>
      <c r="L43" s="109"/>
      <c r="M43" s="52"/>
      <c r="N43" s="52"/>
      <c r="O43" s="110">
        <f t="shared" si="153"/>
        <v>0</v>
      </c>
      <c r="P43" s="50" t="str">
        <f t="shared" si="144"/>
        <v/>
      </c>
      <c r="Q43" s="52"/>
      <c r="R43" s="50" t="str">
        <f t="shared" si="145"/>
        <v/>
      </c>
      <c r="S43" s="52"/>
      <c r="T43" s="52"/>
      <c r="U43" s="149">
        <f t="shared" si="34"/>
        <v>0</v>
      </c>
      <c r="V43" s="150">
        <f t="shared" si="146"/>
        <v>0</v>
      </c>
      <c r="W43" s="50"/>
      <c r="X43" s="49" t="str">
        <f>IF(ISNA(INDEX('Conversion Factors'!$B$6:$B$370,MATCH('Jan 16 - Jan 31'!$Z$38:$Z$44,'Conversion Factors'!$A$6:$A$370,0))),"",INDEX('Conversion Factors'!$B$6:$B$370,MATCH('Jan 16 - Jan 31'!$Z$38:$Z$44,'Conversion Factors'!$A$6:$A$370,0)))</f>
        <v/>
      </c>
      <c r="Z43" s="17" t="b">
        <f t="shared" si="120"/>
        <v>0</v>
      </c>
      <c r="AA43" s="57" t="str">
        <f t="shared" si="121"/>
        <v/>
      </c>
      <c r="AB43" s="57" t="str">
        <f t="shared" si="122"/>
        <v/>
      </c>
      <c r="AH43" s="71">
        <f t="shared" si="123"/>
        <v>0</v>
      </c>
      <c r="AI43" s="68">
        <f>IF(AH43&gt;$AI$12,AH43-($AI$12+AI42+AI41+AI40+AI39+AI38+AI37),0)</f>
        <v>0</v>
      </c>
      <c r="AJ43" s="145" t="b">
        <f t="shared" si="124"/>
        <v>0</v>
      </c>
      <c r="AK43" s="151" t="b">
        <f t="shared" si="147"/>
        <v>0</v>
      </c>
      <c r="AM43" s="147">
        <f t="shared" si="125"/>
        <v>0</v>
      </c>
      <c r="AO43" s="162">
        <f t="shared" si="126"/>
        <v>0</v>
      </c>
      <c r="AP43" s="162">
        <f t="shared" si="127"/>
        <v>0</v>
      </c>
      <c r="AQ43" s="153">
        <f t="shared" si="128"/>
        <v>0</v>
      </c>
      <c r="AR43" s="162">
        <f t="shared" si="129"/>
        <v>0</v>
      </c>
      <c r="AS43" s="154">
        <f t="shared" si="130"/>
        <v>0</v>
      </c>
      <c r="AT43" s="154">
        <f t="shared" ref="AT43:AT44" si="158">IF(AND(AH42&lt;=40),40-AH42,0)</f>
        <v>40</v>
      </c>
      <c r="AU43" s="155">
        <f t="shared" si="149"/>
        <v>0</v>
      </c>
      <c r="AV43" s="156">
        <f t="shared" si="131"/>
        <v>0</v>
      </c>
      <c r="AW43" s="157">
        <f t="shared" si="150"/>
        <v>0</v>
      </c>
      <c r="AY43" s="157">
        <f t="shared" si="132"/>
        <v>0</v>
      </c>
      <c r="AZ43" s="152">
        <f t="shared" si="133"/>
        <v>0</v>
      </c>
      <c r="BA43" s="152">
        <f t="shared" si="134"/>
        <v>0</v>
      </c>
      <c r="BB43" s="158">
        <f t="shared" si="135"/>
        <v>0</v>
      </c>
      <c r="BC43" s="152">
        <f t="shared" si="136"/>
        <v>0</v>
      </c>
      <c r="BD43" s="154">
        <f t="shared" si="137"/>
        <v>0</v>
      </c>
      <c r="BE43" s="154">
        <f t="shared" si="154"/>
        <v>40</v>
      </c>
      <c r="BF43" s="159">
        <f t="shared" si="151"/>
        <v>0</v>
      </c>
      <c r="BG43" s="160"/>
      <c r="BH43" s="160">
        <f t="shared" si="155"/>
        <v>0</v>
      </c>
      <c r="BI43" s="161">
        <f t="shared" si="138"/>
        <v>40</v>
      </c>
      <c r="BJ43" s="161">
        <f t="shared" si="139"/>
        <v>0</v>
      </c>
      <c r="BK43" s="161">
        <f t="shared" si="140"/>
        <v>0</v>
      </c>
      <c r="BL43" s="161">
        <f>SUM(E38:E43)</f>
        <v>0</v>
      </c>
      <c r="BM43" s="160">
        <f t="shared" si="152"/>
        <v>0</v>
      </c>
      <c r="BN43" s="161">
        <f t="shared" si="156"/>
        <v>0</v>
      </c>
      <c r="BO43" s="161">
        <f t="shared" si="157"/>
        <v>0</v>
      </c>
      <c r="BP43" s="161">
        <f>IF(AND(BM43=1,BL43&gt;40,J43&lt;=K43),J43-BO43,IF(AND(BM43=1,BL43&gt;0,J43&gt;K43),K43-BO43,0))</f>
        <v>0</v>
      </c>
      <c r="BQ43" s="160"/>
    </row>
    <row r="44" spans="1:69" ht="15" customHeight="1" thickBot="1">
      <c r="A44" s="231" t="b">
        <f t="shared" si="143"/>
        <v>0</v>
      </c>
      <c r="B44" s="232"/>
      <c r="C44" s="233"/>
      <c r="D44" s="32" t="s">
        <v>29</v>
      </c>
      <c r="E44" s="52"/>
      <c r="F44" s="52"/>
      <c r="G44" s="77"/>
      <c r="H44" s="52"/>
      <c r="I44" s="52"/>
      <c r="J44" s="108"/>
      <c r="K44" s="108"/>
      <c r="L44" s="109"/>
      <c r="M44" s="52"/>
      <c r="N44" s="52"/>
      <c r="O44" s="110">
        <f>SUM(E44:N44)-J44</f>
        <v>0</v>
      </c>
      <c r="P44" s="50" t="str">
        <f t="shared" si="144"/>
        <v/>
      </c>
      <c r="Q44" s="52"/>
      <c r="R44" s="50" t="str">
        <f t="shared" si="145"/>
        <v/>
      </c>
      <c r="S44" s="52"/>
      <c r="T44" s="52"/>
      <c r="U44" s="149">
        <f t="shared" si="34"/>
        <v>0</v>
      </c>
      <c r="V44" s="150">
        <f t="shared" si="146"/>
        <v>0</v>
      </c>
      <c r="W44" s="50"/>
      <c r="X44" s="49" t="str">
        <f>IF(ISNA(INDEX('Conversion Factors'!$B$6:$B$370,MATCH('Jan 16 - Jan 31'!$Z$38:$Z$44,'Conversion Factors'!$A$6:$A$370,0))),"",INDEX('Conversion Factors'!$B$6:$B$370,MATCH('Jan 16 - Jan 31'!$Z$38:$Z$44,'Conversion Factors'!$A$6:$A$370,0)))</f>
        <v/>
      </c>
      <c r="Z44" s="17" t="b">
        <f t="shared" si="120"/>
        <v>0</v>
      </c>
      <c r="AA44" s="57" t="str">
        <f t="shared" si="121"/>
        <v/>
      </c>
      <c r="AB44" s="57" t="str">
        <f t="shared" si="122"/>
        <v/>
      </c>
      <c r="AH44" s="71">
        <f t="shared" si="123"/>
        <v>0</v>
      </c>
      <c r="AI44" s="68">
        <f>IF(AH44&gt;$AI$12,AH44-($AI$12+AI43+AI42+AI41+AI40+AI39+AI38+AI37),0)</f>
        <v>0</v>
      </c>
      <c r="AJ44" s="145" t="b">
        <f t="shared" si="124"/>
        <v>0</v>
      </c>
      <c r="AK44" s="151" t="b">
        <f t="shared" si="147"/>
        <v>0</v>
      </c>
      <c r="AM44" s="147">
        <f t="shared" si="125"/>
        <v>0</v>
      </c>
      <c r="AO44" s="163">
        <f t="shared" si="126"/>
        <v>0</v>
      </c>
      <c r="AP44" s="163">
        <f t="shared" si="127"/>
        <v>0</v>
      </c>
      <c r="AQ44" s="153">
        <f t="shared" si="128"/>
        <v>0</v>
      </c>
      <c r="AR44" s="163">
        <f t="shared" si="129"/>
        <v>0</v>
      </c>
      <c r="AS44" s="154">
        <f t="shared" si="130"/>
        <v>0</v>
      </c>
      <c r="AT44" s="154">
        <f t="shared" si="158"/>
        <v>40</v>
      </c>
      <c r="AU44" s="155">
        <f t="shared" si="149"/>
        <v>0</v>
      </c>
      <c r="AV44" s="156">
        <f t="shared" si="131"/>
        <v>0</v>
      </c>
      <c r="AW44" s="157">
        <f t="shared" si="150"/>
        <v>0</v>
      </c>
      <c r="AY44" s="157">
        <f t="shared" si="132"/>
        <v>0</v>
      </c>
      <c r="AZ44" s="152">
        <f t="shared" si="133"/>
        <v>0</v>
      </c>
      <c r="BA44" s="152">
        <f t="shared" si="134"/>
        <v>0</v>
      </c>
      <c r="BB44" s="158">
        <f t="shared" si="135"/>
        <v>0</v>
      </c>
      <c r="BC44" s="152">
        <f t="shared" si="136"/>
        <v>0</v>
      </c>
      <c r="BD44" s="154">
        <f t="shared" si="137"/>
        <v>0</v>
      </c>
      <c r="BE44" s="154">
        <f t="shared" si="154"/>
        <v>40</v>
      </c>
      <c r="BF44" s="159">
        <f t="shared" si="151"/>
        <v>0</v>
      </c>
      <c r="BG44" s="160"/>
      <c r="BH44" s="160">
        <f t="shared" si="155"/>
        <v>0</v>
      </c>
      <c r="BI44" s="161">
        <f t="shared" si="138"/>
        <v>40</v>
      </c>
      <c r="BJ44" s="161">
        <f t="shared" si="139"/>
        <v>0</v>
      </c>
      <c r="BK44" s="161">
        <f t="shared" si="140"/>
        <v>0</v>
      </c>
      <c r="BL44" s="161">
        <f>SUM(E38:E44)</f>
        <v>0</v>
      </c>
      <c r="BM44" s="160">
        <f t="shared" si="152"/>
        <v>0</v>
      </c>
      <c r="BN44" s="161">
        <f t="shared" si="156"/>
        <v>0</v>
      </c>
      <c r="BO44" s="161">
        <f t="shared" si="157"/>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59">SUM(F38:F44)</f>
        <v>0</v>
      </c>
      <c r="G45" s="76">
        <f t="shared" si="159"/>
        <v>0</v>
      </c>
      <c r="H45" s="34">
        <f t="shared" si="159"/>
        <v>0</v>
      </c>
      <c r="I45" s="34">
        <f t="shared" si="159"/>
        <v>0</v>
      </c>
      <c r="J45" s="74"/>
      <c r="K45" s="74">
        <f t="shared" si="159"/>
        <v>0</v>
      </c>
      <c r="L45" s="34">
        <f t="shared" si="159"/>
        <v>0</v>
      </c>
      <c r="M45" s="34">
        <f t="shared" si="159"/>
        <v>0</v>
      </c>
      <c r="N45" s="34">
        <f t="shared" si="159"/>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0">(P21+P29+P37+P45)-P13</f>
        <v>0</v>
      </c>
      <c r="Q46" s="34">
        <f t="shared" si="160"/>
        <v>0</v>
      </c>
      <c r="R46" s="78">
        <f t="shared" si="160"/>
        <v>0</v>
      </c>
      <c r="S46" s="34">
        <f t="shared" si="160"/>
        <v>0</v>
      </c>
      <c r="T46" s="34">
        <f t="shared" si="160"/>
        <v>0</v>
      </c>
      <c r="U46" s="164">
        <f t="shared" si="160"/>
        <v>0</v>
      </c>
      <c r="V46" s="165">
        <f t="shared" si="160"/>
        <v>0</v>
      </c>
      <c r="W46" s="78">
        <f t="shared" si="160"/>
        <v>0</v>
      </c>
      <c r="X46" s="34">
        <f t="shared" si="160"/>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205" priority="17" operator="equal">
      <formula>FALSE</formula>
    </cfRule>
  </conditionalFormatting>
  <conditionalFormatting sqref="A22:C22">
    <cfRule type="cellIs" dxfId="204" priority="16" operator="equal">
      <formula>FALSE</formula>
    </cfRule>
  </conditionalFormatting>
  <conditionalFormatting sqref="D22:D28">
    <cfRule type="cellIs" dxfId="203" priority="15" operator="equal">
      <formula>FALSE</formula>
    </cfRule>
  </conditionalFormatting>
  <conditionalFormatting sqref="Z22:Z28">
    <cfRule type="cellIs" dxfId="202" priority="14" operator="equal">
      <formula>FALSE</formula>
    </cfRule>
  </conditionalFormatting>
  <conditionalFormatting sqref="Z30:Z36">
    <cfRule type="cellIs" dxfId="201" priority="13" operator="equal">
      <formula>FALSE</formula>
    </cfRule>
  </conditionalFormatting>
  <conditionalFormatting sqref="X21 X29 X37">
    <cfRule type="containsErrors" dxfId="200" priority="12">
      <formula>ISERROR(X21)</formula>
    </cfRule>
  </conditionalFormatting>
  <conditionalFormatting sqref="Z39:Z44">
    <cfRule type="cellIs" dxfId="199" priority="10" operator="equal">
      <formula>FALSE</formula>
    </cfRule>
  </conditionalFormatting>
  <conditionalFormatting sqref="Z38">
    <cfRule type="cellIs" dxfId="198" priority="11" operator="equal">
      <formula>FALSE</formula>
    </cfRule>
  </conditionalFormatting>
  <conditionalFormatting sqref="W11:X11">
    <cfRule type="cellIs" dxfId="197" priority="9" operator="equal">
      <formula>"Please Select"</formula>
    </cfRule>
  </conditionalFormatting>
  <conditionalFormatting sqref="E11:F11">
    <cfRule type="containsBlanks" dxfId="196" priority="8">
      <formula>LEN(TRIM(E11))=0</formula>
    </cfRule>
  </conditionalFormatting>
  <conditionalFormatting sqref="U14:U46">
    <cfRule type="cellIs" dxfId="195" priority="7" operator="equal">
      <formula>FALSE</formula>
    </cfRule>
  </conditionalFormatting>
  <conditionalFormatting sqref="P26">
    <cfRule type="cellIs" dxfId="194" priority="6" operator="lessThan">
      <formula>$BQ$21</formula>
    </cfRule>
  </conditionalFormatting>
  <conditionalFormatting sqref="X14:X20">
    <cfRule type="containsErrors" dxfId="193" priority="5">
      <formula>ISERROR(X14)</formula>
    </cfRule>
  </conditionalFormatting>
  <conditionalFormatting sqref="X30:X36">
    <cfRule type="containsErrors" dxfId="192" priority="4">
      <formula>ISERROR(X30)</formula>
    </cfRule>
  </conditionalFormatting>
  <conditionalFormatting sqref="X38:X44">
    <cfRule type="containsErrors" dxfId="191" priority="3">
      <formula>ISERROR(X38)</formula>
    </cfRule>
  </conditionalFormatting>
  <conditionalFormatting sqref="X22">
    <cfRule type="containsErrors" dxfId="190" priority="2">
      <formula>ISERROR(X22)</formula>
    </cfRule>
  </conditionalFormatting>
  <conditionalFormatting sqref="X23:X28">
    <cfRule type="containsErrors" dxfId="189"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C8B7E626-6B9A-4FE6-9D92-FFC5F5C50126}"/>
    <dataValidation allowBlank="1" showInputMessage="1" showErrorMessage="1" prompt="Enter your Name into this field and it will populate to all the other time reports in this workbook." sqref="C7:H7" xr:uid="{71FB9353-3D0E-418C-8963-B8A4F4BC988F}"/>
    <dataValidation allowBlank="1" showInputMessage="1" showErrorMessage="1" prompt="Enter your MSU ID into this field and it will populate to all the other time re[prts in this workbook." sqref="C6:H6" xr:uid="{F8E7CB02-30F4-4F78-810A-4B441CF4C140}"/>
    <dataValidation allowBlank="1" showInputMessage="1" showErrorMessage="1" promptTitle="Hours Per Week" prompt="Please enter the number of hours you are scheduled to work each week.  (Example:  40)_x000a_" sqref="E11:F11" xr:uid="{096C770E-8DFF-4187-8663-8B80F1CCECD9}"/>
    <dataValidation type="list" allowBlank="1" showInputMessage="1" showErrorMessage="1" promptTitle="Compensatory Time" prompt="Please select &quot;No&quot; if you are not receiving Compensatory time or &quot;Yes&quot; if you are receiving compensatory time." sqref="W11:X11" xr:uid="{6BA45FBA-B205-4AB4-B53D-E26804CC6667}">
      <formula1>$AD$6:$AD$8</formula1>
    </dataValidation>
  </dataValidations>
  <hyperlinks>
    <hyperlink ref="O49" r:id="rId1" xr:uid="{2414848C-A024-4914-887F-05A52519ACB7}"/>
    <hyperlink ref="O48:W48" r:id="rId2" display="Leave/Leave Without Pay Policy" xr:uid="{18A337E7-CB1E-43A7-B2DC-ED49EA43C98D}"/>
    <hyperlink ref="O50:W50" r:id="rId3" display="Time Sheet Definitions/Policies" xr:uid="{DCFD903D-87D5-4E0E-86E8-32A148B6DDBA}"/>
    <hyperlink ref="O49:T49" r:id="rId4" display="Overtime/Compensatory Time" xr:uid="{2293A45E-45A8-4985-841D-B5F2402F1694}"/>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80807-E079-4883-A65A-B77A91CA2AF6}">
  <sheetPr codeName="Sheet21">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Notes'!$A$16</f>
        <v>44593</v>
      </c>
      <c r="P6" s="265"/>
      <c r="Q6" s="265"/>
      <c r="R6" s="265"/>
      <c r="S6" s="265"/>
      <c r="T6" s="265"/>
      <c r="U6" s="53"/>
      <c r="V6" s="53"/>
      <c r="W6" s="24"/>
      <c r="X6" s="30"/>
      <c r="Z6" s="4" t="str">
        <f>TEXT(O6,"dddd")</f>
        <v>Tuesday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Notes'!$B$16</f>
        <v>44607</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Notes'!$C$16</f>
        <v>3</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SUM(E14:E15)</f>
        <v>0</v>
      </c>
      <c r="F13" s="86">
        <f t="shared" ref="F13:N13" si="0">SUM(F14:F15)</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'Jan 16 - Jan 31'!E30</f>
        <v>0</v>
      </c>
      <c r="F14" s="182">
        <f>'Jan 16 - Jan 31'!F30</f>
        <v>0</v>
      </c>
      <c r="G14" s="184">
        <f>'Jan 16 - Jan 31'!G30</f>
        <v>0</v>
      </c>
      <c r="H14" s="182">
        <f>'Jan 16 - Jan 31'!H30</f>
        <v>0</v>
      </c>
      <c r="I14" s="182">
        <f>'Jan 16 - Jan 31'!I30</f>
        <v>0</v>
      </c>
      <c r="J14" s="185">
        <f>'Jan 16 - Jan 31'!J30</f>
        <v>0</v>
      </c>
      <c r="K14" s="185">
        <f>'Jan 16 - Jan 31'!K30</f>
        <v>0</v>
      </c>
      <c r="L14" s="182">
        <f>'Jan 16 - Jan 31'!L30</f>
        <v>0</v>
      </c>
      <c r="M14" s="182">
        <f>'Jan 16 - Jan 31'!M30</f>
        <v>0</v>
      </c>
      <c r="N14" s="182">
        <f>'Jan 16 - Jan 31'!N30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Factors'!$B$6:$B$371,MATCH('Feb 1 - Feb 15'!$Z$14:$Z$20,'Conversion Factors'!$A$6:$A$371,0))),"",INDEX('Conversion Factors'!$B$6:$B$371,MATCH('Feb 1 - Feb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'Jan 16 - Jan 31'!E31</f>
        <v>0</v>
      </c>
      <c r="F15" s="182">
        <f>'Jan 16 - Jan 31'!F31</f>
        <v>0</v>
      </c>
      <c r="G15" s="184">
        <f>'Jan 16 - Jan 31'!G31</f>
        <v>0</v>
      </c>
      <c r="H15" s="182">
        <f>'Jan 16 - Jan 31'!H31</f>
        <v>0</v>
      </c>
      <c r="I15" s="182">
        <f>'Jan 16 - Jan 31'!I31</f>
        <v>0</v>
      </c>
      <c r="J15" s="185">
        <f>'Jan 16 - Jan 31'!J31</f>
        <v>0</v>
      </c>
      <c r="K15" s="185">
        <f>'Jan 16 - Jan 31'!K31</f>
        <v>0</v>
      </c>
      <c r="L15" s="182">
        <f>'Jan 16 - Jan 31'!L31</f>
        <v>0</v>
      </c>
      <c r="M15" s="182">
        <f>'Jan 16 - Jan 31'!M31</f>
        <v>0</v>
      </c>
      <c r="N15" s="182">
        <f>'Jan 16 - Jan 31'!N31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Factors'!$B$6:$B$371,MATCH('Feb 1 - Feb 15'!$Z$14:$Z$20,'Conversion Factors'!$A$6:$A$371,0))),"",INDEX('Conversion Factors'!$B$6:$B$371,MATCH('Feb 1 - Feb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44593</v>
      </c>
      <c r="B16" s="238"/>
      <c r="C16" s="239"/>
      <c r="D16" s="32" t="s">
        <v>25</v>
      </c>
      <c r="E16" s="176"/>
      <c r="F16" s="176"/>
      <c r="G16" s="177"/>
      <c r="H16" s="176"/>
      <c r="I16" s="176"/>
      <c r="J16" s="178"/>
      <c r="K16" s="178"/>
      <c r="L16" s="179"/>
      <c r="M16" s="176"/>
      <c r="N16" s="176"/>
      <c r="O16" s="110">
        <f t="shared" ref="O16:O19" si="34">SUM(E16:N16)-J16</f>
        <v>0</v>
      </c>
      <c r="P16" s="187" t="str">
        <f t="shared" si="23"/>
        <v/>
      </c>
      <c r="Q16" s="182"/>
      <c r="R16" s="50" t="str">
        <f t="shared" si="24"/>
        <v/>
      </c>
      <c r="S16" s="52"/>
      <c r="T16" s="52"/>
      <c r="U16" s="149">
        <f t="shared" ref="U16:U44" si="35">IF(BJ16&gt;0,BJ16,BN16)</f>
        <v>0</v>
      </c>
      <c r="V16" s="150">
        <f t="shared" si="25"/>
        <v>0</v>
      </c>
      <c r="W16" s="50"/>
      <c r="X16" s="49">
        <f>IF(ISNA(INDEX('Conversion Factors'!$B$6:$B$371,MATCH('Feb 1 - Feb 15'!$Z$14:$Z$20,'Conversion Factors'!$A$6:$A$371,0))),"",INDEX('Conversion Factors'!$B$6:$B$371,MATCH('Feb 1 - Feb 15'!$Z$14:$Z$20,'Conversion Factors'!$A$6:$A$371,0)))</f>
        <v>7.8789999999999996</v>
      </c>
      <c r="Z16" s="18">
        <f t="shared" si="1"/>
        <v>44593</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44594</v>
      </c>
      <c r="B17" s="238"/>
      <c r="C17" s="239"/>
      <c r="D17" s="32" t="s">
        <v>26</v>
      </c>
      <c r="E17" s="176"/>
      <c r="F17" s="176"/>
      <c r="G17" s="177"/>
      <c r="H17" s="176"/>
      <c r="I17" s="176"/>
      <c r="J17" s="178"/>
      <c r="K17" s="178"/>
      <c r="L17" s="179"/>
      <c r="M17" s="176"/>
      <c r="N17" s="176"/>
      <c r="O17" s="110">
        <f t="shared" si="34"/>
        <v>0</v>
      </c>
      <c r="P17" s="187" t="str">
        <f t="shared" si="23"/>
        <v/>
      </c>
      <c r="Q17" s="182"/>
      <c r="R17" s="50" t="str">
        <f t="shared" si="24"/>
        <v/>
      </c>
      <c r="S17" s="52"/>
      <c r="T17" s="52"/>
      <c r="U17" s="149">
        <f t="shared" si="35"/>
        <v>0</v>
      </c>
      <c r="V17" s="150">
        <f t="shared" si="25"/>
        <v>0</v>
      </c>
      <c r="W17" s="50"/>
      <c r="X17" s="49">
        <f>IF(ISNA(INDEX('Conversion Factors'!$B$6:$B$371,MATCH('Feb 1 - Feb 15'!$Z$14:$Z$20,'Conversion Factors'!$A$6:$A$371,0))),"",INDEX('Conversion Factors'!$B$6:$B$371,MATCH('Feb 1 - Feb 15'!$Z$14:$Z$20,'Conversion Factors'!$A$6:$A$371,0)))</f>
        <v>7.8789999999999996</v>
      </c>
      <c r="Z17" s="18">
        <f t="shared" si="1"/>
        <v>44594</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44595</v>
      </c>
      <c r="B18" s="238"/>
      <c r="C18" s="239"/>
      <c r="D18" s="32" t="s">
        <v>27</v>
      </c>
      <c r="E18" s="176"/>
      <c r="F18" s="176"/>
      <c r="G18" s="177"/>
      <c r="H18" s="176"/>
      <c r="I18" s="176"/>
      <c r="J18" s="178"/>
      <c r="K18" s="178"/>
      <c r="L18" s="179"/>
      <c r="M18" s="176"/>
      <c r="N18" s="176"/>
      <c r="O18" s="110">
        <f t="shared" si="34"/>
        <v>0</v>
      </c>
      <c r="P18" s="187" t="str">
        <f t="shared" si="23"/>
        <v/>
      </c>
      <c r="Q18" s="182"/>
      <c r="R18" s="50" t="str">
        <f t="shared" si="24"/>
        <v/>
      </c>
      <c r="S18" s="52"/>
      <c r="T18" s="52"/>
      <c r="U18" s="149">
        <f t="shared" si="35"/>
        <v>0</v>
      </c>
      <c r="V18" s="150">
        <f t="shared" si="25"/>
        <v>0</v>
      </c>
      <c r="W18" s="50"/>
      <c r="X18" s="49">
        <f>IF(ISNA(INDEX('Conversion Factors'!$B$6:$B$371,MATCH('Feb 1 - Feb 15'!$Z$14:$Z$20,'Conversion Factors'!$A$6:$A$371,0))),"",INDEX('Conversion Factors'!$B$6:$B$371,MATCH('Feb 1 - Feb 15'!$Z$14:$Z$20,'Conversion Factors'!$A$6:$A$371,0)))</f>
        <v>7.8789999999999996</v>
      </c>
      <c r="Z18" s="18">
        <f t="shared" si="1"/>
        <v>44595</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44596</v>
      </c>
      <c r="B19" s="238"/>
      <c r="C19" s="239"/>
      <c r="D19" s="32" t="s">
        <v>28</v>
      </c>
      <c r="E19" s="176"/>
      <c r="F19" s="176"/>
      <c r="G19" s="177"/>
      <c r="H19" s="176"/>
      <c r="I19" s="176"/>
      <c r="J19" s="178"/>
      <c r="K19" s="178"/>
      <c r="L19" s="179"/>
      <c r="M19" s="176"/>
      <c r="N19" s="176"/>
      <c r="O19" s="110">
        <f t="shared" si="34"/>
        <v>0</v>
      </c>
      <c r="P19" s="187" t="str">
        <f t="shared" si="23"/>
        <v/>
      </c>
      <c r="Q19" s="182"/>
      <c r="R19" s="50" t="str">
        <f t="shared" si="24"/>
        <v/>
      </c>
      <c r="S19" s="52"/>
      <c r="T19" s="52"/>
      <c r="U19" s="149">
        <f t="shared" si="35"/>
        <v>0</v>
      </c>
      <c r="V19" s="150">
        <f t="shared" si="25"/>
        <v>0</v>
      </c>
      <c r="W19" s="50"/>
      <c r="X19" s="49">
        <f>IF(ISNA(INDEX('Conversion Factors'!$B$6:$B$371,MATCH('Feb 1 - Feb 15'!$Z$14:$Z$20,'Conversion Factors'!$A$6:$A$371,0))),"",INDEX('Conversion Factors'!$B$6:$B$371,MATCH('Feb 1 - Feb 15'!$Z$14:$Z$20,'Conversion Factors'!$A$6:$A$371,0)))</f>
        <v>7.8789999999999996</v>
      </c>
      <c r="Z19" s="18">
        <f t="shared" si="1"/>
        <v>44596</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44597</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Factors'!$B$6:$B$371,MATCH('Feb 1 - Feb 15'!$Z$14:$Z$20,'Conversion Factors'!$A$6:$A$371,0))),"",INDEX('Conversion Factors'!$B$6:$B$371,MATCH('Feb 1 - Feb 15'!$Z$14:$Z$20,'Conversion Factors'!$A$6:$A$371,0)))</f>
        <v>7.8789999999999996</v>
      </c>
      <c r="Z20" s="18">
        <f t="shared" si="1"/>
        <v>44597</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44598</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Factors'!$B$6:$B$371,MATCH('Feb 1 - Feb 15'!$Z$22:$Z$28,'Conversion Factors'!$A$6:$A$371,0))),"",INDEX('Conversion Factors'!$B$6:$B$371,MATCH('Feb 1 - Feb 15'!$Z$22:$Z$28,'Conversion Factors'!$A$6:$A$371,0)))</f>
        <v>7.8789999999999996</v>
      </c>
      <c r="Z22" s="17">
        <f t="shared" ref="Z22:Z28" si="42">A22</f>
        <v>44598</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44599</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Factors'!$B$6:$B$371,MATCH('Feb 1 - Feb 15'!$Z$22:$Z$28,'Conversion Factors'!$A$6:$A$371,0))),"",INDEX('Conversion Factors'!$B$6:$B$371,MATCH('Feb 1 - Feb 15'!$Z$22:$Z$28,'Conversion Factors'!$A$6:$A$371,0)))</f>
        <v>7.8789999999999996</v>
      </c>
      <c r="Z23" s="17">
        <f t="shared" si="42"/>
        <v>44599</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44600</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Factors'!$B$6:$B$371,MATCH('Feb 1 - Feb 15'!$Z$22:$Z$28,'Conversion Factors'!$A$6:$A$371,0))),"",INDEX('Conversion Factors'!$B$6:$B$371,MATCH('Feb 1 - Feb 15'!$Z$22:$Z$28,'Conversion Factors'!$A$6:$A$371,0)))</f>
        <v>7.8789999999999996</v>
      </c>
      <c r="Z24" s="17">
        <f t="shared" si="42"/>
        <v>44600</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44601</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Factors'!$B$6:$B$371,MATCH('Feb 1 - Feb 15'!$Z$22:$Z$28,'Conversion Factors'!$A$6:$A$371,0))),"",INDEX('Conversion Factors'!$B$6:$B$371,MATCH('Feb 1 - Feb 15'!$Z$22:$Z$28,'Conversion Factors'!$A$6:$A$371,0)))</f>
        <v>7.8789999999999996</v>
      </c>
      <c r="Z25" s="17">
        <f t="shared" si="42"/>
        <v>44601</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44602</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Factors'!$B$6:$B$371,MATCH('Feb 1 - Feb 15'!$Z$22:$Z$28,'Conversion Factors'!$A$6:$A$371,0))),"",INDEX('Conversion Factors'!$B$6:$B$371,MATCH('Feb 1 - Feb 15'!$Z$22:$Z$28,'Conversion Factors'!$A$6:$A$371,0)))</f>
        <v>7.8789999999999996</v>
      </c>
      <c r="Z26" s="17">
        <f t="shared" si="42"/>
        <v>44602</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44603</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Factors'!$B$6:$B$371,MATCH('Feb 1 - Feb 15'!$Z$22:$Z$28,'Conversion Factors'!$A$6:$A$371,0))),"",INDEX('Conversion Factors'!$B$6:$B$371,MATCH('Feb 1 - Feb 15'!$Z$22:$Z$28,'Conversion Factors'!$A$6:$A$371,0)))</f>
        <v>7.8789999999999996</v>
      </c>
      <c r="Z27" s="17">
        <f t="shared" si="42"/>
        <v>44603</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44604</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Factors'!$B$6:$B$371,MATCH('Feb 1 - Feb 15'!$Z$22:$Z$28,'Conversion Factors'!$A$6:$A$371,0))),"",INDEX('Conversion Factors'!$B$6:$B$371,MATCH('Feb 1 - Feb 15'!$Z$22:$Z$28,'Conversion Factors'!$A$6:$A$371,0)))</f>
        <v>7.8789999999999996</v>
      </c>
      <c r="Z28" s="17">
        <f t="shared" si="42"/>
        <v>44604</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44605</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Factors'!$B$6:$B$370,MATCH('Feb 1 - Feb 15'!$Z$30:$Z$36,'Conversion Factors'!$A$6:$A$370,0))),"",INDEX('Conversion Factors'!$B$6:$B$370,MATCH('Feb 1 - Feb 15'!$Z$30:$Z$36,'Conversion Factors'!$A$6:$A$370,0)))</f>
        <v>7.8789999999999996</v>
      </c>
      <c r="Z30" s="17">
        <f t="shared" ref="Z30:Z36" si="81">A30</f>
        <v>44605</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44606</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Factors'!$B$6:$B$370,MATCH('Feb 1 - Feb 15'!$Z$30:$Z$36,'Conversion Factors'!$A$6:$A$370,0))),"",INDEX('Conversion Factors'!$B$6:$B$370,MATCH('Feb 1 - Feb 15'!$Z$30:$Z$36,'Conversion Factors'!$A$6:$A$370,0)))</f>
        <v>7.8789999999999996</v>
      </c>
      <c r="Z31" s="17">
        <f t="shared" si="81"/>
        <v>44606</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44607</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Factors'!$B$6:$B$370,MATCH('Feb 1 - Feb 15'!$Z$30:$Z$36,'Conversion Factors'!$A$6:$A$370,0))),"",INDEX('Conversion Factors'!$B$6:$B$370,MATCH('Feb 1 - Feb 15'!$Z$30:$Z$36,'Conversion Factors'!$A$6:$A$370,0)))</f>
        <v>7.8789999999999996</v>
      </c>
      <c r="Z32" s="17">
        <f t="shared" si="81"/>
        <v>44607</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str">
        <f t="shared" si="104"/>
        <v/>
      </c>
      <c r="B33" s="226"/>
      <c r="C33" s="227"/>
      <c r="D33" s="32" t="s">
        <v>26</v>
      </c>
      <c r="E33" s="182"/>
      <c r="F33" s="182"/>
      <c r="G33" s="184"/>
      <c r="H33" s="182"/>
      <c r="I33" s="182"/>
      <c r="J33" s="185"/>
      <c r="K33" s="185"/>
      <c r="L33" s="186"/>
      <c r="M33" s="182"/>
      <c r="N33" s="182"/>
      <c r="O33" s="183">
        <f t="shared" si="105"/>
        <v>0</v>
      </c>
      <c r="P33" s="50" t="str">
        <f t="shared" si="106"/>
        <v/>
      </c>
      <c r="Q33" s="51"/>
      <c r="R33" s="50" t="str">
        <f t="shared" si="107"/>
        <v/>
      </c>
      <c r="S33" s="52"/>
      <c r="T33" s="52"/>
      <c r="U33" s="149">
        <f t="shared" si="35"/>
        <v>0</v>
      </c>
      <c r="V33" s="150">
        <f t="shared" si="108"/>
        <v>0</v>
      </c>
      <c r="W33" s="50"/>
      <c r="X33" s="49" t="str">
        <f>IF(ISNA(INDEX('Conversion Factors'!$B$6:$B$370,MATCH('Feb 1 - Feb 15'!$Z$30:$Z$36,'Conversion Factors'!$A$6:$A$370,0))),"",INDEX('Conversion Factors'!$B$6:$B$370,MATCH('Feb 1 - Feb 15'!$Z$30:$Z$36,'Conversion Factors'!$A$6:$A$370,0)))</f>
        <v/>
      </c>
      <c r="Z33" s="17" t="str">
        <f t="shared" si="81"/>
        <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182"/>
      <c r="F34" s="182"/>
      <c r="G34" s="184"/>
      <c r="H34" s="182"/>
      <c r="I34" s="182"/>
      <c r="J34" s="185"/>
      <c r="K34" s="185"/>
      <c r="L34" s="186"/>
      <c r="M34" s="182"/>
      <c r="N34" s="182"/>
      <c r="O34" s="183">
        <f t="shared" si="105"/>
        <v>0</v>
      </c>
      <c r="P34" s="50" t="str">
        <f t="shared" si="106"/>
        <v/>
      </c>
      <c r="Q34" s="51"/>
      <c r="R34" s="50" t="str">
        <f t="shared" si="107"/>
        <v/>
      </c>
      <c r="S34" s="52"/>
      <c r="T34" s="52"/>
      <c r="U34" s="149">
        <f t="shared" si="35"/>
        <v>0</v>
      </c>
      <c r="V34" s="150">
        <f t="shared" si="108"/>
        <v>0</v>
      </c>
      <c r="W34" s="50"/>
      <c r="X34" s="49" t="str">
        <f>IF(ISNA(INDEX('Conversion Factors'!$B$6:$B$370,MATCH('Feb 1 - Feb 15'!$Z$30:$Z$36,'Conversion Factors'!$A$6:$A$370,0))),"",INDEX('Conversion Factors'!$B$6:$B$370,MATCH('Feb 1 - Feb 15'!$Z$30:$Z$36,'Conversion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182"/>
      <c r="F35" s="182"/>
      <c r="G35" s="184"/>
      <c r="H35" s="182"/>
      <c r="I35" s="182"/>
      <c r="J35" s="185"/>
      <c r="K35" s="185"/>
      <c r="L35" s="186"/>
      <c r="M35" s="182"/>
      <c r="N35" s="182"/>
      <c r="O35" s="183">
        <f t="shared" si="105"/>
        <v>0</v>
      </c>
      <c r="P35" s="50" t="str">
        <f t="shared" si="106"/>
        <v/>
      </c>
      <c r="Q35" s="51"/>
      <c r="R35" s="50" t="str">
        <f t="shared" si="107"/>
        <v/>
      </c>
      <c r="S35" s="52"/>
      <c r="T35" s="52"/>
      <c r="U35" s="149">
        <f t="shared" si="35"/>
        <v>0</v>
      </c>
      <c r="V35" s="150">
        <f t="shared" si="108"/>
        <v>0</v>
      </c>
      <c r="W35" s="50"/>
      <c r="X35" s="49" t="str">
        <f>IF(ISNA(INDEX('Conversion Factors'!$B$6:$B$370,MATCH('Feb 1 - Feb 15'!$Z$30:$Z$36,'Conversion Factors'!$A$6:$A$370,0))),"",INDEX('Conversion Factors'!$B$6:$B$370,MATCH('Feb 1 - Feb 15'!$Z$30:$Z$36,'Conversion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182"/>
      <c r="F36" s="182"/>
      <c r="G36" s="184"/>
      <c r="H36" s="182"/>
      <c r="I36" s="182"/>
      <c r="J36" s="185"/>
      <c r="K36" s="185"/>
      <c r="L36" s="186"/>
      <c r="M36" s="182"/>
      <c r="N36" s="182"/>
      <c r="O36" s="183">
        <f t="shared" si="105"/>
        <v>0</v>
      </c>
      <c r="P36" s="50" t="str">
        <f t="shared" si="106"/>
        <v/>
      </c>
      <c r="Q36" s="52"/>
      <c r="R36" s="50" t="str">
        <f t="shared" si="107"/>
        <v/>
      </c>
      <c r="S36" s="52"/>
      <c r="T36" s="52"/>
      <c r="U36" s="149">
        <f t="shared" si="35"/>
        <v>0</v>
      </c>
      <c r="V36" s="150">
        <f t="shared" si="108"/>
        <v>0</v>
      </c>
      <c r="W36" s="50"/>
      <c r="X36" s="49" t="str">
        <f>IF(ISNA(INDEX('Conversion Factors'!$B$6:$B$370,MATCH('Feb 1 - Feb 15'!$Z$30:$Z$36,'Conversion Factors'!$A$6:$A$370,0))),"",INDEX('Conversion Factors'!$B$6:$B$370,MATCH('Feb 1 - Feb 15'!$Z$30:$Z$36,'Conversion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Factors'!$B$6:$B$370,MATCH('Feb 1 - Feb 15'!$Z$38:$Z$44,'Conversion Factors'!$A$6:$A$370,0))),"",INDEX('Conversion Factors'!$B$6:$B$370,MATCH('Feb 1 - Feb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Factors'!$B$6:$B$370,MATCH('Feb 1 - Feb 15'!$Z$38:$Z$44,'Conversion Factors'!$A$6:$A$370,0))),"",INDEX('Conversion Factors'!$B$6:$B$370,MATCH('Feb 1 - Feb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Factors'!$B$6:$B$370,MATCH('Feb 1 - Feb 15'!$Z$38:$Z$44,'Conversion Factors'!$A$6:$A$370,0))),"",INDEX('Conversion Factors'!$B$6:$B$370,MATCH('Feb 1 - Feb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Factors'!$B$6:$B$370,MATCH('Feb 1 - Feb 15'!$Z$38:$Z$44,'Conversion Factors'!$A$6:$A$370,0))),"",INDEX('Conversion Factors'!$B$6:$B$370,MATCH('Feb 1 - Feb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Factors'!$B$6:$B$370,MATCH('Feb 1 - Feb 15'!$Z$38:$Z$44,'Conversion Factors'!$A$6:$A$370,0))),"",INDEX('Conversion Factors'!$B$6:$B$370,MATCH('Feb 1 - Feb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Factors'!$B$6:$B$370,MATCH('Feb 1 - Feb 15'!$Z$38:$Z$44,'Conversion Factors'!$A$6:$A$370,0))),"",INDEX('Conversion Factors'!$B$6:$B$370,MATCH('Feb 1 - Feb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Factors'!$B$6:$B$370,MATCH('Feb 1 - Feb 15'!$Z$38:$Z$44,'Conversion Factors'!$A$6:$A$370,0))),"",INDEX('Conversion Factors'!$B$6:$B$370,MATCH('Feb 1 - Feb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188" priority="17" operator="equal">
      <formula>FALSE</formula>
    </cfRule>
  </conditionalFormatting>
  <conditionalFormatting sqref="A22:C22">
    <cfRule type="cellIs" dxfId="187" priority="16" operator="equal">
      <formula>FALSE</formula>
    </cfRule>
  </conditionalFormatting>
  <conditionalFormatting sqref="D22:D28">
    <cfRule type="cellIs" dxfId="186" priority="15" operator="equal">
      <formula>FALSE</formula>
    </cfRule>
  </conditionalFormatting>
  <conditionalFormatting sqref="Z22:Z28">
    <cfRule type="cellIs" dxfId="185" priority="14" operator="equal">
      <formula>FALSE</formula>
    </cfRule>
  </conditionalFormatting>
  <conditionalFormatting sqref="Z30:Z36">
    <cfRule type="cellIs" dxfId="184" priority="13" operator="equal">
      <formula>FALSE</formula>
    </cfRule>
  </conditionalFormatting>
  <conditionalFormatting sqref="X21 X29 X37">
    <cfRule type="containsErrors" dxfId="183" priority="12">
      <formula>ISERROR(X21)</formula>
    </cfRule>
  </conditionalFormatting>
  <conditionalFormatting sqref="Z39:Z44">
    <cfRule type="cellIs" dxfId="182" priority="10" operator="equal">
      <formula>FALSE</formula>
    </cfRule>
  </conditionalFormatting>
  <conditionalFormatting sqref="Z38">
    <cfRule type="cellIs" dxfId="181" priority="11" operator="equal">
      <formula>FALSE</formula>
    </cfRule>
  </conditionalFormatting>
  <conditionalFormatting sqref="W11:X11">
    <cfRule type="cellIs" dxfId="180" priority="9" operator="equal">
      <formula>"Please Select"</formula>
    </cfRule>
  </conditionalFormatting>
  <conditionalFormatting sqref="E11:F11">
    <cfRule type="containsBlanks" dxfId="179" priority="8">
      <formula>LEN(TRIM(E11))=0</formula>
    </cfRule>
  </conditionalFormatting>
  <conditionalFormatting sqref="U14:U46">
    <cfRule type="cellIs" dxfId="178" priority="7" operator="equal">
      <formula>FALSE</formula>
    </cfRule>
  </conditionalFormatting>
  <conditionalFormatting sqref="P26">
    <cfRule type="cellIs" dxfId="177" priority="6" operator="lessThan">
      <formula>$BQ$21</formula>
    </cfRule>
  </conditionalFormatting>
  <conditionalFormatting sqref="X14:X20">
    <cfRule type="containsErrors" dxfId="176" priority="5">
      <formula>ISERROR(X14)</formula>
    </cfRule>
  </conditionalFormatting>
  <conditionalFormatting sqref="X30:X36">
    <cfRule type="containsErrors" dxfId="175" priority="4">
      <formula>ISERROR(X30)</formula>
    </cfRule>
  </conditionalFormatting>
  <conditionalFormatting sqref="X38:X44">
    <cfRule type="containsErrors" dxfId="174" priority="3">
      <formula>ISERROR(X38)</formula>
    </cfRule>
  </conditionalFormatting>
  <conditionalFormatting sqref="X22">
    <cfRule type="containsErrors" dxfId="173" priority="2">
      <formula>ISERROR(X22)</formula>
    </cfRule>
  </conditionalFormatting>
  <conditionalFormatting sqref="X23:X28">
    <cfRule type="containsErrors" dxfId="172"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24F67DA3-7B66-479A-9A18-420F2F2CDFF0}">
      <formula1>$AD$6:$AD$8</formula1>
    </dataValidation>
    <dataValidation allowBlank="1" showInputMessage="1" showErrorMessage="1" promptTitle="Hours Per Week" prompt="Please enter the number of hours you are scheduled to work each week.  (Example:  40)_x000a_" sqref="E11:F11" xr:uid="{CA8B00F6-5B82-4760-A40D-7A6C13169E57}"/>
    <dataValidation allowBlank="1" showInputMessage="1" showErrorMessage="1" prompt="Enter your MSU ID into this field and it will populate to all the other time re[prts in this workbook." sqref="C6:H6" xr:uid="{94A0ACA5-FE33-4FA0-8F6E-8679C9C5B661}"/>
    <dataValidation allowBlank="1" showInputMessage="1" showErrorMessage="1" prompt="Enter your Name into this field and it will populate to all the other time reports in this workbook." sqref="C7:H7" xr:uid="{733F5B1C-E411-4854-9CB8-5ECC9C248525}"/>
    <dataValidation allowBlank="1" showInputMessage="1" showErrorMessage="1" prompt="Enter your Department Name into this field and it will populate to all the other time reports in this workbook." sqref="C8:H8" xr:uid="{B125460F-C85D-4F50-BE8E-3BEEEF3DB7D7}"/>
  </dataValidations>
  <hyperlinks>
    <hyperlink ref="O49" r:id="rId1" xr:uid="{86D2322B-5112-42C4-B500-8F7D65BE0C2B}"/>
    <hyperlink ref="O48:W48" r:id="rId2" display="Leave/Leave Without Pay Policy" xr:uid="{7E92343C-4F42-4A84-9386-B69C287A64D0}"/>
    <hyperlink ref="O50:W50" r:id="rId3" display="Time Sheet Definitions/Policies" xr:uid="{0109BB83-3377-460E-A214-800F3D62B98A}"/>
    <hyperlink ref="O49:T49" r:id="rId4" display="Overtime/Compensatory Time" xr:uid="{F6C85CCD-381A-434A-874C-705833BE4234}"/>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113C-CE10-40D3-9D80-1F3F040C8B18}">
  <sheetPr codeName="Sheet22">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Notes'!$A$17</f>
        <v>44608</v>
      </c>
      <c r="P6" s="265"/>
      <c r="Q6" s="265"/>
      <c r="R6" s="265"/>
      <c r="S6" s="265"/>
      <c r="T6" s="265"/>
      <c r="U6" s="53"/>
      <c r="V6" s="53"/>
      <c r="W6" s="24"/>
      <c r="X6" s="30"/>
      <c r="Z6" s="4" t="str">
        <f>TEXT(O6,"dddd")</f>
        <v>Wednesday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Notes'!$B$17</f>
        <v>44620</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Notes'!$C$17</f>
        <v>4</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SUM(E14:E16)</f>
        <v>0</v>
      </c>
      <c r="F13" s="86">
        <f t="shared" ref="F13:N13" si="0">SUM(F14:F16)</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'Feb 1 - Feb 15'!E30</f>
        <v>0</v>
      </c>
      <c r="F14" s="182">
        <f>'Feb 1 - Feb 15'!F30</f>
        <v>0</v>
      </c>
      <c r="G14" s="184">
        <f>'Feb 1 - Feb 15'!G30</f>
        <v>0</v>
      </c>
      <c r="H14" s="182">
        <f>'Feb 1 - Feb 15'!H30</f>
        <v>0</v>
      </c>
      <c r="I14" s="182">
        <f>'Feb 1 - Feb 15'!I30</f>
        <v>0</v>
      </c>
      <c r="J14" s="185">
        <f>'Feb 1 - Feb 15'!J30</f>
        <v>0</v>
      </c>
      <c r="K14" s="185">
        <f>'Feb 1 - Feb 15'!K30</f>
        <v>0</v>
      </c>
      <c r="L14" s="186">
        <f>'Feb 1 - Feb 15'!L30</f>
        <v>0</v>
      </c>
      <c r="M14" s="182">
        <f>'Feb 1 - Feb 15'!M30</f>
        <v>0</v>
      </c>
      <c r="N14" s="182">
        <f>'Feb 1 - Feb 15'!N30</f>
        <v>0</v>
      </c>
      <c r="O14" s="183">
        <f>SUM(E14:N14)-J14</f>
        <v>0</v>
      </c>
      <c r="P14" s="50" t="str">
        <f>IF(AND(ISNUMBER(AA14),ISNUMBER(X14)),AA14*X14,"")</f>
        <v/>
      </c>
      <c r="Q14" s="52"/>
      <c r="R14" s="50" t="str">
        <f>IF(AND(ISNUMBER(AB14),ISNUMBER(X14)),AB14*X14,"")</f>
        <v/>
      </c>
      <c r="S14" s="52"/>
      <c r="T14" s="52"/>
      <c r="U14" s="206">
        <f>IF(BJ14&gt;0,BJ14,BN14)</f>
        <v>0</v>
      </c>
      <c r="V14" s="150">
        <f>IF(BK14&gt;0,BK14,0)</f>
        <v>0</v>
      </c>
      <c r="W14" s="50"/>
      <c r="X14" s="49" t="str">
        <f>IF(ISNA(INDEX('Conversion Factors'!$B$6:$B$371,MATCH('Feb 16 - Feb 28'!$Z$14:$Z$20,'Conversion Factors'!$A$6:$A$371,0))),"",INDEX('Conversion Factors'!$B$6:$B$371,MATCH('Feb 16 - Feb 28'!$Z$14:$Z$20,'Conversion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'Feb 1 - Feb 15'!E31</f>
        <v>0</v>
      </c>
      <c r="F15" s="182">
        <f>'Feb 1 - Feb 15'!F31</f>
        <v>0</v>
      </c>
      <c r="G15" s="184">
        <f>'Feb 1 - Feb 15'!G31</f>
        <v>0</v>
      </c>
      <c r="H15" s="182">
        <f>'Feb 1 - Feb 15'!H31</f>
        <v>0</v>
      </c>
      <c r="I15" s="182">
        <f>'Feb 1 - Feb 15'!I31</f>
        <v>0</v>
      </c>
      <c r="J15" s="185">
        <f>'Feb 1 - Feb 15'!J31</f>
        <v>0</v>
      </c>
      <c r="K15" s="185">
        <f>'Feb 1 - Feb 15'!K31</f>
        <v>0</v>
      </c>
      <c r="L15" s="186">
        <f>'Feb 1 - Feb 15'!L31</f>
        <v>0</v>
      </c>
      <c r="M15" s="182">
        <f>'Feb 1 - Feb 15'!M31</f>
        <v>0</v>
      </c>
      <c r="N15" s="182">
        <f>'Feb 1 - Feb 15'!N31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Factors'!$B$6:$B$371,MATCH('Feb 16 - Feb 28'!$Z$14:$Z$20,'Conversion Factors'!$A$6:$A$371,0))),"",INDEX('Conversion Factors'!$B$6:$B$371,MATCH('Feb 16 - Feb 28'!$Z$14:$Z$20,'Conversion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'Feb 1 - Feb 15'!E32</f>
        <v>0</v>
      </c>
      <c r="F16" s="182">
        <f>'Feb 1 - Feb 15'!F32</f>
        <v>0</v>
      </c>
      <c r="G16" s="184">
        <f>'Feb 1 - Feb 15'!G32</f>
        <v>0</v>
      </c>
      <c r="H16" s="182">
        <f>'Feb 1 - Feb 15'!H32</f>
        <v>0</v>
      </c>
      <c r="I16" s="182">
        <f>'Feb 1 - Feb 15'!I32</f>
        <v>0</v>
      </c>
      <c r="J16" s="185">
        <f>'Feb 1 - Feb 15'!J32</f>
        <v>0</v>
      </c>
      <c r="K16" s="185">
        <f>'Feb 1 - Feb 15'!K32</f>
        <v>0</v>
      </c>
      <c r="L16" s="186">
        <f>'Feb 1 - Feb 15'!L32</f>
        <v>0</v>
      </c>
      <c r="M16" s="182">
        <f>'Feb 1 - Feb 15'!M32</f>
        <v>0</v>
      </c>
      <c r="N16" s="182">
        <f>'Feb 1 - Feb 15'!N32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Factors'!$B$6:$B$371,MATCH('Feb 16 - Feb 28'!$Z$14:$Z$20,'Conversion Factors'!$A$6:$A$371,0))),"",INDEX('Conversion Factors'!$B$6:$B$371,MATCH('Feb 16 - Feb 28'!$Z$14:$Z$20,'Conversion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44608</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Factors'!$B$6:$B$371,MATCH('Feb 16 - Feb 28'!$Z$14:$Z$20,'Conversion Factors'!$A$6:$A$371,0))),"",INDEX('Conversion Factors'!$B$6:$B$371,MATCH('Feb 16 - Feb 28'!$Z$14:$Z$20,'Conversion Factors'!$A$6:$A$371,0)))</f>
        <v>9.6300000000000008</v>
      </c>
      <c r="Z17" s="18">
        <f t="shared" si="1"/>
        <v>44608</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44609</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Factors'!$B$6:$B$371,MATCH('Feb 16 - Feb 28'!$Z$14:$Z$20,'Conversion Factors'!$A$6:$A$371,0))),"",INDEX('Conversion Factors'!$B$6:$B$371,MATCH('Feb 16 - Feb 28'!$Z$14:$Z$20,'Conversion Factors'!$A$6:$A$371,0)))</f>
        <v>9.6300000000000008</v>
      </c>
      <c r="Z18" s="18">
        <f t="shared" si="1"/>
        <v>44609</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44610</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Factors'!$B$6:$B$371,MATCH('Feb 16 - Feb 28'!$Z$14:$Z$20,'Conversion Factors'!$A$6:$A$371,0))),"",INDEX('Conversion Factors'!$B$6:$B$371,MATCH('Feb 16 - Feb 28'!$Z$14:$Z$20,'Conversion Factors'!$A$6:$A$371,0)))</f>
        <v>9.6300000000000008</v>
      </c>
      <c r="Z19" s="18">
        <f t="shared" si="1"/>
        <v>44610</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44611</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Factors'!$B$6:$B$371,MATCH('Feb 16 - Feb 28'!$Z$14:$Z$20,'Conversion Factors'!$A$6:$A$371,0))),"",INDEX('Conversion Factors'!$B$6:$B$371,MATCH('Feb 16 - Feb 28'!$Z$14:$Z$20,'Conversion Factors'!$A$6:$A$371,0)))</f>
        <v>9.6300000000000008</v>
      </c>
      <c r="Z20" s="18">
        <f t="shared" si="1"/>
        <v>44611</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44612</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Factors'!$B$6:$B$371,MATCH('Feb 16 - Feb 28'!$Z$22:$Z$28,'Conversion Factors'!$A$6:$A$371,0))),"",INDEX('Conversion Factors'!$B$6:$B$371,MATCH('Feb 16 - Feb 28'!$Z$22:$Z$28,'Conversion Factors'!$A$6:$A$371,0)))</f>
        <v>9.6300000000000008</v>
      </c>
      <c r="Z22" s="17">
        <f t="shared" ref="Z22:Z28" si="42">A22</f>
        <v>44612</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44613</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Factors'!$B$6:$B$371,MATCH('Feb 16 - Feb 28'!$Z$22:$Z$28,'Conversion Factors'!$A$6:$A$371,0))),"",INDEX('Conversion Factors'!$B$6:$B$371,MATCH('Feb 16 - Feb 28'!$Z$22:$Z$28,'Conversion Factors'!$A$6:$A$371,0)))</f>
        <v>9.6300000000000008</v>
      </c>
      <c r="Z23" s="17">
        <f t="shared" si="42"/>
        <v>44613</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44614</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Factors'!$B$6:$B$371,MATCH('Feb 16 - Feb 28'!$Z$22:$Z$28,'Conversion Factors'!$A$6:$A$371,0))),"",INDEX('Conversion Factors'!$B$6:$B$371,MATCH('Feb 16 - Feb 28'!$Z$22:$Z$28,'Conversion Factors'!$A$6:$A$371,0)))</f>
        <v>9.6300000000000008</v>
      </c>
      <c r="Z24" s="17">
        <f t="shared" si="42"/>
        <v>44614</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44615</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Factors'!$B$6:$B$371,MATCH('Feb 16 - Feb 28'!$Z$22:$Z$28,'Conversion Factors'!$A$6:$A$371,0))),"",INDEX('Conversion Factors'!$B$6:$B$371,MATCH('Feb 16 - Feb 28'!$Z$22:$Z$28,'Conversion Factors'!$A$6:$A$371,0)))</f>
        <v>9.6300000000000008</v>
      </c>
      <c r="Z25" s="17">
        <f t="shared" si="42"/>
        <v>44615</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44616</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Factors'!$B$6:$B$371,MATCH('Feb 16 - Feb 28'!$Z$22:$Z$28,'Conversion Factors'!$A$6:$A$371,0))),"",INDEX('Conversion Factors'!$B$6:$B$371,MATCH('Feb 16 - Feb 28'!$Z$22:$Z$28,'Conversion Factors'!$A$6:$A$371,0)))</f>
        <v>9.6300000000000008</v>
      </c>
      <c r="Z26" s="17">
        <f t="shared" si="42"/>
        <v>44616</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44617</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Factors'!$B$6:$B$371,MATCH('Feb 16 - Feb 28'!$Z$22:$Z$28,'Conversion Factors'!$A$6:$A$371,0))),"",INDEX('Conversion Factors'!$B$6:$B$371,MATCH('Feb 16 - Feb 28'!$Z$22:$Z$28,'Conversion Factors'!$A$6:$A$371,0)))</f>
        <v>9.6300000000000008</v>
      </c>
      <c r="Z27" s="17">
        <f t="shared" si="42"/>
        <v>44617</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44618</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Factors'!$B$6:$B$371,MATCH('Feb 16 - Feb 28'!$Z$22:$Z$28,'Conversion Factors'!$A$6:$A$371,0))),"",INDEX('Conversion Factors'!$B$6:$B$371,MATCH('Feb 16 - Feb 28'!$Z$22:$Z$28,'Conversion Factors'!$A$6:$A$371,0)))</f>
        <v>9.6300000000000008</v>
      </c>
      <c r="Z28" s="17">
        <f t="shared" si="42"/>
        <v>44618</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44619</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Factors'!$B$6:$B$370,MATCH('Feb 16 - Feb 28'!$Z$30:$Z$36,'Conversion Factors'!$A$6:$A$370,0))),"",INDEX('Conversion Factors'!$B$6:$B$370,MATCH('Feb 16 - Feb 28'!$Z$30:$Z$36,'Conversion Factors'!$A$6:$A$370,0)))</f>
        <v>9.6300000000000008</v>
      </c>
      <c r="Z30" s="17">
        <f t="shared" ref="Z30:Z36" si="81">A30</f>
        <v>44619</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44620</v>
      </c>
      <c r="B31" s="226"/>
      <c r="C31" s="227"/>
      <c r="D31" s="32" t="s">
        <v>24</v>
      </c>
      <c r="E31" s="176"/>
      <c r="F31" s="176"/>
      <c r="G31" s="177"/>
      <c r="H31" s="176"/>
      <c r="I31" s="176"/>
      <c r="J31" s="178"/>
      <c r="K31" s="178"/>
      <c r="L31" s="179"/>
      <c r="M31" s="176"/>
      <c r="N31" s="176"/>
      <c r="O31" s="199">
        <f t="shared" ref="O31:O36" si="105">SUM(E31:N31)-J31</f>
        <v>0</v>
      </c>
      <c r="P31" s="50" t="str">
        <f t="shared" ref="P31:P36" si="106">IF(AND(ISNUMBER(AA31),ISNUMBER(X31)),AA31*X31,"")</f>
        <v/>
      </c>
      <c r="Q31" s="52"/>
      <c r="R31" s="50" t="str">
        <f t="shared" ref="R31:R36" si="107">IF(AND(ISNUMBER(AB31),ISNUMBER(X31)),AB31*X31,"")</f>
        <v/>
      </c>
      <c r="S31" s="52"/>
      <c r="T31" s="52"/>
      <c r="U31" s="149">
        <f t="shared" si="35"/>
        <v>0</v>
      </c>
      <c r="V31" s="150">
        <f t="shared" ref="V31:V36" si="108">IF(BK31&gt;0,BK31,0)</f>
        <v>0</v>
      </c>
      <c r="W31" s="50"/>
      <c r="X31" s="49">
        <f>IF(ISNA(INDEX('Conversion Factors'!$B$6:$B$370,MATCH('Feb 16 - Feb 28'!$Z$30:$Z$36,'Conversion Factors'!$A$6:$A$370,0))),"",INDEX('Conversion Factors'!$B$6:$B$370,MATCH('Feb 16 - Feb 28'!$Z$30:$Z$36,'Conversion Factors'!$A$6:$A$370,0)))</f>
        <v>9.6300000000000008</v>
      </c>
      <c r="Z31" s="17">
        <f t="shared" si="81"/>
        <v>44620</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t="str">
        <f t="shared" si="104"/>
        <v/>
      </c>
      <c r="B32" s="226"/>
      <c r="C32" s="227"/>
      <c r="D32" s="32" t="s">
        <v>25</v>
      </c>
      <c r="E32" s="182"/>
      <c r="F32" s="182"/>
      <c r="G32" s="184"/>
      <c r="H32" s="182"/>
      <c r="I32" s="182"/>
      <c r="J32" s="185"/>
      <c r="K32" s="185"/>
      <c r="L32" s="186"/>
      <c r="M32" s="182"/>
      <c r="N32" s="182"/>
      <c r="O32" s="183">
        <f t="shared" si="105"/>
        <v>0</v>
      </c>
      <c r="P32" s="50" t="str">
        <f t="shared" si="106"/>
        <v/>
      </c>
      <c r="Q32" s="52"/>
      <c r="R32" s="50" t="str">
        <f t="shared" si="107"/>
        <v/>
      </c>
      <c r="S32" s="52"/>
      <c r="T32" s="52"/>
      <c r="U32" s="149">
        <f t="shared" si="35"/>
        <v>0</v>
      </c>
      <c r="V32" s="150">
        <f t="shared" si="108"/>
        <v>0</v>
      </c>
      <c r="W32" s="50"/>
      <c r="X32" s="49" t="str">
        <f>IF(ISNA(INDEX('Conversion Factors'!$B$6:$B$370,MATCH('Feb 16 - Feb 28'!$Z$30:$Z$36,'Conversion Factors'!$A$6:$A$370,0))),"",INDEX('Conversion Factors'!$B$6:$B$370,MATCH('Feb 16 - Feb 28'!$Z$30:$Z$36,'Conversion Factors'!$A$6:$A$370,0)))</f>
        <v/>
      </c>
      <c r="Z32" s="17" t="str">
        <f t="shared" si="81"/>
        <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b">
        <f t="shared" si="104"/>
        <v>0</v>
      </c>
      <c r="B33" s="226"/>
      <c r="C33" s="227"/>
      <c r="D33" s="32" t="s">
        <v>26</v>
      </c>
      <c r="E33" s="182"/>
      <c r="F33" s="182"/>
      <c r="G33" s="184"/>
      <c r="H33" s="182"/>
      <c r="I33" s="182"/>
      <c r="J33" s="185"/>
      <c r="K33" s="185"/>
      <c r="L33" s="186"/>
      <c r="M33" s="182"/>
      <c r="N33" s="182"/>
      <c r="O33" s="183">
        <f t="shared" si="105"/>
        <v>0</v>
      </c>
      <c r="P33" s="50" t="str">
        <f t="shared" si="106"/>
        <v/>
      </c>
      <c r="Q33" s="52"/>
      <c r="R33" s="50" t="str">
        <f t="shared" si="107"/>
        <v/>
      </c>
      <c r="S33" s="52"/>
      <c r="T33" s="52"/>
      <c r="U33" s="149">
        <f t="shared" si="35"/>
        <v>0</v>
      </c>
      <c r="V33" s="150">
        <f t="shared" si="108"/>
        <v>0</v>
      </c>
      <c r="W33" s="50"/>
      <c r="X33" s="49" t="str">
        <f>IF(ISNA(INDEX('Conversion Factors'!$B$6:$B$370,MATCH('Feb 16 - Feb 28'!$Z$30:$Z$36,'Conversion Factors'!$A$6:$A$370,0))),"",INDEX('Conversion Factors'!$B$6:$B$370,MATCH('Feb 16 - Feb 28'!$Z$30:$Z$36,'Conversion Factors'!$A$6:$A$370,0)))</f>
        <v/>
      </c>
      <c r="Z33" s="17" t="b">
        <f t="shared" si="81"/>
        <v>0</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182"/>
      <c r="F34" s="182"/>
      <c r="G34" s="184"/>
      <c r="H34" s="182"/>
      <c r="I34" s="182"/>
      <c r="J34" s="185"/>
      <c r="K34" s="185"/>
      <c r="L34" s="186"/>
      <c r="M34" s="182"/>
      <c r="N34" s="182"/>
      <c r="O34" s="183">
        <f t="shared" si="105"/>
        <v>0</v>
      </c>
      <c r="P34" s="50" t="str">
        <f t="shared" si="106"/>
        <v/>
      </c>
      <c r="Q34" s="52"/>
      <c r="R34" s="50" t="str">
        <f t="shared" si="107"/>
        <v/>
      </c>
      <c r="S34" s="52"/>
      <c r="T34" s="52"/>
      <c r="U34" s="149">
        <f t="shared" si="35"/>
        <v>0</v>
      </c>
      <c r="V34" s="150">
        <f t="shared" si="108"/>
        <v>0</v>
      </c>
      <c r="W34" s="50"/>
      <c r="X34" s="49" t="str">
        <f>IF(ISNA(INDEX('Conversion Factors'!$B$6:$B$370,MATCH('Feb 16 - Feb 28'!$Z$30:$Z$36,'Conversion Factors'!$A$6:$A$370,0))),"",INDEX('Conversion Factors'!$B$6:$B$370,MATCH('Feb 16 - Feb 28'!$Z$30:$Z$36,'Conversion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182"/>
      <c r="F35" s="182"/>
      <c r="G35" s="184"/>
      <c r="H35" s="182"/>
      <c r="I35" s="182"/>
      <c r="J35" s="185"/>
      <c r="K35" s="185"/>
      <c r="L35" s="186"/>
      <c r="M35" s="182"/>
      <c r="N35" s="182"/>
      <c r="O35" s="183">
        <f t="shared" si="105"/>
        <v>0</v>
      </c>
      <c r="P35" s="50" t="str">
        <f t="shared" si="106"/>
        <v/>
      </c>
      <c r="Q35" s="52"/>
      <c r="R35" s="50" t="str">
        <f t="shared" si="107"/>
        <v/>
      </c>
      <c r="S35" s="52"/>
      <c r="T35" s="52"/>
      <c r="U35" s="149">
        <f t="shared" si="35"/>
        <v>0</v>
      </c>
      <c r="V35" s="150">
        <f t="shared" si="108"/>
        <v>0</v>
      </c>
      <c r="W35" s="50"/>
      <c r="X35" s="49" t="str">
        <f>IF(ISNA(INDEX('Conversion Factors'!$B$6:$B$370,MATCH('Feb 16 - Feb 28'!$Z$30:$Z$36,'Conversion Factors'!$A$6:$A$370,0))),"",INDEX('Conversion Factors'!$B$6:$B$370,MATCH('Feb 16 - Feb 28'!$Z$30:$Z$36,'Conversion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182"/>
      <c r="F36" s="182"/>
      <c r="G36" s="184"/>
      <c r="H36" s="182"/>
      <c r="I36" s="182"/>
      <c r="J36" s="185"/>
      <c r="K36" s="185"/>
      <c r="L36" s="186"/>
      <c r="M36" s="182"/>
      <c r="N36" s="182"/>
      <c r="O36" s="183">
        <f t="shared" si="105"/>
        <v>0</v>
      </c>
      <c r="P36" s="50" t="str">
        <f t="shared" si="106"/>
        <v/>
      </c>
      <c r="Q36" s="52"/>
      <c r="R36" s="50" t="str">
        <f t="shared" si="107"/>
        <v/>
      </c>
      <c r="S36" s="52"/>
      <c r="T36" s="52"/>
      <c r="U36" s="149">
        <f t="shared" si="35"/>
        <v>0</v>
      </c>
      <c r="V36" s="150">
        <f t="shared" si="108"/>
        <v>0</v>
      </c>
      <c r="W36" s="50"/>
      <c r="X36" s="49" t="str">
        <f>IF(ISNA(INDEX('Conversion Factors'!$B$6:$B$370,MATCH('Feb 16 - Feb 28'!$Z$30:$Z$36,'Conversion Factors'!$A$6:$A$370,0))),"",INDEX('Conversion Factors'!$B$6:$B$370,MATCH('Feb 16 - Feb 28'!$Z$30:$Z$36,'Conversion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Factors'!$B$6:$B$370,MATCH('Feb 16 - Feb 28'!$Z$38:$Z$44,'Conversion Factors'!$A$6:$A$370,0))),"",INDEX('Conversion Factors'!$B$6:$B$370,MATCH('Feb 16 - Feb 28'!$Z$38:$Z$44,'Conversion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Factors'!$B$6:$B$370,MATCH('Feb 16 - Feb 28'!$Z$38:$Z$44,'Conversion Factors'!$A$6:$A$370,0))),"",INDEX('Conversion Factors'!$B$6:$B$370,MATCH('Feb 16 - Feb 28'!$Z$38:$Z$44,'Conversion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Factors'!$B$6:$B$370,MATCH('Feb 16 - Feb 28'!$Z$38:$Z$44,'Conversion Factors'!$A$6:$A$370,0))),"",INDEX('Conversion Factors'!$B$6:$B$370,MATCH('Feb 16 - Feb 28'!$Z$38:$Z$44,'Conversion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Factors'!$B$6:$B$370,MATCH('Feb 16 - Feb 28'!$Z$38:$Z$44,'Conversion Factors'!$A$6:$A$370,0))),"",INDEX('Conversion Factors'!$B$6:$B$370,MATCH('Feb 16 - Feb 28'!$Z$38:$Z$44,'Conversion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Factors'!$B$6:$B$370,MATCH('Feb 16 - Feb 28'!$Z$38:$Z$44,'Conversion Factors'!$A$6:$A$370,0))),"",INDEX('Conversion Factors'!$B$6:$B$370,MATCH('Feb 16 - Feb 28'!$Z$38:$Z$44,'Conversion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Factors'!$B$6:$B$370,MATCH('Feb 16 - Feb 28'!$Z$38:$Z$44,'Conversion Factors'!$A$6:$A$370,0))),"",INDEX('Conversion Factors'!$B$6:$B$370,MATCH('Feb 16 - Feb 28'!$Z$38:$Z$44,'Conversion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Factors'!$B$6:$B$370,MATCH('Feb 16 - Feb 28'!$Z$38:$Z$44,'Conversion Factors'!$A$6:$A$370,0))),"",INDEX('Conversion Factors'!$B$6:$B$370,MATCH('Feb 16 - Feb 28'!$Z$38:$Z$44,'Conversion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171" priority="17" operator="equal">
      <formula>FALSE</formula>
    </cfRule>
  </conditionalFormatting>
  <conditionalFormatting sqref="A22:C22">
    <cfRule type="cellIs" dxfId="170" priority="16" operator="equal">
      <formula>FALSE</formula>
    </cfRule>
  </conditionalFormatting>
  <conditionalFormatting sqref="D22:D28">
    <cfRule type="cellIs" dxfId="169" priority="15" operator="equal">
      <formula>FALSE</formula>
    </cfRule>
  </conditionalFormatting>
  <conditionalFormatting sqref="Z22:Z28">
    <cfRule type="cellIs" dxfId="168" priority="14" operator="equal">
      <formula>FALSE</formula>
    </cfRule>
  </conditionalFormatting>
  <conditionalFormatting sqref="Z30:Z36">
    <cfRule type="cellIs" dxfId="167" priority="13" operator="equal">
      <formula>FALSE</formula>
    </cfRule>
  </conditionalFormatting>
  <conditionalFormatting sqref="X21 X29 X37">
    <cfRule type="containsErrors" dxfId="166" priority="12">
      <formula>ISERROR(X21)</formula>
    </cfRule>
  </conditionalFormatting>
  <conditionalFormatting sqref="Z39:Z44">
    <cfRule type="cellIs" dxfId="165" priority="10" operator="equal">
      <formula>FALSE</formula>
    </cfRule>
  </conditionalFormatting>
  <conditionalFormatting sqref="Z38">
    <cfRule type="cellIs" dxfId="164" priority="11" operator="equal">
      <formula>FALSE</formula>
    </cfRule>
  </conditionalFormatting>
  <conditionalFormatting sqref="W11:X11">
    <cfRule type="cellIs" dxfId="163" priority="9" operator="equal">
      <formula>"Please Select"</formula>
    </cfRule>
  </conditionalFormatting>
  <conditionalFormatting sqref="E11:F11">
    <cfRule type="containsBlanks" dxfId="162" priority="8">
      <formula>LEN(TRIM(E11))=0</formula>
    </cfRule>
  </conditionalFormatting>
  <conditionalFormatting sqref="U14:U46">
    <cfRule type="cellIs" dxfId="161" priority="7" operator="equal">
      <formula>FALSE</formula>
    </cfRule>
  </conditionalFormatting>
  <conditionalFormatting sqref="P26">
    <cfRule type="cellIs" dxfId="160" priority="6" operator="lessThan">
      <formula>$BQ$21</formula>
    </cfRule>
  </conditionalFormatting>
  <conditionalFormatting sqref="X14:X20">
    <cfRule type="containsErrors" dxfId="159" priority="5">
      <formula>ISERROR(X14)</formula>
    </cfRule>
  </conditionalFormatting>
  <conditionalFormatting sqref="X30:X36">
    <cfRule type="containsErrors" dxfId="158" priority="4">
      <formula>ISERROR(X30)</formula>
    </cfRule>
  </conditionalFormatting>
  <conditionalFormatting sqref="X38:X44">
    <cfRule type="containsErrors" dxfId="157" priority="3">
      <formula>ISERROR(X38)</formula>
    </cfRule>
  </conditionalFormatting>
  <conditionalFormatting sqref="X22">
    <cfRule type="containsErrors" dxfId="156" priority="2">
      <formula>ISERROR(X22)</formula>
    </cfRule>
  </conditionalFormatting>
  <conditionalFormatting sqref="X23:X28">
    <cfRule type="containsErrors" dxfId="155"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C2679B19-50E7-4E68-8997-61002D5C0FF8}"/>
    <dataValidation allowBlank="1" showInputMessage="1" showErrorMessage="1" prompt="Enter your Name into this field and it will populate to all the other time reports in this workbook." sqref="C7:H7" xr:uid="{280DC473-68A6-4C2D-9B08-7A6CAD5E80F1}"/>
    <dataValidation allowBlank="1" showInputMessage="1" showErrorMessage="1" prompt="Enter your MSU ID into this field and it will populate to all the other time re[prts in this workbook." sqref="C6:H6" xr:uid="{18079BE3-20A2-420E-9CFC-65736CEBCD57}"/>
    <dataValidation allowBlank="1" showInputMessage="1" showErrorMessage="1" promptTitle="Hours Per Week" prompt="Please enter the number of hours you are scheduled to work each week.  (Example:  40)_x000a_" sqref="E11:F11" xr:uid="{CEF4679E-246B-4E33-A98B-8CC84D53F367}"/>
    <dataValidation type="list" allowBlank="1" showInputMessage="1" showErrorMessage="1" promptTitle="Compensatory Time" prompt="Please select &quot;No&quot; if you are not receiving Compensatory time or &quot;Yes&quot; if you are receiving compensatory time." sqref="W11:X11" xr:uid="{64D4F4E0-2587-4279-A0E5-BB5C1B51147C}">
      <formula1>$AD$6:$AD$8</formula1>
    </dataValidation>
  </dataValidations>
  <hyperlinks>
    <hyperlink ref="O49" r:id="rId1" xr:uid="{C8334CDA-1774-477B-A5E3-03FBBB929723}"/>
    <hyperlink ref="O48:W48" r:id="rId2" display="Leave/Leave Without Pay Policy" xr:uid="{4E2F7036-46F2-4F1C-9493-D46BE42A6A96}"/>
    <hyperlink ref="O50:W50" r:id="rId3" display="Time Sheet Definitions/Policies" xr:uid="{49A1D179-6527-416B-810D-AAE510B8A4D8}"/>
    <hyperlink ref="O49:T49" r:id="rId4" display="Overtime/Compensatory Time" xr:uid="{1AA710A3-62F0-4FF2-AAA8-2DC32A8A051D}"/>
  </hyperlinks>
  <printOptions horizontalCentered="1"/>
  <pageMargins left="0.5" right="0.5" top="0.5" bottom="0.5" header="0.5" footer="0"/>
  <pageSetup scale="75" orientation="portrait" r:id="rId5"/>
  <headerFooter alignWithMargins="0">
    <oddFooter>&amp;RRevised:  05/2019</oddFooter>
  </headerFooter>
  <ignoredErrors>
    <ignoredError sqref="E14:N15 O16:O20" unlockedFormula="1"/>
  </ignoredErrors>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74F3-445C-4028-9BCF-351C68342B2F}">
  <sheetPr codeName="Sheet23">
    <tabColor theme="4" tint="0.79998168889431442"/>
  </sheetPr>
  <dimension ref="A1:BQ57"/>
  <sheetViews>
    <sheetView showGridLines="0" showZeros="0" zoomScaleNormal="100" workbookViewId="0">
      <pane ySplit="13" topLeftCell="A23"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Notes'!$A$18</f>
        <v>44621</v>
      </c>
      <c r="P6" s="265"/>
      <c r="Q6" s="265"/>
      <c r="R6" s="265"/>
      <c r="S6" s="265"/>
      <c r="T6" s="265"/>
      <c r="U6" s="53"/>
      <c r="V6" s="53"/>
      <c r="W6" s="24"/>
      <c r="X6" s="30"/>
      <c r="Z6" s="4" t="str">
        <f>TEXT(O6,"dddd")</f>
        <v>Tuesday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Notes'!$B$18</f>
        <v>44635</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Notes'!$C$18</f>
        <v>5</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SUM(E14:E15)</f>
        <v>0</v>
      </c>
      <c r="F13" s="86">
        <f t="shared" ref="F13:N13" si="0">SUM(F14:F15)</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'Feb 16 - Feb 28'!E30</f>
        <v>0</v>
      </c>
      <c r="F14" s="182">
        <f>'Feb 16 - Feb 28'!F30</f>
        <v>0</v>
      </c>
      <c r="G14" s="184">
        <f>'Feb 16 - Feb 28'!G30</f>
        <v>0</v>
      </c>
      <c r="H14" s="182">
        <f>'Feb 16 - Feb 28'!H30</f>
        <v>0</v>
      </c>
      <c r="I14" s="182">
        <f>'Feb 16 - Feb 28'!I30</f>
        <v>0</v>
      </c>
      <c r="J14" s="185">
        <f>'Feb 16 - Feb 28'!J30</f>
        <v>0</v>
      </c>
      <c r="K14" s="185">
        <f>'Feb 16 - Feb 28'!K30</f>
        <v>0</v>
      </c>
      <c r="L14" s="186">
        <f>'Feb 16 - Feb 28'!L30</f>
        <v>0</v>
      </c>
      <c r="M14" s="182">
        <f>'Feb 16 - Feb 28'!M30</f>
        <v>0</v>
      </c>
      <c r="N14" s="182">
        <f>'Feb 16 - Feb 28'!N30</f>
        <v>0</v>
      </c>
      <c r="O14" s="183">
        <f>SUM(E14:N14)-J14</f>
        <v>0</v>
      </c>
      <c r="P14" s="50" t="str">
        <f>IF(AND(ISNUMBER(AA14),ISNUMBER(X14)),AA14*X14,"")</f>
        <v/>
      </c>
      <c r="Q14" s="52"/>
      <c r="R14" s="50" t="str">
        <f>IF(AND(ISNUMBER(AB14),ISNUMBER(X14)),AB14*X14,"")</f>
        <v/>
      </c>
      <c r="S14" s="52"/>
      <c r="T14" s="52"/>
      <c r="U14" s="206">
        <f>IF(BJ14&gt;0,BJ14,BN14)</f>
        <v>0</v>
      </c>
      <c r="V14" s="150">
        <f>IF(BK14&gt;0,BK14,0)</f>
        <v>0</v>
      </c>
      <c r="W14" s="50"/>
      <c r="X14" s="49" t="str">
        <f>IF(ISNA(INDEX('Conversion Factors'!$B$6:$B$371,MATCH('Mar 1 - Mar 15'!$Z$14:$Z$20,'Conversion Factors'!$A$6:$A$371,0))),"",INDEX('Conversion Factors'!$B$6:$B$371,MATCH('Mar 1 - Mar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'Feb 16 - Feb 28'!E31</f>
        <v>0</v>
      </c>
      <c r="F15" s="182">
        <f>'Feb 16 - Feb 28'!F31</f>
        <v>0</v>
      </c>
      <c r="G15" s="184">
        <f>'Feb 16 - Feb 28'!G31</f>
        <v>0</v>
      </c>
      <c r="H15" s="182">
        <f>'Feb 16 - Feb 28'!H31</f>
        <v>0</v>
      </c>
      <c r="I15" s="182">
        <f>'Feb 16 - Feb 28'!I31</f>
        <v>0</v>
      </c>
      <c r="J15" s="185">
        <f>'Feb 16 - Feb 28'!J31</f>
        <v>0</v>
      </c>
      <c r="K15" s="185">
        <f>'Feb 16 - Feb 28'!K31</f>
        <v>0</v>
      </c>
      <c r="L15" s="186">
        <f>'Feb 16 - Feb 28'!L31</f>
        <v>0</v>
      </c>
      <c r="M15" s="182">
        <f>'Feb 16 - Feb 28'!M31</f>
        <v>0</v>
      </c>
      <c r="N15" s="182">
        <f>'Feb 16 - Feb 28'!N31</f>
        <v>0</v>
      </c>
      <c r="O15" s="183">
        <f>SUM(E15:N15)-J15</f>
        <v>0</v>
      </c>
      <c r="P15" s="50" t="str">
        <f t="shared" ref="P15:P20" si="23">IF(AND(ISNUMBER(AA15),ISNUMBER(X15)),AA15*X15,"")</f>
        <v/>
      </c>
      <c r="Q15" s="51"/>
      <c r="R15" s="50" t="str">
        <f t="shared" ref="R15:R20" si="24">IF(AND(ISNUMBER(AB15),ISNUMBER(X15)),AB15*X15,"")</f>
        <v/>
      </c>
      <c r="S15" s="52"/>
      <c r="T15" s="52"/>
      <c r="U15" s="206">
        <f>IF(BJ15&gt;0,BJ15,BN15)</f>
        <v>0</v>
      </c>
      <c r="V15" s="150">
        <f t="shared" ref="V15:V20" si="25">IF(BK15&gt;0,BK15,0)</f>
        <v>0</v>
      </c>
      <c r="W15" s="50"/>
      <c r="X15" s="49" t="str">
        <f>IF(ISNA(INDEX('Conversion Factors'!$B$6:$B$371,MATCH('Mar 1 - Mar 15'!$Z$14:$Z$20,'Conversion Factors'!$A$6:$A$371,0))),"",INDEX('Conversion Factors'!$B$6:$B$371,MATCH('Mar 1 - Mar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44621</v>
      </c>
      <c r="B16" s="238"/>
      <c r="C16" s="239"/>
      <c r="D16" s="32" t="s">
        <v>25</v>
      </c>
      <c r="E16" s="176"/>
      <c r="F16" s="176"/>
      <c r="G16" s="177"/>
      <c r="H16" s="176"/>
      <c r="I16" s="176"/>
      <c r="J16" s="178"/>
      <c r="K16" s="178"/>
      <c r="L16" s="179"/>
      <c r="M16" s="176"/>
      <c r="N16" s="176"/>
      <c r="O16" s="110">
        <f t="shared" ref="O16:O19" si="34">SUM(E16:N16)-J16</f>
        <v>0</v>
      </c>
      <c r="P16" s="50" t="str">
        <f t="shared" si="23"/>
        <v/>
      </c>
      <c r="Q16" s="51"/>
      <c r="R16" s="50" t="str">
        <f t="shared" si="24"/>
        <v/>
      </c>
      <c r="S16" s="52"/>
      <c r="T16" s="52"/>
      <c r="U16" s="149">
        <f t="shared" ref="U16:U44" si="35">IF(BJ16&gt;0,BJ16,BN16)</f>
        <v>0</v>
      </c>
      <c r="V16" s="150">
        <f t="shared" si="25"/>
        <v>0</v>
      </c>
      <c r="W16" s="50"/>
      <c r="X16" s="49">
        <f>IF(ISNA(INDEX('Conversion Factors'!$B$6:$B$371,MATCH('Mar 1 - Mar 15'!$Z$14:$Z$20,'Conversion Factors'!$A$6:$A$371,0))),"",INDEX('Conversion Factors'!$B$6:$B$371,MATCH('Mar 1 - Mar 15'!$Z$14:$Z$20,'Conversion Factors'!$A$6:$A$371,0)))</f>
        <v>7.8789999999999996</v>
      </c>
      <c r="Z16" s="18">
        <f t="shared" si="1"/>
        <v>44621</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44622</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Factors'!$B$6:$B$371,MATCH('Mar 1 - Mar 15'!$Z$14:$Z$20,'Conversion Factors'!$A$6:$A$371,0))),"",INDEX('Conversion Factors'!$B$6:$B$371,MATCH('Mar 1 - Mar 15'!$Z$14:$Z$20,'Conversion Factors'!$A$6:$A$371,0)))</f>
        <v>7.8789999999999996</v>
      </c>
      <c r="Z17" s="18">
        <f t="shared" si="1"/>
        <v>44622</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44623</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Factors'!$B$6:$B$371,MATCH('Mar 1 - Mar 15'!$Z$14:$Z$20,'Conversion Factors'!$A$6:$A$371,0))),"",INDEX('Conversion Factors'!$B$6:$B$371,MATCH('Mar 1 - Mar 15'!$Z$14:$Z$20,'Conversion Factors'!$A$6:$A$371,0)))</f>
        <v>7.8789999999999996</v>
      </c>
      <c r="Z18" s="18">
        <f t="shared" si="1"/>
        <v>44623</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44624</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Factors'!$B$6:$B$371,MATCH('Mar 1 - Mar 15'!$Z$14:$Z$20,'Conversion Factors'!$A$6:$A$371,0))),"",INDEX('Conversion Factors'!$B$6:$B$371,MATCH('Mar 1 - Mar 15'!$Z$14:$Z$20,'Conversion Factors'!$A$6:$A$371,0)))</f>
        <v>7.8789999999999996</v>
      </c>
      <c r="Z19" s="18">
        <f t="shared" si="1"/>
        <v>44624</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44625</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Factors'!$B$6:$B$371,MATCH('Mar 1 - Mar 15'!$Z$14:$Z$20,'Conversion Factors'!$A$6:$A$371,0))),"",INDEX('Conversion Factors'!$B$6:$B$371,MATCH('Mar 1 - Mar 15'!$Z$14:$Z$20,'Conversion Factors'!$A$6:$A$371,0)))</f>
        <v>7.8789999999999996</v>
      </c>
      <c r="Z20" s="18">
        <f t="shared" si="1"/>
        <v>44625</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44626</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Factors'!$B$6:$B$371,MATCH('Mar 1 - Mar 15'!$Z$22:$Z$28,'Conversion Factors'!$A$6:$A$371,0))),"",INDEX('Conversion Factors'!$B$6:$B$371,MATCH('Mar 1 - Mar 15'!$Z$22:$Z$28,'Conversion Factors'!$A$6:$A$371,0)))</f>
        <v>7.8789999999999996</v>
      </c>
      <c r="Z22" s="17">
        <f t="shared" ref="Z22:Z28" si="42">A22</f>
        <v>44626</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44627</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Factors'!$B$6:$B$371,MATCH('Mar 1 - Mar 15'!$Z$22:$Z$28,'Conversion Factors'!$A$6:$A$371,0))),"",INDEX('Conversion Factors'!$B$6:$B$371,MATCH('Mar 1 - Mar 15'!$Z$22:$Z$28,'Conversion Factors'!$A$6:$A$371,0)))</f>
        <v>7.8789999999999996</v>
      </c>
      <c r="Z23" s="17">
        <f t="shared" si="42"/>
        <v>44627</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44628</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Factors'!$B$6:$B$371,MATCH('Mar 1 - Mar 15'!$Z$22:$Z$28,'Conversion Factors'!$A$6:$A$371,0))),"",INDEX('Conversion Factors'!$B$6:$B$371,MATCH('Mar 1 - Mar 15'!$Z$22:$Z$28,'Conversion Factors'!$A$6:$A$371,0)))</f>
        <v>7.8789999999999996</v>
      </c>
      <c r="Z24" s="17">
        <f t="shared" si="42"/>
        <v>44628</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44629</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Factors'!$B$6:$B$371,MATCH('Mar 1 - Mar 15'!$Z$22:$Z$28,'Conversion Factors'!$A$6:$A$371,0))),"",INDEX('Conversion Factors'!$B$6:$B$371,MATCH('Mar 1 - Mar 15'!$Z$22:$Z$28,'Conversion Factors'!$A$6:$A$371,0)))</f>
        <v>7.8789999999999996</v>
      </c>
      <c r="Z25" s="17">
        <f t="shared" si="42"/>
        <v>44629</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44630</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Factors'!$B$6:$B$371,MATCH('Mar 1 - Mar 15'!$Z$22:$Z$28,'Conversion Factors'!$A$6:$A$371,0))),"",INDEX('Conversion Factors'!$B$6:$B$371,MATCH('Mar 1 - Mar 15'!$Z$22:$Z$28,'Conversion Factors'!$A$6:$A$371,0)))</f>
        <v>7.8789999999999996</v>
      </c>
      <c r="Z26" s="17">
        <f t="shared" si="42"/>
        <v>44630</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44631</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Factors'!$B$6:$B$371,MATCH('Mar 1 - Mar 15'!$Z$22:$Z$28,'Conversion Factors'!$A$6:$A$371,0))),"",INDEX('Conversion Factors'!$B$6:$B$371,MATCH('Mar 1 - Mar 15'!$Z$22:$Z$28,'Conversion Factors'!$A$6:$A$371,0)))</f>
        <v>7.8789999999999996</v>
      </c>
      <c r="Z27" s="17">
        <f t="shared" si="42"/>
        <v>44631</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44632</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Factors'!$B$6:$B$371,MATCH('Mar 1 - Mar 15'!$Z$22:$Z$28,'Conversion Factors'!$A$6:$A$371,0))),"",INDEX('Conversion Factors'!$B$6:$B$371,MATCH('Mar 1 - Mar 15'!$Z$22:$Z$28,'Conversion Factors'!$A$6:$A$371,0)))</f>
        <v>7.8789999999999996</v>
      </c>
      <c r="Z28" s="17">
        <f t="shared" si="42"/>
        <v>44632</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44633</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Factors'!$B$6:$B$370,MATCH('Mar 1 - Mar 15'!$Z$30:$Z$36,'Conversion Factors'!$A$6:$A$370,0))),"",INDEX('Conversion Factors'!$B$6:$B$370,MATCH('Mar 1 - Mar 15'!$Z$30:$Z$36,'Conversion Factors'!$A$6:$A$370,0)))</f>
        <v>7.8789999999999996</v>
      </c>
      <c r="Z30" s="17">
        <f t="shared" ref="Z30:Z36" si="81">A30</f>
        <v>44633</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44634</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2"/>
      <c r="R31" s="50" t="str">
        <f t="shared" ref="R31:R36" si="107">IF(AND(ISNUMBER(AB31),ISNUMBER(X31)),AB31*X31,"")</f>
        <v/>
      </c>
      <c r="S31" s="52"/>
      <c r="T31" s="52"/>
      <c r="U31" s="149">
        <f t="shared" si="35"/>
        <v>0</v>
      </c>
      <c r="V31" s="150">
        <f t="shared" ref="V31:V36" si="108">IF(BK31&gt;0,BK31,0)</f>
        <v>0</v>
      </c>
      <c r="W31" s="50"/>
      <c r="X31" s="49">
        <f>IF(ISNA(INDEX('Conversion Factors'!$B$6:$B$370,MATCH('Mar 1 - Mar 15'!$Z$30:$Z$36,'Conversion Factors'!$A$6:$A$370,0))),"",INDEX('Conversion Factors'!$B$6:$B$370,MATCH('Mar 1 - Mar 15'!$Z$30:$Z$36,'Conversion Factors'!$A$6:$A$370,0)))</f>
        <v>7.8789999999999996</v>
      </c>
      <c r="Z31" s="17">
        <f t="shared" si="81"/>
        <v>44634</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44635</v>
      </c>
      <c r="B32" s="226"/>
      <c r="C32" s="227"/>
      <c r="D32" s="32" t="s">
        <v>25</v>
      </c>
      <c r="E32" s="176"/>
      <c r="F32" s="176"/>
      <c r="G32" s="177"/>
      <c r="H32" s="176"/>
      <c r="I32" s="176"/>
      <c r="J32" s="178"/>
      <c r="K32" s="178"/>
      <c r="L32" s="179"/>
      <c r="M32" s="176"/>
      <c r="N32" s="176"/>
      <c r="O32" s="110">
        <f t="shared" si="105"/>
        <v>0</v>
      </c>
      <c r="P32" s="50" t="str">
        <f t="shared" si="106"/>
        <v/>
      </c>
      <c r="Q32" s="52"/>
      <c r="R32" s="50" t="str">
        <f t="shared" si="107"/>
        <v/>
      </c>
      <c r="S32" s="52"/>
      <c r="T32" s="52"/>
      <c r="U32" s="149">
        <f t="shared" si="35"/>
        <v>0</v>
      </c>
      <c r="V32" s="150">
        <f t="shared" si="108"/>
        <v>0</v>
      </c>
      <c r="W32" s="50"/>
      <c r="X32" s="49">
        <f>IF(ISNA(INDEX('Conversion Factors'!$B$6:$B$370,MATCH('Mar 1 - Mar 15'!$Z$30:$Z$36,'Conversion Factors'!$A$6:$A$370,0))),"",INDEX('Conversion Factors'!$B$6:$B$370,MATCH('Mar 1 - Mar 15'!$Z$30:$Z$36,'Conversion Factors'!$A$6:$A$370,0)))</f>
        <v>7.8789999999999996</v>
      </c>
      <c r="Z32" s="17">
        <f t="shared" si="81"/>
        <v>44635</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str">
        <f t="shared" si="104"/>
        <v/>
      </c>
      <c r="B33" s="226"/>
      <c r="C33" s="227"/>
      <c r="D33" s="32" t="s">
        <v>26</v>
      </c>
      <c r="E33" s="52"/>
      <c r="F33" s="52"/>
      <c r="G33" s="77"/>
      <c r="H33" s="52"/>
      <c r="I33" s="52"/>
      <c r="J33" s="108"/>
      <c r="K33" s="108"/>
      <c r="L33" s="109"/>
      <c r="M33" s="52"/>
      <c r="N33" s="52"/>
      <c r="O33" s="110">
        <f t="shared" si="105"/>
        <v>0</v>
      </c>
      <c r="P33" s="50" t="str">
        <f t="shared" si="106"/>
        <v/>
      </c>
      <c r="Q33" s="52"/>
      <c r="R33" s="50" t="str">
        <f t="shared" si="107"/>
        <v/>
      </c>
      <c r="S33" s="52"/>
      <c r="T33" s="52"/>
      <c r="U33" s="149">
        <f t="shared" si="35"/>
        <v>0</v>
      </c>
      <c r="V33" s="150">
        <f t="shared" si="108"/>
        <v>0</v>
      </c>
      <c r="W33" s="50"/>
      <c r="X33" s="49" t="str">
        <f>IF(ISNA(INDEX('Conversion Factors'!$B$6:$B$370,MATCH('Mar 1 - Mar 15'!$Z$30:$Z$36,'Conversion Factors'!$A$6:$A$370,0))),"",INDEX('Conversion Factors'!$B$6:$B$370,MATCH('Mar 1 - Mar 15'!$Z$30:$Z$36,'Conversion Factors'!$A$6:$A$370,0)))</f>
        <v/>
      </c>
      <c r="Z33" s="17" t="str">
        <f t="shared" si="81"/>
        <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52"/>
      <c r="F34" s="52"/>
      <c r="G34" s="77"/>
      <c r="H34" s="52"/>
      <c r="I34" s="52"/>
      <c r="J34" s="108"/>
      <c r="K34" s="108"/>
      <c r="L34" s="109"/>
      <c r="M34" s="52"/>
      <c r="N34" s="52"/>
      <c r="O34" s="110">
        <f t="shared" si="105"/>
        <v>0</v>
      </c>
      <c r="P34" s="50" t="str">
        <f t="shared" si="106"/>
        <v/>
      </c>
      <c r="Q34" s="52"/>
      <c r="R34" s="50" t="str">
        <f t="shared" si="107"/>
        <v/>
      </c>
      <c r="S34" s="52"/>
      <c r="T34" s="52"/>
      <c r="U34" s="149">
        <f t="shared" si="35"/>
        <v>0</v>
      </c>
      <c r="V34" s="150">
        <f t="shared" si="108"/>
        <v>0</v>
      </c>
      <c r="W34" s="50"/>
      <c r="X34" s="49" t="str">
        <f>IF(ISNA(INDEX('Conversion Factors'!$B$6:$B$370,MATCH('Mar 1 - Mar 15'!$Z$30:$Z$36,'Conversion Factors'!$A$6:$A$370,0))),"",INDEX('Conversion Factors'!$B$6:$B$370,MATCH('Mar 1 - Mar 15'!$Z$30:$Z$36,'Conversion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2"/>
      <c r="R35" s="50" t="str">
        <f t="shared" si="107"/>
        <v/>
      </c>
      <c r="S35" s="52"/>
      <c r="T35" s="52"/>
      <c r="U35" s="149">
        <f t="shared" si="35"/>
        <v>0</v>
      </c>
      <c r="V35" s="150">
        <f t="shared" si="108"/>
        <v>0</v>
      </c>
      <c r="W35" s="50"/>
      <c r="X35" s="49" t="str">
        <f>IF(ISNA(INDEX('Conversion Factors'!$B$6:$B$370,MATCH('Mar 1 - Mar 15'!$Z$30:$Z$36,'Conversion Factors'!$A$6:$A$370,0))),"",INDEX('Conversion Factors'!$B$6:$B$370,MATCH('Mar 1 - Mar 15'!$Z$30:$Z$36,'Conversion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Factors'!$B$6:$B$370,MATCH('Mar 1 - Mar 15'!$Z$30:$Z$36,'Conversion Factors'!$A$6:$A$370,0))),"",INDEX('Conversion Factors'!$B$6:$B$370,MATCH('Mar 1 - Mar 15'!$Z$30:$Z$36,'Conversion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Factors'!$B$6:$B$370,MATCH('Mar 1 - Mar 15'!$Z$38:$Z$44,'Conversion Factors'!$A$6:$A$370,0))),"",INDEX('Conversion Factors'!$B$6:$B$370,MATCH('Mar 1 - Mar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Factors'!$B$6:$B$370,MATCH('Mar 1 - Mar 15'!$Z$38:$Z$44,'Conversion Factors'!$A$6:$A$370,0))),"",INDEX('Conversion Factors'!$B$6:$B$370,MATCH('Mar 1 - Mar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Factors'!$B$6:$B$370,MATCH('Mar 1 - Mar 15'!$Z$38:$Z$44,'Conversion Factors'!$A$6:$A$370,0))),"",INDEX('Conversion Factors'!$B$6:$B$370,MATCH('Mar 1 - Mar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Factors'!$B$6:$B$370,MATCH('Mar 1 - Mar 15'!$Z$38:$Z$44,'Conversion Factors'!$A$6:$A$370,0))),"",INDEX('Conversion Factors'!$B$6:$B$370,MATCH('Mar 1 - Mar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Factors'!$B$6:$B$370,MATCH('Mar 1 - Mar 15'!$Z$38:$Z$44,'Conversion Factors'!$A$6:$A$370,0))),"",INDEX('Conversion Factors'!$B$6:$B$370,MATCH('Mar 1 - Mar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Factors'!$B$6:$B$370,MATCH('Mar 1 - Mar 15'!$Z$38:$Z$44,'Conversion Factors'!$A$6:$A$370,0))),"",INDEX('Conversion Factors'!$B$6:$B$370,MATCH('Mar 1 - Mar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Factors'!$B$6:$B$370,MATCH('Mar 1 - Mar 15'!$Z$38:$Z$44,'Conversion Factors'!$A$6:$A$370,0))),"",INDEX('Conversion Factors'!$B$6:$B$370,MATCH('Mar 1 - Mar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154" priority="17" operator="equal">
      <formula>FALSE</formula>
    </cfRule>
  </conditionalFormatting>
  <conditionalFormatting sqref="A22:C22">
    <cfRule type="cellIs" dxfId="153" priority="16" operator="equal">
      <formula>FALSE</formula>
    </cfRule>
  </conditionalFormatting>
  <conditionalFormatting sqref="D22:D28">
    <cfRule type="cellIs" dxfId="152" priority="15" operator="equal">
      <formula>FALSE</formula>
    </cfRule>
  </conditionalFormatting>
  <conditionalFormatting sqref="Z22:Z28">
    <cfRule type="cellIs" dxfId="151" priority="14" operator="equal">
      <formula>FALSE</formula>
    </cfRule>
  </conditionalFormatting>
  <conditionalFormatting sqref="Z30:Z36">
    <cfRule type="cellIs" dxfId="150" priority="13" operator="equal">
      <formula>FALSE</formula>
    </cfRule>
  </conditionalFormatting>
  <conditionalFormatting sqref="X21 X29 X37">
    <cfRule type="containsErrors" dxfId="149" priority="12">
      <formula>ISERROR(X21)</formula>
    </cfRule>
  </conditionalFormatting>
  <conditionalFormatting sqref="Z39:Z44">
    <cfRule type="cellIs" dxfId="148" priority="10" operator="equal">
      <formula>FALSE</formula>
    </cfRule>
  </conditionalFormatting>
  <conditionalFormatting sqref="Z38">
    <cfRule type="cellIs" dxfId="147" priority="11" operator="equal">
      <formula>FALSE</formula>
    </cfRule>
  </conditionalFormatting>
  <conditionalFormatting sqref="W11:X11">
    <cfRule type="cellIs" dxfId="146" priority="9" operator="equal">
      <formula>"Please Select"</formula>
    </cfRule>
  </conditionalFormatting>
  <conditionalFormatting sqref="E11:F11">
    <cfRule type="containsBlanks" dxfId="145" priority="8">
      <formula>LEN(TRIM(E11))=0</formula>
    </cfRule>
  </conditionalFormatting>
  <conditionalFormatting sqref="U14:U46">
    <cfRule type="cellIs" dxfId="144" priority="7" operator="equal">
      <formula>FALSE</formula>
    </cfRule>
  </conditionalFormatting>
  <conditionalFormatting sqref="P26">
    <cfRule type="cellIs" dxfId="143" priority="6" operator="lessThan">
      <formula>$BQ$21</formula>
    </cfRule>
  </conditionalFormatting>
  <conditionalFormatting sqref="X14:X20">
    <cfRule type="containsErrors" dxfId="142" priority="5">
      <formula>ISERROR(X14)</formula>
    </cfRule>
  </conditionalFormatting>
  <conditionalFormatting sqref="X30:X36">
    <cfRule type="containsErrors" dxfId="141" priority="4">
      <formula>ISERROR(X30)</formula>
    </cfRule>
  </conditionalFormatting>
  <conditionalFormatting sqref="X38:X44">
    <cfRule type="containsErrors" dxfId="140" priority="3">
      <formula>ISERROR(X38)</formula>
    </cfRule>
  </conditionalFormatting>
  <conditionalFormatting sqref="X22">
    <cfRule type="containsErrors" dxfId="139" priority="2">
      <formula>ISERROR(X22)</formula>
    </cfRule>
  </conditionalFormatting>
  <conditionalFormatting sqref="X23:X28">
    <cfRule type="containsErrors" dxfId="138"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9B38D49A-80D4-45EB-B5C7-7258366570C4}">
      <formula1>$AD$6:$AD$8</formula1>
    </dataValidation>
    <dataValidation allowBlank="1" showInputMessage="1" showErrorMessage="1" promptTitle="Hours Per Week" prompt="Please enter the number of hours you are scheduled to work each week.  (Example:  40)_x000a_" sqref="E11:F11" xr:uid="{FF399872-CC84-4021-B0A9-5473AB32B070}"/>
    <dataValidation allowBlank="1" showInputMessage="1" showErrorMessage="1" prompt="Enter your MSU ID into this field and it will populate to all the other time re[prts in this workbook." sqref="C6:H6" xr:uid="{85F028BB-2A41-4ABF-959F-FFA5E1530741}"/>
    <dataValidation allowBlank="1" showInputMessage="1" showErrorMessage="1" prompt="Enter your Name into this field and it will populate to all the other time reports in this workbook." sqref="C7:H7" xr:uid="{8A3D3A89-F231-4C8A-A7A0-2362C5787F65}"/>
    <dataValidation allowBlank="1" showInputMessage="1" showErrorMessage="1" prompt="Enter your Department Name into this field and it will populate to all the other time reports in this workbook." sqref="C8:H8" xr:uid="{338722D7-FC7F-47F5-9576-236BB51FB9F5}"/>
  </dataValidations>
  <hyperlinks>
    <hyperlink ref="O49" r:id="rId1" xr:uid="{61FEE05D-B698-4C87-8A50-869CB479CD43}"/>
    <hyperlink ref="O48:W48" r:id="rId2" display="Leave/Leave Without Pay Policy" xr:uid="{7CFE5DB5-6CC9-4AB6-9E30-A89EBD2A1DE6}"/>
    <hyperlink ref="O50:W50" r:id="rId3" display="Time Sheet Definitions/Policies" xr:uid="{703C5975-A055-4AA2-8B82-88F7F237AE74}"/>
    <hyperlink ref="O49:T49" r:id="rId4" display="Overtime/Compensatory Time" xr:uid="{B765B7DA-CA43-4300-AE86-D2310201DC9E}"/>
  </hyperlinks>
  <printOptions horizontalCentered="1"/>
  <pageMargins left="0.5" right="0.5" top="0.5" bottom="0.5" header="0.5" footer="0"/>
  <pageSetup scale="75" orientation="portrait" r:id="rId5"/>
  <headerFooter alignWithMargins="0">
    <oddFooter>&amp;RRevised:  05/2019</oddFooter>
  </headerFooter>
  <ignoredErrors>
    <ignoredError sqref="E14:N14" unlockedFormula="1"/>
  </ignoredErrors>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4B125-79B5-4972-94C3-466CA7332B0B}">
  <sheetPr codeName="Sheet24">
    <tabColor theme="4" tint="0.79998168889431442"/>
  </sheetPr>
  <dimension ref="A1:BQ57"/>
  <sheetViews>
    <sheetView showGridLines="0" showZeros="0" topLeftCell="D1" zoomScaleNormal="100" workbookViewId="0">
      <pane ySplit="13" topLeftCell="A26" activePane="bottomLeft" state="frozen"/>
      <selection activeCell="BR40" sqref="BR40"/>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Notes'!$A$19</f>
        <v>44636</v>
      </c>
      <c r="P6" s="265"/>
      <c r="Q6" s="265"/>
      <c r="R6" s="265"/>
      <c r="S6" s="265"/>
      <c r="T6" s="265"/>
      <c r="U6" s="53"/>
      <c r="V6" s="53"/>
      <c r="W6" s="24"/>
      <c r="X6" s="30"/>
      <c r="Z6" s="4" t="str">
        <f>TEXT(O6,"dddd")</f>
        <v>Wednesday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Notes'!$B$19</f>
        <v>44651</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Notes'!$C$19</f>
        <v>6</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SUM(E14:E16)</f>
        <v>0</v>
      </c>
      <c r="F13" s="86">
        <f t="shared" ref="F13:N13" si="0">SUM(F14:F16)</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'Mar 1 - Mar 15'!E30</f>
        <v>0</v>
      </c>
      <c r="F14" s="182">
        <f>'Mar 1 - Mar 15'!F30</f>
        <v>0</v>
      </c>
      <c r="G14" s="184">
        <f>'Mar 1 - Mar 15'!G30</f>
        <v>0</v>
      </c>
      <c r="H14" s="182">
        <f>'Mar 1 - Mar 15'!H30</f>
        <v>0</v>
      </c>
      <c r="I14" s="182">
        <f>'Mar 1 - Mar 15'!I30</f>
        <v>0</v>
      </c>
      <c r="J14" s="185">
        <f>'Mar 1 - Mar 15'!J30</f>
        <v>0</v>
      </c>
      <c r="K14" s="185">
        <f>'Mar 1 - Mar 15'!K30</f>
        <v>0</v>
      </c>
      <c r="L14" s="186">
        <f>'Mar 1 - Mar 15'!L30</f>
        <v>0</v>
      </c>
      <c r="M14" s="182">
        <f>'Mar 1 - Mar 15'!M30</f>
        <v>0</v>
      </c>
      <c r="N14" s="182">
        <f>'Mar 1 - Mar 15'!N30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Factors'!$B$6:$B$371,MATCH('Mar 16 - Mar 31'!$Z$14:$Z$20,'Conversion Factors'!$A$6:$A$371,0))),"",INDEX('Conversion Factors'!$B$6:$B$371,MATCH('Mar 16 - Mar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'Mar 1 - Mar 15'!E31</f>
        <v>0</v>
      </c>
      <c r="F15" s="182">
        <f>'Mar 1 - Mar 15'!F31</f>
        <v>0</v>
      </c>
      <c r="G15" s="184">
        <f>'Mar 1 - Mar 15'!G31</f>
        <v>0</v>
      </c>
      <c r="H15" s="182">
        <f>'Mar 1 - Mar 15'!H31</f>
        <v>0</v>
      </c>
      <c r="I15" s="182">
        <f>'Mar 1 - Mar 15'!I31</f>
        <v>0</v>
      </c>
      <c r="J15" s="185">
        <f>'Mar 1 - Mar 15'!J31</f>
        <v>0</v>
      </c>
      <c r="K15" s="185">
        <f>'Mar 1 - Mar 15'!K31</f>
        <v>0</v>
      </c>
      <c r="L15" s="186">
        <f>'Mar 1 - Mar 15'!L31</f>
        <v>0</v>
      </c>
      <c r="M15" s="182">
        <f>'Mar 1 - Mar 15'!M31</f>
        <v>0</v>
      </c>
      <c r="N15" s="182">
        <f>'Mar 1 - Mar 15'!N31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Factors'!$B$6:$B$371,MATCH('Mar 16 - Mar 31'!$Z$14:$Z$20,'Conversion Factors'!$A$6:$A$371,0))),"",INDEX('Conversion Factors'!$B$6:$B$371,MATCH('Mar 16 - Mar 31'!$Z$14:$Z$20,'Conversion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'Mar 1 - Mar 15'!E32</f>
        <v>0</v>
      </c>
      <c r="F16" s="182">
        <f>'Mar 1 - Mar 15'!F32</f>
        <v>0</v>
      </c>
      <c r="G16" s="184">
        <f>'Mar 1 - Mar 15'!G32</f>
        <v>0</v>
      </c>
      <c r="H16" s="182">
        <f>'Mar 1 - Mar 15'!H32</f>
        <v>0</v>
      </c>
      <c r="I16" s="182">
        <f>'Mar 1 - Mar 15'!I32</f>
        <v>0</v>
      </c>
      <c r="J16" s="185">
        <f>'Mar 1 - Mar 15'!J32</f>
        <v>0</v>
      </c>
      <c r="K16" s="185">
        <f>'Mar 1 - Mar 15'!K32</f>
        <v>0</v>
      </c>
      <c r="L16" s="186">
        <f>'Mar 1 - Mar 15'!L32</f>
        <v>0</v>
      </c>
      <c r="M16" s="182">
        <f>'Mar 1 - Mar 15'!M32</f>
        <v>0</v>
      </c>
      <c r="N16" s="182">
        <f>'Mar 1 - Mar 15'!N32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Factors'!$B$6:$B$371,MATCH('Mar 16 - Mar 31'!$Z$14:$Z$20,'Conversion Factors'!$A$6:$A$371,0))),"",INDEX('Conversion Factors'!$B$6:$B$371,MATCH('Mar 16 - Mar 31'!$Z$14:$Z$20,'Conversion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44636</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Factors'!$B$6:$B$371,MATCH('Mar 16 - Mar 31'!$Z$14:$Z$20,'Conversion Factors'!$A$6:$A$371,0))),"",INDEX('Conversion Factors'!$B$6:$B$371,MATCH('Mar 16 - Mar 31'!$Z$14:$Z$20,'Conversion Factors'!$A$6:$A$371,0)))</f>
        <v>7.2229999999999999</v>
      </c>
      <c r="Z17" s="18">
        <f t="shared" si="1"/>
        <v>44636</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44637</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Factors'!$B$6:$B$371,MATCH('Mar 16 - Mar 31'!$Z$14:$Z$20,'Conversion Factors'!$A$6:$A$371,0))),"",INDEX('Conversion Factors'!$B$6:$B$371,MATCH('Mar 16 - Mar 31'!$Z$14:$Z$20,'Conversion Factors'!$A$6:$A$371,0)))</f>
        <v>7.2229999999999999</v>
      </c>
      <c r="Z18" s="18">
        <f t="shared" si="1"/>
        <v>44637</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44638</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Factors'!$B$6:$B$371,MATCH('Mar 16 - Mar 31'!$Z$14:$Z$20,'Conversion Factors'!$A$6:$A$371,0))),"",INDEX('Conversion Factors'!$B$6:$B$371,MATCH('Mar 16 - Mar 31'!$Z$14:$Z$20,'Conversion Factors'!$A$6:$A$371,0)))</f>
        <v>7.2229999999999999</v>
      </c>
      <c r="Z19" s="18">
        <f t="shared" si="1"/>
        <v>44638</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44639</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Factors'!$B$6:$B$371,MATCH('Mar 16 - Mar 31'!$Z$14:$Z$20,'Conversion Factors'!$A$6:$A$371,0))),"",INDEX('Conversion Factors'!$B$6:$B$371,MATCH('Mar 16 - Mar 31'!$Z$14:$Z$20,'Conversion Factors'!$A$6:$A$371,0)))</f>
        <v>7.2229999999999999</v>
      </c>
      <c r="Z20" s="18">
        <f t="shared" si="1"/>
        <v>44639</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44640</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Factors'!$B$6:$B$371,MATCH('Mar 16 - Mar 31'!$Z$22:$Z$28,'Conversion Factors'!$A$6:$A$371,0))),"",INDEX('Conversion Factors'!$B$6:$B$371,MATCH('Mar 16 - Mar 31'!$Z$22:$Z$28,'Conversion Factors'!$A$6:$A$371,0)))</f>
        <v>7.2229999999999999</v>
      </c>
      <c r="Z22" s="17">
        <f t="shared" ref="Z22:Z28" si="42">A22</f>
        <v>44640</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44641</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Factors'!$B$6:$B$371,MATCH('Mar 16 - Mar 31'!$Z$22:$Z$28,'Conversion Factors'!$A$6:$A$371,0))),"",INDEX('Conversion Factors'!$B$6:$B$371,MATCH('Mar 16 - Mar 31'!$Z$22:$Z$28,'Conversion Factors'!$A$6:$A$371,0)))</f>
        <v>7.2229999999999999</v>
      </c>
      <c r="Z23" s="17">
        <f t="shared" si="42"/>
        <v>44641</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44642</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Factors'!$B$6:$B$371,MATCH('Mar 16 - Mar 31'!$Z$22:$Z$28,'Conversion Factors'!$A$6:$A$371,0))),"",INDEX('Conversion Factors'!$B$6:$B$371,MATCH('Mar 16 - Mar 31'!$Z$22:$Z$28,'Conversion Factors'!$A$6:$A$371,0)))</f>
        <v>7.2229999999999999</v>
      </c>
      <c r="Z24" s="17">
        <f t="shared" si="42"/>
        <v>44642</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44643</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Factors'!$B$6:$B$371,MATCH('Mar 16 - Mar 31'!$Z$22:$Z$28,'Conversion Factors'!$A$6:$A$371,0))),"",INDEX('Conversion Factors'!$B$6:$B$371,MATCH('Mar 16 - Mar 31'!$Z$22:$Z$28,'Conversion Factors'!$A$6:$A$371,0)))</f>
        <v>7.2229999999999999</v>
      </c>
      <c r="Z25" s="17">
        <f t="shared" si="42"/>
        <v>44643</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44644</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Factors'!$B$6:$B$371,MATCH('Mar 16 - Mar 31'!$Z$22:$Z$28,'Conversion Factors'!$A$6:$A$371,0))),"",INDEX('Conversion Factors'!$B$6:$B$371,MATCH('Mar 16 - Mar 31'!$Z$22:$Z$28,'Conversion Factors'!$A$6:$A$371,0)))</f>
        <v>7.2229999999999999</v>
      </c>
      <c r="Z26" s="17">
        <f t="shared" si="42"/>
        <v>44644</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44645</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Factors'!$B$6:$B$371,MATCH('Mar 16 - Mar 31'!$Z$22:$Z$28,'Conversion Factors'!$A$6:$A$371,0))),"",INDEX('Conversion Factors'!$B$6:$B$371,MATCH('Mar 16 - Mar 31'!$Z$22:$Z$28,'Conversion Factors'!$A$6:$A$371,0)))</f>
        <v>7.2229999999999999</v>
      </c>
      <c r="Z27" s="17">
        <f t="shared" si="42"/>
        <v>44645</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44646</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Factors'!$B$6:$B$371,MATCH('Mar 16 - Mar 31'!$Z$22:$Z$28,'Conversion Factors'!$A$6:$A$371,0))),"",INDEX('Conversion Factors'!$B$6:$B$371,MATCH('Mar 16 - Mar 31'!$Z$22:$Z$28,'Conversion Factors'!$A$6:$A$371,0)))</f>
        <v>7.2229999999999999</v>
      </c>
      <c r="Z28" s="17">
        <f t="shared" si="42"/>
        <v>44646</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44647</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Factors'!$B$6:$B$370,MATCH('Mar 16 - Mar 31'!$Z$30:$Z$36,'Conversion Factors'!$A$6:$A$370,0))),"",INDEX('Conversion Factors'!$B$6:$B$370,MATCH('Mar 16 - Mar 31'!$Z$30:$Z$36,'Conversion Factors'!$A$6:$A$370,0)))</f>
        <v>7.2229999999999999</v>
      </c>
      <c r="Z30" s="17">
        <f t="shared" ref="Z30:Z36" si="81">A30</f>
        <v>44647</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44648</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Factors'!$B$6:$B$370,MATCH('Mar 16 - Mar 31'!$Z$30:$Z$36,'Conversion Factors'!$A$6:$A$370,0))),"",INDEX('Conversion Factors'!$B$6:$B$370,MATCH('Mar 16 - Mar 31'!$Z$30:$Z$36,'Conversion Factors'!$A$6:$A$370,0)))</f>
        <v>7.2229999999999999</v>
      </c>
      <c r="Z31" s="17">
        <f t="shared" si="81"/>
        <v>44648</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44649</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Factors'!$B$6:$B$370,MATCH('Mar 16 - Mar 31'!$Z$30:$Z$36,'Conversion Factors'!$A$6:$A$370,0))),"",INDEX('Conversion Factors'!$B$6:$B$370,MATCH('Mar 16 - Mar 31'!$Z$30:$Z$36,'Conversion Factors'!$A$6:$A$370,0)))</f>
        <v>7.2229999999999999</v>
      </c>
      <c r="Z32" s="17">
        <f t="shared" si="81"/>
        <v>44649</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44650</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Factors'!$B$6:$B$370,MATCH('Mar 16 - Mar 31'!$Z$30:$Z$36,'Conversion Factors'!$A$6:$A$370,0))),"",INDEX('Conversion Factors'!$B$6:$B$370,MATCH('Mar 16 - Mar 31'!$Z$30:$Z$36,'Conversion Factors'!$A$6:$A$370,0)))</f>
        <v>7.2229999999999999</v>
      </c>
      <c r="Z33" s="17">
        <f t="shared" si="81"/>
        <v>44650</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44651</v>
      </c>
      <c r="B34" s="226"/>
      <c r="C34" s="227"/>
      <c r="D34" s="32" t="s">
        <v>27</v>
      </c>
      <c r="E34" s="176"/>
      <c r="F34" s="176"/>
      <c r="G34" s="177"/>
      <c r="H34" s="176"/>
      <c r="I34" s="176"/>
      <c r="J34" s="178"/>
      <c r="K34" s="178"/>
      <c r="L34" s="179"/>
      <c r="M34" s="176"/>
      <c r="N34" s="176"/>
      <c r="O34" s="110">
        <f t="shared" si="105"/>
        <v>0</v>
      </c>
      <c r="P34" s="50" t="str">
        <f t="shared" si="106"/>
        <v/>
      </c>
      <c r="Q34" s="52"/>
      <c r="R34" s="50" t="str">
        <f t="shared" si="107"/>
        <v/>
      </c>
      <c r="S34" s="52"/>
      <c r="T34" s="52"/>
      <c r="U34" s="149">
        <f t="shared" si="35"/>
        <v>0</v>
      </c>
      <c r="V34" s="150">
        <f t="shared" si="108"/>
        <v>0</v>
      </c>
      <c r="W34" s="50"/>
      <c r="X34" s="49">
        <f>IF(ISNA(INDEX('Conversion Factors'!$B$6:$B$370,MATCH('Mar 16 - Mar 31'!$Z$30:$Z$36,'Conversion Factors'!$A$6:$A$370,0))),"",INDEX('Conversion Factors'!$B$6:$B$370,MATCH('Mar 16 - Mar 31'!$Z$30:$Z$36,'Conversion Factors'!$A$6:$A$370,0)))</f>
        <v>7.2229999999999999</v>
      </c>
      <c r="Z34" s="17">
        <f t="shared" si="81"/>
        <v>44651</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str">
        <f t="shared" si="104"/>
        <v/>
      </c>
      <c r="B35" s="226"/>
      <c r="C35" s="227"/>
      <c r="D35" s="32" t="s">
        <v>28</v>
      </c>
      <c r="E35" s="52"/>
      <c r="F35" s="52"/>
      <c r="G35" s="77"/>
      <c r="H35" s="52"/>
      <c r="I35" s="52"/>
      <c r="J35" s="108"/>
      <c r="K35" s="108"/>
      <c r="L35" s="109"/>
      <c r="M35" s="52"/>
      <c r="N35" s="52"/>
      <c r="O35" s="110">
        <f t="shared" si="105"/>
        <v>0</v>
      </c>
      <c r="P35" s="50" t="str">
        <f t="shared" si="106"/>
        <v/>
      </c>
      <c r="Q35" s="52"/>
      <c r="R35" s="50" t="str">
        <f t="shared" si="107"/>
        <v/>
      </c>
      <c r="S35" s="52"/>
      <c r="T35" s="52"/>
      <c r="U35" s="149">
        <f t="shared" si="35"/>
        <v>0</v>
      </c>
      <c r="V35" s="150">
        <f t="shared" si="108"/>
        <v>0</v>
      </c>
      <c r="W35" s="50"/>
      <c r="X35" s="49" t="str">
        <f>IF(ISNA(INDEX('Conversion Factors'!$B$6:$B$370,MATCH('Mar 16 - Mar 31'!$Z$30:$Z$36,'Conversion Factors'!$A$6:$A$370,0))),"",INDEX('Conversion Factors'!$B$6:$B$370,MATCH('Mar 16 - Mar 31'!$Z$30:$Z$36,'Conversion Factors'!$A$6:$A$370,0)))</f>
        <v/>
      </c>
      <c r="Z35" s="17" t="str">
        <f t="shared" si="81"/>
        <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Factors'!$B$6:$B$370,MATCH('Mar 16 - Mar 31'!$Z$30:$Z$36,'Conversion Factors'!$A$6:$A$370,0))),"",INDEX('Conversion Factors'!$B$6:$B$370,MATCH('Mar 16 - Mar 31'!$Z$30:$Z$36,'Conversion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Factors'!$B$6:$B$370,MATCH('Mar 16 - Mar 31'!$Z$38:$Z$44,'Conversion Factors'!$A$6:$A$370,0))),"",INDEX('Conversion Factors'!$B$6:$B$370,MATCH('Mar 16 - Mar 31'!$Z$38:$Z$44,'Conversion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Factors'!$B$6:$B$370,MATCH('Mar 16 - Mar 31'!$Z$38:$Z$44,'Conversion Factors'!$A$6:$A$370,0))),"",INDEX('Conversion Factors'!$B$6:$B$370,MATCH('Mar 16 - Mar 31'!$Z$38:$Z$44,'Conversion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Factors'!$B$6:$B$370,MATCH('Mar 16 - Mar 31'!$Z$38:$Z$44,'Conversion Factors'!$A$6:$A$370,0))),"",INDEX('Conversion Factors'!$B$6:$B$370,MATCH('Mar 16 - Mar 31'!$Z$38:$Z$44,'Conversion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Factors'!$B$6:$B$370,MATCH('Mar 16 - Mar 31'!$Z$38:$Z$44,'Conversion Factors'!$A$6:$A$370,0))),"",INDEX('Conversion Factors'!$B$6:$B$370,MATCH('Mar 16 - Mar 31'!$Z$38:$Z$44,'Conversion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Factors'!$B$6:$B$370,MATCH('Mar 16 - Mar 31'!$Z$38:$Z$44,'Conversion Factors'!$A$6:$A$370,0))),"",INDEX('Conversion Factors'!$B$6:$B$370,MATCH('Mar 16 - Mar 31'!$Z$38:$Z$44,'Conversion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Factors'!$B$6:$B$370,MATCH('Mar 16 - Mar 31'!$Z$38:$Z$44,'Conversion Factors'!$A$6:$A$370,0))),"",INDEX('Conversion Factors'!$B$6:$B$370,MATCH('Mar 16 - Mar 31'!$Z$38:$Z$44,'Conversion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Factors'!$B$6:$B$370,MATCH('Mar 16 - Mar 31'!$Z$38:$Z$44,'Conversion Factors'!$A$6:$A$370,0))),"",INDEX('Conversion Factors'!$B$6:$B$370,MATCH('Mar 16 - Mar 31'!$Z$38:$Z$44,'Conversion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137" priority="17" operator="equal">
      <formula>FALSE</formula>
    </cfRule>
  </conditionalFormatting>
  <conditionalFormatting sqref="A22:C22">
    <cfRule type="cellIs" dxfId="136" priority="16" operator="equal">
      <formula>FALSE</formula>
    </cfRule>
  </conditionalFormatting>
  <conditionalFormatting sqref="D22:D28">
    <cfRule type="cellIs" dxfId="135" priority="15" operator="equal">
      <formula>FALSE</formula>
    </cfRule>
  </conditionalFormatting>
  <conditionalFormatting sqref="Z22:Z28">
    <cfRule type="cellIs" dxfId="134" priority="14" operator="equal">
      <formula>FALSE</formula>
    </cfRule>
  </conditionalFormatting>
  <conditionalFormatting sqref="Z30:Z36">
    <cfRule type="cellIs" dxfId="133" priority="13" operator="equal">
      <formula>FALSE</formula>
    </cfRule>
  </conditionalFormatting>
  <conditionalFormatting sqref="X21 X29 X37">
    <cfRule type="containsErrors" dxfId="132" priority="12">
      <formula>ISERROR(X21)</formula>
    </cfRule>
  </conditionalFormatting>
  <conditionalFormatting sqref="Z39:Z44">
    <cfRule type="cellIs" dxfId="131" priority="10" operator="equal">
      <formula>FALSE</formula>
    </cfRule>
  </conditionalFormatting>
  <conditionalFormatting sqref="Z38">
    <cfRule type="cellIs" dxfId="130" priority="11" operator="equal">
      <formula>FALSE</formula>
    </cfRule>
  </conditionalFormatting>
  <conditionalFormatting sqref="W11:X11">
    <cfRule type="cellIs" dxfId="129" priority="9" operator="equal">
      <formula>"Please Select"</formula>
    </cfRule>
  </conditionalFormatting>
  <conditionalFormatting sqref="E11:F11">
    <cfRule type="containsBlanks" dxfId="128" priority="8">
      <formula>LEN(TRIM(E11))=0</formula>
    </cfRule>
  </conditionalFormatting>
  <conditionalFormatting sqref="U14:U46">
    <cfRule type="cellIs" dxfId="127" priority="7" operator="equal">
      <formula>FALSE</formula>
    </cfRule>
  </conditionalFormatting>
  <conditionalFormatting sqref="P26">
    <cfRule type="cellIs" dxfId="126" priority="6" operator="lessThan">
      <formula>$BQ$21</formula>
    </cfRule>
  </conditionalFormatting>
  <conditionalFormatting sqref="X14:X20">
    <cfRule type="containsErrors" dxfId="125" priority="5">
      <formula>ISERROR(X14)</formula>
    </cfRule>
  </conditionalFormatting>
  <conditionalFormatting sqref="X30:X36">
    <cfRule type="containsErrors" dxfId="124" priority="4">
      <formula>ISERROR(X30)</formula>
    </cfRule>
  </conditionalFormatting>
  <conditionalFormatting sqref="X38:X44">
    <cfRule type="containsErrors" dxfId="123" priority="3">
      <formula>ISERROR(X38)</formula>
    </cfRule>
  </conditionalFormatting>
  <conditionalFormatting sqref="X22">
    <cfRule type="containsErrors" dxfId="122" priority="2">
      <formula>ISERROR(X22)</formula>
    </cfRule>
  </conditionalFormatting>
  <conditionalFormatting sqref="X23:X28">
    <cfRule type="containsErrors" dxfId="121" priority="1">
      <formula>ISERROR(X23)</formula>
    </cfRule>
  </conditionalFormatting>
  <dataValidations disablePrompts="1" count="5">
    <dataValidation allowBlank="1" showInputMessage="1" showErrorMessage="1" prompt="Enter your Department Name into this field and it will populate to all the other time reports in this workbook." sqref="C8:H8" xr:uid="{C9C80AAE-BF85-424B-825F-F1C673A8E653}"/>
    <dataValidation allowBlank="1" showInputMessage="1" showErrorMessage="1" prompt="Enter your Name into this field and it will populate to all the other time reports in this workbook." sqref="C7:H7" xr:uid="{E317D0A4-37BC-411B-9A50-12EFB8373408}"/>
    <dataValidation allowBlank="1" showInputMessage="1" showErrorMessage="1" prompt="Enter your MSU ID into this field and it will populate to all the other time re[prts in this workbook." sqref="C6:H6" xr:uid="{B5408DBD-7DE2-4A71-A448-E14A1E4AC6C6}"/>
    <dataValidation allowBlank="1" showInputMessage="1" showErrorMessage="1" promptTitle="Hours Per Week" prompt="Please enter the number of hours you are scheduled to work each week.  (Example:  40)_x000a_" sqref="E11:F11" xr:uid="{DCE59BC8-3CC3-455C-869A-75FE7142C626}"/>
    <dataValidation type="list" allowBlank="1" showInputMessage="1" showErrorMessage="1" promptTitle="Compensatory Time" prompt="Please select &quot;No&quot; if you are not receiving Compensatory time or &quot;Yes&quot; if you are receiving compensatory time." sqref="W11:X11" xr:uid="{2CAD75FE-1735-4778-BCDF-4347666C5D84}">
      <formula1>$AD$6:$AD$8</formula1>
    </dataValidation>
  </dataValidations>
  <hyperlinks>
    <hyperlink ref="O49" r:id="rId1" xr:uid="{10F065C7-BD00-4C50-96EF-E653C1B413A1}"/>
    <hyperlink ref="O48:W48" r:id="rId2" display="Leave/Leave Without Pay Policy" xr:uid="{28E9970D-0570-4E40-8EB5-0AAEEC7D9653}"/>
    <hyperlink ref="O50:W50" r:id="rId3" display="Time Sheet Definitions/Policies" xr:uid="{B5EB069B-FF2A-48F8-9516-E8AA821C544B}"/>
    <hyperlink ref="O49:T49" r:id="rId4" display="Overtime/Compensatory Time" xr:uid="{73C4B92C-84A6-4A3D-BC10-2B1E31094971}"/>
  </hyperlinks>
  <printOptions horizontalCentered="1"/>
  <pageMargins left="0.5" right="0.5" top="0.5" bottom="0.5" header="0.5" footer="0"/>
  <pageSetup scale="75" orientation="portrait" r:id="rId5"/>
  <headerFooter alignWithMargins="0">
    <oddFooter>&amp;RRevised:  05/2019</oddFooter>
  </headerFooter>
  <ignoredErrors>
    <ignoredError sqref="E15:N15" unlockedFormula="1"/>
  </ignoredErrors>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03CC1-6F7E-44B4-A507-3BCF479F106B}">
  <sheetPr codeName="Sheet26">
    <tabColor theme="4" tint="0.79998168889431442"/>
  </sheetPr>
  <dimension ref="A1:BQ57"/>
  <sheetViews>
    <sheetView showGridLines="0" showZeros="0" zoomScaleNormal="100" workbookViewId="0">
      <pane ySplit="13" topLeftCell="A26"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Notes'!$A$20</f>
        <v>44652</v>
      </c>
      <c r="P6" s="265"/>
      <c r="Q6" s="265"/>
      <c r="R6" s="265"/>
      <c r="S6" s="265"/>
      <c r="T6" s="265"/>
      <c r="U6" s="53"/>
      <c r="V6" s="53"/>
      <c r="W6" s="24"/>
      <c r="X6" s="30"/>
      <c r="Z6" s="4" t="str">
        <f>TEXT(O6,"dddd")</f>
        <v>Friday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Notes'!$B$20</f>
        <v>44666</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Notes'!$C$20</f>
        <v>7</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SUM(E14:E18)</f>
        <v>0</v>
      </c>
      <c r="F13" s="86">
        <f t="shared" ref="F13:N13" si="0">SUM(F14:F18)</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'Mar 16 - Mar 31'!E30</f>
        <v>0</v>
      </c>
      <c r="F14" s="182">
        <f>'Mar 16 - Mar 31'!F30</f>
        <v>0</v>
      </c>
      <c r="G14" s="184">
        <f>'Mar 16 - Mar 31'!G30</f>
        <v>0</v>
      </c>
      <c r="H14" s="182">
        <f>'Mar 16 - Mar 31'!H30</f>
        <v>0</v>
      </c>
      <c r="I14" s="182">
        <f>'Mar 16 - Mar 31'!I30</f>
        <v>0</v>
      </c>
      <c r="J14" s="185">
        <f>'Mar 16 - Mar 31'!J30</f>
        <v>0</v>
      </c>
      <c r="K14" s="185">
        <f>'Mar 16 - Mar 31'!K30</f>
        <v>0</v>
      </c>
      <c r="L14" s="186">
        <f>'Mar 16 - Mar 31'!L30</f>
        <v>0</v>
      </c>
      <c r="M14" s="182">
        <f>'Mar 16 - Mar 31'!M30</f>
        <v>0</v>
      </c>
      <c r="N14" s="182">
        <f>'Mar 16 - Mar 31'!N30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Factors'!$B$6:$B$371,MATCH('Apr 1 - Apr 15'!$Z$14:$Z$20,'Conversion Factors'!$A$6:$A$371,0))),"",INDEX('Conversion Factors'!$B$6:$B$371,MATCH('Apr 1 - Apr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'Mar 16 - Mar 31'!E31</f>
        <v>0</v>
      </c>
      <c r="F15" s="182">
        <f>'Mar 16 - Mar 31'!F31</f>
        <v>0</v>
      </c>
      <c r="G15" s="184">
        <f>'Mar 16 - Mar 31'!G31</f>
        <v>0</v>
      </c>
      <c r="H15" s="182">
        <f>'Mar 16 - Mar 31'!H31</f>
        <v>0</v>
      </c>
      <c r="I15" s="182">
        <f>'Mar 16 - Mar 31'!I31</f>
        <v>0</v>
      </c>
      <c r="J15" s="185">
        <f>'Mar 16 - Mar 31'!J31</f>
        <v>0</v>
      </c>
      <c r="K15" s="185">
        <f>'Mar 16 - Mar 31'!K31</f>
        <v>0</v>
      </c>
      <c r="L15" s="186">
        <f>'Mar 16 - Mar 31'!L31</f>
        <v>0</v>
      </c>
      <c r="M15" s="182">
        <f>'Mar 16 - Mar 31'!M31</f>
        <v>0</v>
      </c>
      <c r="N15" s="182">
        <f>'Mar 16 - Mar 31'!N31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Factors'!$B$6:$B$371,MATCH('Apr 1 - Apr 15'!$Z$14:$Z$20,'Conversion Factors'!$A$6:$A$371,0))),"",INDEX('Conversion Factors'!$B$6:$B$371,MATCH('Apr 1 - Apr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'Mar 16 - Mar 31'!E32</f>
        <v>0</v>
      </c>
      <c r="F16" s="182">
        <f>'Mar 16 - Mar 31'!F32</f>
        <v>0</v>
      </c>
      <c r="G16" s="184">
        <f>'Mar 16 - Mar 31'!G32</f>
        <v>0</v>
      </c>
      <c r="H16" s="182">
        <f>'Mar 16 - Mar 31'!H32</f>
        <v>0</v>
      </c>
      <c r="I16" s="182">
        <f>'Mar 16 - Mar 31'!I32</f>
        <v>0</v>
      </c>
      <c r="J16" s="185">
        <f>'Mar 16 - Mar 31'!J32</f>
        <v>0</v>
      </c>
      <c r="K16" s="185">
        <f>'Mar 16 - Mar 31'!K32</f>
        <v>0</v>
      </c>
      <c r="L16" s="186">
        <f>'Mar 16 - Mar 31'!L32</f>
        <v>0</v>
      </c>
      <c r="M16" s="182">
        <f>'Mar 16 - Mar 31'!M32</f>
        <v>0</v>
      </c>
      <c r="N16" s="182">
        <f>'Mar 16 - Mar 31'!N32</f>
        <v>0</v>
      </c>
      <c r="O16" s="183">
        <f t="shared" ref="O16:O19" si="34">SUM(E16:N16)-J16</f>
        <v>0</v>
      </c>
      <c r="P16" s="187" t="str">
        <f t="shared" si="23"/>
        <v/>
      </c>
      <c r="Q16" s="182"/>
      <c r="R16" s="50" t="str">
        <f t="shared" si="24"/>
        <v/>
      </c>
      <c r="S16" s="52"/>
      <c r="T16" s="52"/>
      <c r="U16" s="149">
        <f t="shared" ref="U16:U44" si="35">IF(BJ16&gt;0,BJ16,BN16)</f>
        <v>0</v>
      </c>
      <c r="V16" s="150">
        <f t="shared" si="25"/>
        <v>0</v>
      </c>
      <c r="W16" s="50"/>
      <c r="X16" s="49" t="str">
        <f>IF(ISNA(INDEX('Conversion Factors'!$B$6:$B$371,MATCH('Apr 1 - Apr 15'!$Z$14:$Z$20,'Conversion Factors'!$A$6:$A$371,0))),"",INDEX('Conversion Factors'!$B$6:$B$371,MATCH('Apr 1 - Apr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'Mar 16 - Mar 31'!E33</f>
        <v>0</v>
      </c>
      <c r="F17" s="182">
        <f>'Mar 16 - Mar 31'!F33</f>
        <v>0</v>
      </c>
      <c r="G17" s="184">
        <f>'Mar 16 - Mar 31'!G33</f>
        <v>0</v>
      </c>
      <c r="H17" s="182">
        <f>'Mar 16 - Mar 31'!H33</f>
        <v>0</v>
      </c>
      <c r="I17" s="182">
        <f>'Mar 16 - Mar 31'!I33</f>
        <v>0</v>
      </c>
      <c r="J17" s="185">
        <f>'Mar 16 - Mar 31'!J33</f>
        <v>0</v>
      </c>
      <c r="K17" s="185">
        <f>'Mar 16 - Mar 31'!K33</f>
        <v>0</v>
      </c>
      <c r="L17" s="186">
        <f>'Mar 16 - Mar 31'!L33</f>
        <v>0</v>
      </c>
      <c r="M17" s="182">
        <f>'Mar 16 - Mar 31'!M33</f>
        <v>0</v>
      </c>
      <c r="N17" s="182">
        <f>'Mar 16 - Mar 31'!N33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Factors'!$B$6:$B$371,MATCH('Apr 1 - Apr 15'!$Z$14:$Z$20,'Conversion Factors'!$A$6:$A$371,0))),"",INDEX('Conversion Factors'!$B$6:$B$371,MATCH('Apr 1 - Apr 15'!$Z$14:$Z$20,'Conversion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'Mar 16 - Mar 31'!E34</f>
        <v>0</v>
      </c>
      <c r="F18" s="182">
        <f>'Mar 16 - Mar 31'!F34</f>
        <v>0</v>
      </c>
      <c r="G18" s="184">
        <f>'Mar 16 - Mar 31'!G34</f>
        <v>0</v>
      </c>
      <c r="H18" s="182">
        <f>'Mar 16 - Mar 31'!H34</f>
        <v>0</v>
      </c>
      <c r="I18" s="182">
        <f>'Mar 16 - Mar 31'!I34</f>
        <v>0</v>
      </c>
      <c r="J18" s="185">
        <f>'Mar 16 - Mar 31'!J34</f>
        <v>0</v>
      </c>
      <c r="K18" s="185">
        <f>'Mar 16 - Mar 31'!K34</f>
        <v>0</v>
      </c>
      <c r="L18" s="186">
        <f>'Mar 16 - Mar 31'!L34</f>
        <v>0</v>
      </c>
      <c r="M18" s="182">
        <f>'Mar 16 - Mar 31'!M34</f>
        <v>0</v>
      </c>
      <c r="N18" s="182">
        <f>'Mar 16 - Mar 31'!N34</f>
        <v>0</v>
      </c>
      <c r="O18" s="183">
        <f t="shared" si="34"/>
        <v>0</v>
      </c>
      <c r="P18" s="50" t="str">
        <f t="shared" si="23"/>
        <v/>
      </c>
      <c r="Q18" s="51"/>
      <c r="R18" s="50" t="str">
        <f t="shared" si="24"/>
        <v/>
      </c>
      <c r="S18" s="52"/>
      <c r="T18" s="52"/>
      <c r="U18" s="149">
        <f t="shared" si="35"/>
        <v>0</v>
      </c>
      <c r="V18" s="150">
        <f t="shared" si="25"/>
        <v>0</v>
      </c>
      <c r="W18" s="50"/>
      <c r="X18" s="49" t="str">
        <f>IF(ISNA(INDEX('Conversion Factors'!$B$6:$B$371,MATCH('Apr 1 - Apr 15'!$Z$14:$Z$20,'Conversion Factors'!$A$6:$A$371,0))),"",INDEX('Conversion Factors'!$B$6:$B$371,MATCH('Apr 1 - Apr 15'!$Z$14:$Z$20,'Conversion Factors'!$A$6:$A$371,0)))</f>
        <v/>
      </c>
      <c r="Z18" s="18" t="b">
        <f t="shared" si="1"/>
        <v>0</v>
      </c>
      <c r="AA18" s="57">
        <f t="shared" si="2"/>
        <v>0</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44652</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Factors'!$B$6:$B$371,MATCH('Apr 1 - Apr 15'!$Z$14:$Z$20,'Conversion Factors'!$A$6:$A$371,0))),"",INDEX('Conversion Factors'!$B$6:$B$371,MATCH('Apr 1 - Apr 15'!$Z$14:$Z$20,'Conversion Factors'!$A$6:$A$371,0)))</f>
        <v>7.8789999999999996</v>
      </c>
      <c r="Z19" s="18">
        <f t="shared" si="1"/>
        <v>44652</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44653</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Factors'!$B$6:$B$371,MATCH('Apr 1 - Apr 15'!$Z$14:$Z$20,'Conversion Factors'!$A$6:$A$371,0))),"",INDEX('Conversion Factors'!$B$6:$B$371,MATCH('Apr 1 - Apr 15'!$Z$14:$Z$20,'Conversion Factors'!$A$6:$A$371,0)))</f>
        <v>7.8789999999999996</v>
      </c>
      <c r="Z20" s="18">
        <f t="shared" si="1"/>
        <v>44653</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44654</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Factors'!$B$6:$B$371,MATCH('Apr 1 - Apr 15'!$Z$22:$Z$28,'Conversion Factors'!$A$6:$A$371,0))),"",INDEX('Conversion Factors'!$B$6:$B$371,MATCH('Apr 1 - Apr 15'!$Z$22:$Z$28,'Conversion Factors'!$A$6:$A$371,0)))</f>
        <v>7.8789999999999996</v>
      </c>
      <c r="Z22" s="17">
        <f t="shared" ref="Z22:Z28" si="42">A22</f>
        <v>44654</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44655</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Factors'!$B$6:$B$371,MATCH('Apr 1 - Apr 15'!$Z$22:$Z$28,'Conversion Factors'!$A$6:$A$371,0))),"",INDEX('Conversion Factors'!$B$6:$B$371,MATCH('Apr 1 - Apr 15'!$Z$22:$Z$28,'Conversion Factors'!$A$6:$A$371,0)))</f>
        <v>7.8789999999999996</v>
      </c>
      <c r="Z23" s="17">
        <f t="shared" si="42"/>
        <v>44655</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44656</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Factors'!$B$6:$B$371,MATCH('Apr 1 - Apr 15'!$Z$22:$Z$28,'Conversion Factors'!$A$6:$A$371,0))),"",INDEX('Conversion Factors'!$B$6:$B$371,MATCH('Apr 1 - Apr 15'!$Z$22:$Z$28,'Conversion Factors'!$A$6:$A$371,0)))</f>
        <v>7.8789999999999996</v>
      </c>
      <c r="Z24" s="17">
        <f t="shared" si="42"/>
        <v>44656</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44657</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Factors'!$B$6:$B$371,MATCH('Apr 1 - Apr 15'!$Z$22:$Z$28,'Conversion Factors'!$A$6:$A$371,0))),"",INDEX('Conversion Factors'!$B$6:$B$371,MATCH('Apr 1 - Apr 15'!$Z$22:$Z$28,'Conversion Factors'!$A$6:$A$371,0)))</f>
        <v>7.8789999999999996</v>
      </c>
      <c r="Z25" s="17">
        <f t="shared" si="42"/>
        <v>44657</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44658</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Factors'!$B$6:$B$371,MATCH('Apr 1 - Apr 15'!$Z$22:$Z$28,'Conversion Factors'!$A$6:$A$371,0))),"",INDEX('Conversion Factors'!$B$6:$B$371,MATCH('Apr 1 - Apr 15'!$Z$22:$Z$28,'Conversion Factors'!$A$6:$A$371,0)))</f>
        <v>7.8789999999999996</v>
      </c>
      <c r="Z26" s="17">
        <f t="shared" si="42"/>
        <v>44658</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44659</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Factors'!$B$6:$B$371,MATCH('Apr 1 - Apr 15'!$Z$22:$Z$28,'Conversion Factors'!$A$6:$A$371,0))),"",INDEX('Conversion Factors'!$B$6:$B$371,MATCH('Apr 1 - Apr 15'!$Z$22:$Z$28,'Conversion Factors'!$A$6:$A$371,0)))</f>
        <v>7.8789999999999996</v>
      </c>
      <c r="Z27" s="17">
        <f t="shared" si="42"/>
        <v>44659</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44660</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Factors'!$B$6:$B$371,MATCH('Apr 1 - Apr 15'!$Z$22:$Z$28,'Conversion Factors'!$A$6:$A$371,0))),"",INDEX('Conversion Factors'!$B$6:$B$371,MATCH('Apr 1 - Apr 15'!$Z$22:$Z$28,'Conversion Factors'!$A$6:$A$371,0)))</f>
        <v>7.8789999999999996</v>
      </c>
      <c r="Z28" s="17">
        <f t="shared" si="42"/>
        <v>44660</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44661</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Factors'!$B$6:$B$370,MATCH('Apr 1 - Apr 15'!$Z$30:$Z$36,'Conversion Factors'!$A$6:$A$370,0))),"",INDEX('Conversion Factors'!$B$6:$B$370,MATCH('Apr 1 - Apr 15'!$Z$30:$Z$36,'Conversion Factors'!$A$6:$A$370,0)))</f>
        <v>7.8789999999999996</v>
      </c>
      <c r="Z30" s="17">
        <f t="shared" ref="Z30:Z36" si="81">A30</f>
        <v>44661</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44662</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Factors'!$B$6:$B$370,MATCH('Apr 1 - Apr 15'!$Z$30:$Z$36,'Conversion Factors'!$A$6:$A$370,0))),"",INDEX('Conversion Factors'!$B$6:$B$370,MATCH('Apr 1 - Apr 15'!$Z$30:$Z$36,'Conversion Factors'!$A$6:$A$370,0)))</f>
        <v>7.8789999999999996</v>
      </c>
      <c r="Z31" s="17">
        <f t="shared" si="81"/>
        <v>44662</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44663</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Factors'!$B$6:$B$370,MATCH('Apr 1 - Apr 15'!$Z$30:$Z$36,'Conversion Factors'!$A$6:$A$370,0))),"",INDEX('Conversion Factors'!$B$6:$B$370,MATCH('Apr 1 - Apr 15'!$Z$30:$Z$36,'Conversion Factors'!$A$6:$A$370,0)))</f>
        <v>7.8789999999999996</v>
      </c>
      <c r="Z32" s="17">
        <f t="shared" si="81"/>
        <v>44663</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44664</v>
      </c>
      <c r="B33" s="226"/>
      <c r="C33" s="227"/>
      <c r="D33" s="32" t="s">
        <v>26</v>
      </c>
      <c r="E33" s="176"/>
      <c r="F33" s="176"/>
      <c r="G33" s="177"/>
      <c r="H33" s="176"/>
      <c r="I33" s="176"/>
      <c r="J33" s="178"/>
      <c r="K33" s="178"/>
      <c r="L33" s="179"/>
      <c r="M33" s="176"/>
      <c r="N33" s="176"/>
      <c r="O33" s="110">
        <f t="shared" si="105"/>
        <v>0</v>
      </c>
      <c r="P33" s="50" t="str">
        <f t="shared" si="106"/>
        <v/>
      </c>
      <c r="Q33" s="51"/>
      <c r="R33" s="50" t="str">
        <f t="shared" si="107"/>
        <v/>
      </c>
      <c r="S33" s="52"/>
      <c r="T33" s="52"/>
      <c r="U33" s="149">
        <f t="shared" si="35"/>
        <v>0</v>
      </c>
      <c r="V33" s="150">
        <f t="shared" si="108"/>
        <v>0</v>
      </c>
      <c r="W33" s="50"/>
      <c r="X33" s="49">
        <f>IF(ISNA(INDEX('Conversion Factors'!$B$6:$B$370,MATCH('Apr 1 - Apr 15'!$Z$30:$Z$36,'Conversion Factors'!$A$6:$A$370,0))),"",INDEX('Conversion Factors'!$B$6:$B$370,MATCH('Apr 1 - Apr 15'!$Z$30:$Z$36,'Conversion Factors'!$A$6:$A$370,0)))</f>
        <v>7.8789999999999996</v>
      </c>
      <c r="Z33" s="17">
        <f t="shared" si="81"/>
        <v>44664</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44665</v>
      </c>
      <c r="B34" s="226"/>
      <c r="C34" s="227"/>
      <c r="D34" s="32" t="s">
        <v>27</v>
      </c>
      <c r="E34" s="176"/>
      <c r="F34" s="176"/>
      <c r="G34" s="177"/>
      <c r="H34" s="176"/>
      <c r="I34" s="176"/>
      <c r="J34" s="178"/>
      <c r="K34" s="178"/>
      <c r="L34" s="179"/>
      <c r="M34" s="176"/>
      <c r="N34" s="176"/>
      <c r="O34" s="110">
        <f t="shared" si="105"/>
        <v>0</v>
      </c>
      <c r="P34" s="50" t="str">
        <f t="shared" si="106"/>
        <v/>
      </c>
      <c r="Q34" s="52"/>
      <c r="R34" s="50" t="str">
        <f t="shared" si="107"/>
        <v/>
      </c>
      <c r="S34" s="52"/>
      <c r="T34" s="52"/>
      <c r="U34" s="149">
        <f t="shared" si="35"/>
        <v>0</v>
      </c>
      <c r="V34" s="150">
        <f t="shared" si="108"/>
        <v>0</v>
      </c>
      <c r="W34" s="50"/>
      <c r="X34" s="49">
        <f>IF(ISNA(INDEX('Conversion Factors'!$B$6:$B$370,MATCH('Apr 1 - Apr 15'!$Z$30:$Z$36,'Conversion Factors'!$A$6:$A$370,0))),"",INDEX('Conversion Factors'!$B$6:$B$370,MATCH('Apr 1 - Apr 15'!$Z$30:$Z$36,'Conversion Factors'!$A$6:$A$370,0)))</f>
        <v>7.8789999999999996</v>
      </c>
      <c r="Z34" s="17">
        <f t="shared" si="81"/>
        <v>44665</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f t="shared" si="104"/>
        <v>44666</v>
      </c>
      <c r="B35" s="226"/>
      <c r="C35" s="227"/>
      <c r="D35" s="32" t="s">
        <v>28</v>
      </c>
      <c r="E35" s="176"/>
      <c r="F35" s="176"/>
      <c r="G35" s="177"/>
      <c r="H35" s="176"/>
      <c r="I35" s="176"/>
      <c r="J35" s="178"/>
      <c r="K35" s="178"/>
      <c r="L35" s="179"/>
      <c r="M35" s="176"/>
      <c r="N35" s="176"/>
      <c r="O35" s="110">
        <f t="shared" si="105"/>
        <v>0</v>
      </c>
      <c r="P35" s="50" t="str">
        <f t="shared" si="106"/>
        <v/>
      </c>
      <c r="Q35" s="52"/>
      <c r="R35" s="50" t="str">
        <f t="shared" si="107"/>
        <v/>
      </c>
      <c r="S35" s="52"/>
      <c r="T35" s="52"/>
      <c r="U35" s="149">
        <f t="shared" si="35"/>
        <v>0</v>
      </c>
      <c r="V35" s="150">
        <f t="shared" si="108"/>
        <v>0</v>
      </c>
      <c r="W35" s="50"/>
      <c r="X35" s="49">
        <f>IF(ISNA(INDEX('Conversion Factors'!$B$6:$B$370,MATCH('Apr 1 - Apr 15'!$Z$30:$Z$36,'Conversion Factors'!$A$6:$A$370,0))),"",INDEX('Conversion Factors'!$B$6:$B$370,MATCH('Apr 1 - Apr 15'!$Z$30:$Z$36,'Conversion Factors'!$A$6:$A$370,0)))</f>
        <v>7.8789999999999996</v>
      </c>
      <c r="Z35" s="17">
        <f t="shared" si="81"/>
        <v>44666</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str">
        <f t="shared" si="104"/>
        <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Factors'!$B$6:$B$370,MATCH('Apr 1 - Apr 15'!$Z$30:$Z$36,'Conversion Factors'!$A$6:$A$370,0))),"",INDEX('Conversion Factors'!$B$6:$B$370,MATCH('Apr 1 - Apr 15'!$Z$30:$Z$36,'Conversion Factors'!$A$6:$A$370,0)))</f>
        <v/>
      </c>
      <c r="Z36" s="17" t="str">
        <f t="shared" si="81"/>
        <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Factors'!$B$6:$B$370,MATCH('Apr 1 - Apr 15'!$Z$38:$Z$44,'Conversion Factors'!$A$6:$A$370,0))),"",INDEX('Conversion Factors'!$B$6:$B$370,MATCH('Apr 1 - Apr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Factors'!$B$6:$B$370,MATCH('Apr 1 - Apr 15'!$Z$38:$Z$44,'Conversion Factors'!$A$6:$A$370,0))),"",INDEX('Conversion Factors'!$B$6:$B$370,MATCH('Apr 1 - Apr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Factors'!$B$6:$B$370,MATCH('Apr 1 - Apr 15'!$Z$38:$Z$44,'Conversion Factors'!$A$6:$A$370,0))),"",INDEX('Conversion Factors'!$B$6:$B$370,MATCH('Apr 1 - Apr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Factors'!$B$6:$B$370,MATCH('Apr 1 - Apr 15'!$Z$38:$Z$44,'Conversion Factors'!$A$6:$A$370,0))),"",INDEX('Conversion Factors'!$B$6:$B$370,MATCH('Apr 1 - Apr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Factors'!$B$6:$B$370,MATCH('Apr 1 - Apr 15'!$Z$38:$Z$44,'Conversion Factors'!$A$6:$A$370,0))),"",INDEX('Conversion Factors'!$B$6:$B$370,MATCH('Apr 1 - Apr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Factors'!$B$6:$B$370,MATCH('Apr 1 - Apr 15'!$Z$38:$Z$44,'Conversion Factors'!$A$6:$A$370,0))),"",INDEX('Conversion Factors'!$B$6:$B$370,MATCH('Apr 1 - Apr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Factors'!$B$6:$B$370,MATCH('Apr 1 - Apr 15'!$Z$38:$Z$44,'Conversion Factors'!$A$6:$A$370,0))),"",INDEX('Conversion Factors'!$B$6:$B$370,MATCH('Apr 1 - Apr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34 A14:D21 A36:D44 D35">
    <cfRule type="cellIs" dxfId="120" priority="18" operator="equal">
      <formula>FALSE</formula>
    </cfRule>
  </conditionalFormatting>
  <conditionalFormatting sqref="A22:C22">
    <cfRule type="cellIs" dxfId="119" priority="17" operator="equal">
      <formula>FALSE</formula>
    </cfRule>
  </conditionalFormatting>
  <conditionalFormatting sqref="D22:D28">
    <cfRule type="cellIs" dxfId="118" priority="16" operator="equal">
      <formula>FALSE</formula>
    </cfRule>
  </conditionalFormatting>
  <conditionalFormatting sqref="Z22:Z28">
    <cfRule type="cellIs" dxfId="117" priority="15" operator="equal">
      <formula>FALSE</formula>
    </cfRule>
  </conditionalFormatting>
  <conditionalFormatting sqref="Z30:Z36">
    <cfRule type="cellIs" dxfId="116" priority="14" operator="equal">
      <formula>FALSE</formula>
    </cfRule>
  </conditionalFormatting>
  <conditionalFormatting sqref="X21 X29 X37">
    <cfRule type="containsErrors" dxfId="115" priority="13">
      <formula>ISERROR(X21)</formula>
    </cfRule>
  </conditionalFormatting>
  <conditionalFormatting sqref="Z39:Z44">
    <cfRule type="cellIs" dxfId="114" priority="11" operator="equal">
      <formula>FALSE</formula>
    </cfRule>
  </conditionalFormatting>
  <conditionalFormatting sqref="Z38">
    <cfRule type="cellIs" dxfId="113" priority="12" operator="equal">
      <formula>FALSE</formula>
    </cfRule>
  </conditionalFormatting>
  <conditionalFormatting sqref="W11:X11">
    <cfRule type="cellIs" dxfId="112" priority="10" operator="equal">
      <formula>"Please Select"</formula>
    </cfRule>
  </conditionalFormatting>
  <conditionalFormatting sqref="E11:F11">
    <cfRule type="containsBlanks" dxfId="111" priority="9">
      <formula>LEN(TRIM(E11))=0</formula>
    </cfRule>
  </conditionalFormatting>
  <conditionalFormatting sqref="U14:U46">
    <cfRule type="cellIs" dxfId="110" priority="8" operator="equal">
      <formula>FALSE</formula>
    </cfRule>
  </conditionalFormatting>
  <conditionalFormatting sqref="P26">
    <cfRule type="cellIs" dxfId="109" priority="7" operator="lessThan">
      <formula>$BQ$21</formula>
    </cfRule>
  </conditionalFormatting>
  <conditionalFormatting sqref="X14:X20">
    <cfRule type="containsErrors" dxfId="108" priority="6">
      <formula>ISERROR(X14)</formula>
    </cfRule>
  </conditionalFormatting>
  <conditionalFormatting sqref="X30:X36">
    <cfRule type="containsErrors" dxfId="107" priority="5">
      <formula>ISERROR(X30)</formula>
    </cfRule>
  </conditionalFormatting>
  <conditionalFormatting sqref="X38:X44">
    <cfRule type="containsErrors" dxfId="106" priority="4">
      <formula>ISERROR(X38)</formula>
    </cfRule>
  </conditionalFormatting>
  <conditionalFormatting sqref="X22">
    <cfRule type="containsErrors" dxfId="105" priority="3">
      <formula>ISERROR(X22)</formula>
    </cfRule>
  </conditionalFormatting>
  <conditionalFormatting sqref="X23:X28">
    <cfRule type="containsErrors" dxfId="104" priority="2">
      <formula>ISERROR(X23)</formula>
    </cfRule>
  </conditionalFormatting>
  <conditionalFormatting sqref="A35:C35">
    <cfRule type="cellIs" dxfId="103" priority="1" operator="equal">
      <formula>FALSE</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8950DFA5-F8F9-40AC-96F9-8FF09E6EC7A0}">
      <formula1>$AD$6:$AD$8</formula1>
    </dataValidation>
    <dataValidation allowBlank="1" showInputMessage="1" showErrorMessage="1" promptTitle="Hours Per Week" prompt="Please enter the number of hours you are scheduled to work each week.  (Example:  40)_x000a_" sqref="E11:F11" xr:uid="{3768DAE5-425B-4EFA-BBF8-E4683A8D96D1}"/>
    <dataValidation allowBlank="1" showInputMessage="1" showErrorMessage="1" prompt="Enter your MSU ID into this field and it will populate to all the other time re[prts in this workbook." sqref="C6:H6" xr:uid="{84C01756-B0CD-4AAB-AEBD-C379241D11A9}"/>
    <dataValidation allowBlank="1" showInputMessage="1" showErrorMessage="1" prompt="Enter your Name into this field and it will populate to all the other time reports in this workbook." sqref="C7:H7" xr:uid="{940D81E1-1ACB-44AE-829B-44F257D726E1}"/>
    <dataValidation allowBlank="1" showInputMessage="1" showErrorMessage="1" prompt="Enter your Department Name into this field and it will populate to all the other time reports in this workbook." sqref="C8:H8" xr:uid="{124E2810-3717-4C80-8CE1-B4FFC62D5BA7}"/>
  </dataValidations>
  <hyperlinks>
    <hyperlink ref="O49" r:id="rId1" xr:uid="{73A4E59E-4500-4EF5-9B6E-71F5C4771B5A}"/>
    <hyperlink ref="O48:W48" r:id="rId2" display="Leave/Leave Without Pay Policy" xr:uid="{5DD6D2B0-81D8-45A1-997E-C3492DD9A083}"/>
    <hyperlink ref="O50:W50" r:id="rId3" display="Time Sheet Definitions/Policies" xr:uid="{460E7CC7-4BEB-4D67-8754-D8AF90CBF243}"/>
    <hyperlink ref="O49:T49" r:id="rId4" display="Overtime/Compensatory Time" xr:uid="{C936765C-94BE-4D5D-8931-ECEAB3B627FC}"/>
  </hyperlinks>
  <printOptions horizontalCentered="1"/>
  <pageMargins left="0.5" right="0.5" top="0.5" bottom="0.5" header="0.5" footer="0"/>
  <pageSetup scale="75" orientation="portrait" r:id="rId5"/>
  <headerFooter alignWithMargins="0">
    <oddFooter>&amp;RRevised:  05/2019</oddFooter>
  </headerFooter>
  <ignoredErrors>
    <ignoredError sqref="E17:N17" unlockedFormula="1"/>
  </ignoredErrors>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BAD6D-527C-45B9-AD58-75BDB0225573}">
  <sheetPr codeName="Sheet27">
    <tabColor theme="4" tint="0.79998168889431442"/>
  </sheetPr>
  <dimension ref="A1:BQ57"/>
  <sheetViews>
    <sheetView showGridLines="0" showZeros="0" zoomScaleNormal="100" workbookViewId="0">
      <pane ySplit="13" topLeftCell="A26"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Notes'!$A$21</f>
        <v>44667</v>
      </c>
      <c r="P6" s="265"/>
      <c r="Q6" s="265"/>
      <c r="R6" s="265"/>
      <c r="S6" s="265"/>
      <c r="T6" s="265"/>
      <c r="U6" s="53"/>
      <c r="V6" s="53"/>
      <c r="W6" s="24"/>
      <c r="X6" s="30"/>
      <c r="Z6" s="4" t="str">
        <f>TEXT(O6,"dddd")</f>
        <v>Saturday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Notes'!$B$21</f>
        <v>44681</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Notes'!$C$21</f>
        <v>8</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SUM(E14:E19)</f>
        <v>0</v>
      </c>
      <c r="F13" s="86">
        <f t="shared" ref="F13:N13" si="0">SUM(F14:F19)</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'Apr 1 - Apr 15'!E30</f>
        <v>0</v>
      </c>
      <c r="F14" s="182">
        <f>'Apr 1 - Apr 15'!F30</f>
        <v>0</v>
      </c>
      <c r="G14" s="184">
        <f>'Apr 1 - Apr 15'!G30</f>
        <v>0</v>
      </c>
      <c r="H14" s="182">
        <f>'Apr 1 - Apr 15'!H30</f>
        <v>0</v>
      </c>
      <c r="I14" s="182">
        <f>'Apr 1 - Apr 15'!I30</f>
        <v>0</v>
      </c>
      <c r="J14" s="185">
        <f>'Apr 1 - Apr 15'!J30</f>
        <v>0</v>
      </c>
      <c r="K14" s="185">
        <f>'Apr 1 - Apr 15'!K30</f>
        <v>0</v>
      </c>
      <c r="L14" s="186">
        <f>'Apr 1 - Apr 15'!L30</f>
        <v>0</v>
      </c>
      <c r="M14" s="182">
        <f>'Apr 1 - Apr 15'!M30</f>
        <v>0</v>
      </c>
      <c r="N14" s="182">
        <f>'Apr 1 - Apr 15'!N30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Factors'!$B$6:$B$371,MATCH('Apr 16 - Apr 30'!$Z$14:$Z$20,'Conversion Factors'!$A$6:$A$371,0))),"",INDEX('Conversion Factors'!$B$6:$B$371,MATCH('Apr 16 - Apr 30'!$Z$14:$Z$20,'Conversion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'Apr 1 - Apr 15'!E31</f>
        <v>0</v>
      </c>
      <c r="F15" s="182">
        <f>'Apr 1 - Apr 15'!F31</f>
        <v>0</v>
      </c>
      <c r="G15" s="184">
        <f>'Apr 1 - Apr 15'!G31</f>
        <v>0</v>
      </c>
      <c r="H15" s="182">
        <f>'Apr 1 - Apr 15'!H31</f>
        <v>0</v>
      </c>
      <c r="I15" s="182">
        <f>'Apr 1 - Apr 15'!I31</f>
        <v>0</v>
      </c>
      <c r="J15" s="185">
        <f>'Apr 1 - Apr 15'!J31</f>
        <v>0</v>
      </c>
      <c r="K15" s="185">
        <f>'Apr 1 - Apr 15'!K31</f>
        <v>0</v>
      </c>
      <c r="L15" s="186">
        <f>'Apr 1 - Apr 15'!L31</f>
        <v>0</v>
      </c>
      <c r="M15" s="182">
        <f>'Apr 1 - Apr 15'!M31</f>
        <v>0</v>
      </c>
      <c r="N15" s="182">
        <f>'Apr 1 - Apr 15'!N31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Factors'!$B$6:$B$371,MATCH('Apr 16 - Apr 30'!$Z$14:$Z$20,'Conversion Factors'!$A$6:$A$371,0))),"",INDEX('Conversion Factors'!$B$6:$B$371,MATCH('Apr 16 - Apr 30'!$Z$14:$Z$20,'Conversion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'Apr 1 - Apr 15'!E32</f>
        <v>0</v>
      </c>
      <c r="F16" s="182">
        <f>'Apr 1 - Apr 15'!F32</f>
        <v>0</v>
      </c>
      <c r="G16" s="184">
        <f>'Apr 1 - Apr 15'!G32</f>
        <v>0</v>
      </c>
      <c r="H16" s="182">
        <f>'Apr 1 - Apr 15'!H32</f>
        <v>0</v>
      </c>
      <c r="I16" s="182">
        <f>'Apr 1 - Apr 15'!I32</f>
        <v>0</v>
      </c>
      <c r="J16" s="185">
        <f>'Apr 1 - Apr 15'!J32</f>
        <v>0</v>
      </c>
      <c r="K16" s="185">
        <f>'Apr 1 - Apr 15'!K32</f>
        <v>0</v>
      </c>
      <c r="L16" s="186">
        <f>'Apr 1 - Apr 15'!L32</f>
        <v>0</v>
      </c>
      <c r="M16" s="182">
        <f>'Apr 1 - Apr 15'!M32</f>
        <v>0</v>
      </c>
      <c r="N16" s="182">
        <f>'Apr 1 - Apr 15'!N32</f>
        <v>0</v>
      </c>
      <c r="O16" s="183">
        <f t="shared" ref="O16:O19" si="34">SUM(E16:N16)-J16</f>
        <v>0</v>
      </c>
      <c r="P16" s="187" t="str">
        <f t="shared" si="23"/>
        <v/>
      </c>
      <c r="Q16" s="182"/>
      <c r="R16" s="50" t="str">
        <f t="shared" si="24"/>
        <v/>
      </c>
      <c r="S16" s="52"/>
      <c r="T16" s="52"/>
      <c r="U16" s="149">
        <f t="shared" ref="U16:U44" si="35">IF(BJ16&gt;0,BJ16,BN16)</f>
        <v>0</v>
      </c>
      <c r="V16" s="150">
        <f t="shared" si="25"/>
        <v>0</v>
      </c>
      <c r="W16" s="50"/>
      <c r="X16" s="49" t="str">
        <f>IF(ISNA(INDEX('Conversion Factors'!$B$6:$B$371,MATCH('Apr 16 - Apr 30'!$Z$14:$Z$20,'Conversion Factors'!$A$6:$A$371,0))),"",INDEX('Conversion Factors'!$B$6:$B$371,MATCH('Apr 16 - Apr 30'!$Z$14:$Z$20,'Conversion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'Apr 1 - Apr 15'!E33</f>
        <v>0</v>
      </c>
      <c r="F17" s="182">
        <f>'Apr 1 - Apr 15'!F33</f>
        <v>0</v>
      </c>
      <c r="G17" s="184">
        <f>'Apr 1 - Apr 15'!G33</f>
        <v>0</v>
      </c>
      <c r="H17" s="182">
        <f>'Apr 1 - Apr 15'!H33</f>
        <v>0</v>
      </c>
      <c r="I17" s="182">
        <f>'Apr 1 - Apr 15'!I33</f>
        <v>0</v>
      </c>
      <c r="J17" s="185">
        <f>'Apr 1 - Apr 15'!J33</f>
        <v>0</v>
      </c>
      <c r="K17" s="185">
        <f>'Apr 1 - Apr 15'!K33</f>
        <v>0</v>
      </c>
      <c r="L17" s="186">
        <f>'Apr 1 - Apr 15'!L33</f>
        <v>0</v>
      </c>
      <c r="M17" s="182">
        <f>'Apr 1 - Apr 15'!M33</f>
        <v>0</v>
      </c>
      <c r="N17" s="182">
        <f>'Apr 1 - Apr 15'!N33</f>
        <v>0</v>
      </c>
      <c r="O17" s="183">
        <f t="shared" si="34"/>
        <v>0</v>
      </c>
      <c r="P17" s="187" t="str">
        <f t="shared" si="23"/>
        <v/>
      </c>
      <c r="Q17" s="182"/>
      <c r="R17" s="50" t="str">
        <f t="shared" si="24"/>
        <v/>
      </c>
      <c r="S17" s="52"/>
      <c r="T17" s="52"/>
      <c r="U17" s="149">
        <f t="shared" si="35"/>
        <v>0</v>
      </c>
      <c r="V17" s="150">
        <f t="shared" si="25"/>
        <v>0</v>
      </c>
      <c r="W17" s="50"/>
      <c r="X17" s="49" t="str">
        <f>IF(ISNA(INDEX('Conversion Factors'!$B$6:$B$371,MATCH('Apr 16 - Apr 30'!$Z$14:$Z$20,'Conversion Factors'!$A$6:$A$371,0))),"",INDEX('Conversion Factors'!$B$6:$B$371,MATCH('Apr 16 - Apr 30'!$Z$14:$Z$20,'Conversion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t="b">
        <f t="shared" si="22"/>
        <v>0</v>
      </c>
      <c r="B18" s="238"/>
      <c r="C18" s="239"/>
      <c r="D18" s="32" t="s">
        <v>27</v>
      </c>
      <c r="E18" s="182">
        <f>'Apr 1 - Apr 15'!E34</f>
        <v>0</v>
      </c>
      <c r="F18" s="182">
        <f>'Apr 1 - Apr 15'!F34</f>
        <v>0</v>
      </c>
      <c r="G18" s="184">
        <f>'Apr 1 - Apr 15'!G34</f>
        <v>0</v>
      </c>
      <c r="H18" s="182">
        <f>'Apr 1 - Apr 15'!H34</f>
        <v>0</v>
      </c>
      <c r="I18" s="182">
        <f>'Apr 1 - Apr 15'!I34</f>
        <v>0</v>
      </c>
      <c r="J18" s="185">
        <f>'Apr 1 - Apr 15'!J34</f>
        <v>0</v>
      </c>
      <c r="K18" s="185">
        <f>'Apr 1 - Apr 15'!K34</f>
        <v>0</v>
      </c>
      <c r="L18" s="186">
        <f>'Apr 1 - Apr 15'!L34</f>
        <v>0</v>
      </c>
      <c r="M18" s="182">
        <f>'Apr 1 - Apr 15'!M34</f>
        <v>0</v>
      </c>
      <c r="N18" s="182">
        <f>'Apr 1 - Apr 15'!N34</f>
        <v>0</v>
      </c>
      <c r="O18" s="183">
        <f t="shared" si="34"/>
        <v>0</v>
      </c>
      <c r="P18" s="50" t="str">
        <f t="shared" si="23"/>
        <v/>
      </c>
      <c r="Q18" s="51"/>
      <c r="R18" s="50" t="str">
        <f t="shared" si="24"/>
        <v/>
      </c>
      <c r="S18" s="52"/>
      <c r="T18" s="52"/>
      <c r="U18" s="149">
        <f t="shared" si="35"/>
        <v>0</v>
      </c>
      <c r="V18" s="150">
        <f t="shared" si="25"/>
        <v>0</v>
      </c>
      <c r="W18" s="50"/>
      <c r="X18" s="49" t="str">
        <f>IF(ISNA(INDEX('Conversion Factors'!$B$6:$B$371,MATCH('Apr 16 - Apr 30'!$Z$14:$Z$20,'Conversion Factors'!$A$6:$A$371,0))),"",INDEX('Conversion Factors'!$B$6:$B$371,MATCH('Apr 16 - Apr 30'!$Z$14:$Z$20,'Conversion Factors'!$A$6:$A$371,0)))</f>
        <v/>
      </c>
      <c r="Z18" s="18" t="b">
        <f t="shared" si="1"/>
        <v>0</v>
      </c>
      <c r="AA18" s="57">
        <f t="shared" si="2"/>
        <v>0</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t="b">
        <f t="shared" si="22"/>
        <v>0</v>
      </c>
      <c r="B19" s="238"/>
      <c r="C19" s="239"/>
      <c r="D19" s="32" t="s">
        <v>28</v>
      </c>
      <c r="E19" s="182">
        <f>'Apr 1 - Apr 15'!E35</f>
        <v>0</v>
      </c>
      <c r="F19" s="182">
        <f>'Apr 1 - Apr 15'!F35</f>
        <v>0</v>
      </c>
      <c r="G19" s="184">
        <f>'Apr 1 - Apr 15'!G35</f>
        <v>0</v>
      </c>
      <c r="H19" s="182">
        <f>'Apr 1 - Apr 15'!H35</f>
        <v>0</v>
      </c>
      <c r="I19" s="182">
        <f>'Apr 1 - Apr 15'!I35</f>
        <v>0</v>
      </c>
      <c r="J19" s="185">
        <f>'Apr 1 - Apr 15'!J35</f>
        <v>0</v>
      </c>
      <c r="K19" s="185">
        <f>'Apr 1 - Apr 15'!K35</f>
        <v>0</v>
      </c>
      <c r="L19" s="186">
        <f>'Apr 1 - Apr 15'!L35</f>
        <v>0</v>
      </c>
      <c r="M19" s="182">
        <f>'Apr 1 - Apr 15'!M35</f>
        <v>0</v>
      </c>
      <c r="N19" s="182">
        <f>'Apr 1 - Apr 15'!N35</f>
        <v>0</v>
      </c>
      <c r="O19" s="183">
        <f t="shared" si="34"/>
        <v>0</v>
      </c>
      <c r="P19" s="50" t="str">
        <f t="shared" si="23"/>
        <v/>
      </c>
      <c r="Q19" s="51"/>
      <c r="R19" s="50" t="str">
        <f t="shared" si="24"/>
        <v/>
      </c>
      <c r="S19" s="52"/>
      <c r="T19" s="52"/>
      <c r="U19" s="149">
        <f t="shared" si="35"/>
        <v>0</v>
      </c>
      <c r="V19" s="150">
        <f t="shared" si="25"/>
        <v>0</v>
      </c>
      <c r="W19" s="50"/>
      <c r="X19" s="49" t="str">
        <f>IF(ISNA(INDEX('Conversion Factors'!$B$6:$B$371,MATCH('Apr 16 - Apr 30'!$Z$14:$Z$20,'Conversion Factors'!$A$6:$A$371,0))),"",INDEX('Conversion Factors'!$B$6:$B$371,MATCH('Apr 16 - Apr 30'!$Z$14:$Z$20,'Conversion Factors'!$A$6:$A$371,0)))</f>
        <v/>
      </c>
      <c r="Z19" s="18" t="b">
        <f t="shared" si="1"/>
        <v>0</v>
      </c>
      <c r="AA19" s="57">
        <f t="shared" si="2"/>
        <v>0</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44667</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Factors'!$B$6:$B$371,MATCH('Apr 16 - Apr 30'!$Z$14:$Z$20,'Conversion Factors'!$A$6:$A$371,0))),"",INDEX('Conversion Factors'!$B$6:$B$371,MATCH('Apr 16 - Apr 30'!$Z$14:$Z$20,'Conversion Factors'!$A$6:$A$371,0)))</f>
        <v>8.6669999999999998</v>
      </c>
      <c r="Z20" s="18">
        <f t="shared" si="1"/>
        <v>44667</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44668</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Factors'!$B$6:$B$371,MATCH('Apr 16 - Apr 30'!$Z$22:$Z$28,'Conversion Factors'!$A$6:$A$371,0))),"",INDEX('Conversion Factors'!$B$6:$B$371,MATCH('Apr 16 - Apr 30'!$Z$22:$Z$28,'Conversion Factors'!$A$6:$A$371,0)))</f>
        <v>8.6669999999999998</v>
      </c>
      <c r="Z22" s="17">
        <f t="shared" ref="Z22:Z28" si="42">A22</f>
        <v>44668</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44669</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Factors'!$B$6:$B$371,MATCH('Apr 16 - Apr 30'!$Z$22:$Z$28,'Conversion Factors'!$A$6:$A$371,0))),"",INDEX('Conversion Factors'!$B$6:$B$371,MATCH('Apr 16 - Apr 30'!$Z$22:$Z$28,'Conversion Factors'!$A$6:$A$371,0)))</f>
        <v>8.6669999999999998</v>
      </c>
      <c r="Z23" s="17">
        <f t="shared" si="42"/>
        <v>44669</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44670</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Factors'!$B$6:$B$371,MATCH('Apr 16 - Apr 30'!$Z$22:$Z$28,'Conversion Factors'!$A$6:$A$371,0))),"",INDEX('Conversion Factors'!$B$6:$B$371,MATCH('Apr 16 - Apr 30'!$Z$22:$Z$28,'Conversion Factors'!$A$6:$A$371,0)))</f>
        <v>8.6669999999999998</v>
      </c>
      <c r="Z24" s="17">
        <f t="shared" si="42"/>
        <v>44670</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44671</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Factors'!$B$6:$B$371,MATCH('Apr 16 - Apr 30'!$Z$22:$Z$28,'Conversion Factors'!$A$6:$A$371,0))),"",INDEX('Conversion Factors'!$B$6:$B$371,MATCH('Apr 16 - Apr 30'!$Z$22:$Z$28,'Conversion Factors'!$A$6:$A$371,0)))</f>
        <v>8.6669999999999998</v>
      </c>
      <c r="Z25" s="17">
        <f t="shared" si="42"/>
        <v>44671</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44672</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Factors'!$B$6:$B$371,MATCH('Apr 16 - Apr 30'!$Z$22:$Z$28,'Conversion Factors'!$A$6:$A$371,0))),"",INDEX('Conversion Factors'!$B$6:$B$371,MATCH('Apr 16 - Apr 30'!$Z$22:$Z$28,'Conversion Factors'!$A$6:$A$371,0)))</f>
        <v>8.6669999999999998</v>
      </c>
      <c r="Z26" s="17">
        <f t="shared" si="42"/>
        <v>44672</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44673</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Factors'!$B$6:$B$371,MATCH('Apr 16 - Apr 30'!$Z$22:$Z$28,'Conversion Factors'!$A$6:$A$371,0))),"",INDEX('Conversion Factors'!$B$6:$B$371,MATCH('Apr 16 - Apr 30'!$Z$22:$Z$28,'Conversion Factors'!$A$6:$A$371,0)))</f>
        <v>8.6669999999999998</v>
      </c>
      <c r="Z27" s="17">
        <f t="shared" si="42"/>
        <v>44673</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44674</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Factors'!$B$6:$B$371,MATCH('Apr 16 - Apr 30'!$Z$22:$Z$28,'Conversion Factors'!$A$6:$A$371,0))),"",INDEX('Conversion Factors'!$B$6:$B$371,MATCH('Apr 16 - Apr 30'!$Z$22:$Z$28,'Conversion Factors'!$A$6:$A$371,0)))</f>
        <v>8.6669999999999998</v>
      </c>
      <c r="Z28" s="17">
        <f t="shared" si="42"/>
        <v>44674</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44675</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Factors'!$B$6:$B$370,MATCH('Apr 16 - Apr 30'!$Z$30:$Z$36,'Conversion Factors'!$A$6:$A$370,0))),"",INDEX('Conversion Factors'!$B$6:$B$370,MATCH('Apr 16 - Apr 30'!$Z$30:$Z$36,'Conversion Factors'!$A$6:$A$370,0)))</f>
        <v>8.6669999999999998</v>
      </c>
      <c r="Z30" s="17">
        <f t="shared" ref="Z30:Z36" si="81">A30</f>
        <v>44675</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44676</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Factors'!$B$6:$B$370,MATCH('Apr 16 - Apr 30'!$Z$30:$Z$36,'Conversion Factors'!$A$6:$A$370,0))),"",INDEX('Conversion Factors'!$B$6:$B$370,MATCH('Apr 16 - Apr 30'!$Z$30:$Z$36,'Conversion Factors'!$A$6:$A$370,0)))</f>
        <v>8.6669999999999998</v>
      </c>
      <c r="Z31" s="17">
        <f t="shared" si="81"/>
        <v>44676</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44677</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Factors'!$B$6:$B$370,MATCH('Apr 16 - Apr 30'!$Z$30:$Z$36,'Conversion Factors'!$A$6:$A$370,0))),"",INDEX('Conversion Factors'!$B$6:$B$370,MATCH('Apr 16 - Apr 30'!$Z$30:$Z$36,'Conversion Factors'!$A$6:$A$370,0)))</f>
        <v>8.6669999999999998</v>
      </c>
      <c r="Z32" s="17">
        <f t="shared" si="81"/>
        <v>44677</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44678</v>
      </c>
      <c r="B33" s="226"/>
      <c r="C33" s="227"/>
      <c r="D33" s="32" t="s">
        <v>26</v>
      </c>
      <c r="E33" s="176"/>
      <c r="F33" s="176"/>
      <c r="G33" s="177"/>
      <c r="H33" s="176"/>
      <c r="I33" s="176"/>
      <c r="J33" s="178"/>
      <c r="K33" s="178"/>
      <c r="L33" s="179"/>
      <c r="M33" s="176"/>
      <c r="N33" s="176"/>
      <c r="O33" s="110">
        <f t="shared" si="105"/>
        <v>0</v>
      </c>
      <c r="P33" s="50" t="str">
        <f t="shared" si="106"/>
        <v/>
      </c>
      <c r="Q33" s="51"/>
      <c r="R33" s="50" t="str">
        <f t="shared" si="107"/>
        <v/>
      </c>
      <c r="S33" s="52"/>
      <c r="T33" s="52"/>
      <c r="U33" s="149">
        <f t="shared" si="35"/>
        <v>0</v>
      </c>
      <c r="V33" s="150">
        <f t="shared" si="108"/>
        <v>0</v>
      </c>
      <c r="W33" s="50"/>
      <c r="X33" s="49">
        <f>IF(ISNA(INDEX('Conversion Factors'!$B$6:$B$370,MATCH('Apr 16 - Apr 30'!$Z$30:$Z$36,'Conversion Factors'!$A$6:$A$370,0))),"",INDEX('Conversion Factors'!$B$6:$B$370,MATCH('Apr 16 - Apr 30'!$Z$30:$Z$36,'Conversion Factors'!$A$6:$A$370,0)))</f>
        <v>8.6669999999999998</v>
      </c>
      <c r="Z33" s="17">
        <f t="shared" si="81"/>
        <v>44678</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44679</v>
      </c>
      <c r="B34" s="226"/>
      <c r="C34" s="227"/>
      <c r="D34" s="32" t="s">
        <v>27</v>
      </c>
      <c r="E34" s="176"/>
      <c r="F34" s="176"/>
      <c r="G34" s="177"/>
      <c r="H34" s="176"/>
      <c r="I34" s="176"/>
      <c r="J34" s="178"/>
      <c r="K34" s="178"/>
      <c r="L34" s="179"/>
      <c r="M34" s="176"/>
      <c r="N34" s="176"/>
      <c r="O34" s="110">
        <f t="shared" si="105"/>
        <v>0</v>
      </c>
      <c r="P34" s="50" t="str">
        <f t="shared" si="106"/>
        <v/>
      </c>
      <c r="Q34" s="51"/>
      <c r="R34" s="50" t="str">
        <f t="shared" si="107"/>
        <v/>
      </c>
      <c r="S34" s="52"/>
      <c r="T34" s="52"/>
      <c r="U34" s="149">
        <f t="shared" si="35"/>
        <v>0</v>
      </c>
      <c r="V34" s="150">
        <f t="shared" si="108"/>
        <v>0</v>
      </c>
      <c r="W34" s="50"/>
      <c r="X34" s="49">
        <f>IF(ISNA(INDEX('Conversion Factors'!$B$6:$B$370,MATCH('Apr 16 - Apr 30'!$Z$30:$Z$36,'Conversion Factors'!$A$6:$A$370,0))),"",INDEX('Conversion Factors'!$B$6:$B$370,MATCH('Apr 16 - Apr 30'!$Z$30:$Z$36,'Conversion Factors'!$A$6:$A$370,0)))</f>
        <v>8.6669999999999998</v>
      </c>
      <c r="Z34" s="17">
        <f t="shared" si="81"/>
        <v>44679</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f t="shared" si="104"/>
        <v>44680</v>
      </c>
      <c r="B35" s="226"/>
      <c r="C35" s="227"/>
      <c r="D35" s="32" t="s">
        <v>28</v>
      </c>
      <c r="E35" s="176"/>
      <c r="F35" s="176"/>
      <c r="G35" s="177"/>
      <c r="H35" s="176"/>
      <c r="I35" s="176"/>
      <c r="J35" s="178"/>
      <c r="K35" s="178"/>
      <c r="L35" s="179"/>
      <c r="M35" s="176"/>
      <c r="N35" s="176"/>
      <c r="O35" s="110">
        <f t="shared" si="105"/>
        <v>0</v>
      </c>
      <c r="P35" s="50" t="str">
        <f t="shared" si="106"/>
        <v/>
      </c>
      <c r="Q35" s="52"/>
      <c r="R35" s="50" t="str">
        <f t="shared" si="107"/>
        <v/>
      </c>
      <c r="S35" s="52"/>
      <c r="T35" s="52"/>
      <c r="U35" s="149">
        <f t="shared" si="35"/>
        <v>0</v>
      </c>
      <c r="V35" s="150">
        <f t="shared" si="108"/>
        <v>0</v>
      </c>
      <c r="W35" s="50"/>
      <c r="X35" s="49">
        <f>IF(ISNA(INDEX('Conversion Factors'!$B$6:$B$370,MATCH('Apr 16 - Apr 30'!$Z$30:$Z$36,'Conversion Factors'!$A$6:$A$370,0))),"",INDEX('Conversion Factors'!$B$6:$B$370,MATCH('Apr 16 - Apr 30'!$Z$30:$Z$36,'Conversion Factors'!$A$6:$A$370,0)))</f>
        <v>8.6669999999999998</v>
      </c>
      <c r="Z35" s="17">
        <f t="shared" si="81"/>
        <v>44680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f t="shared" si="104"/>
        <v>44681</v>
      </c>
      <c r="B36" s="226"/>
      <c r="C36" s="227"/>
      <c r="D36" s="32" t="s">
        <v>29</v>
      </c>
      <c r="E36" s="176"/>
      <c r="F36" s="176"/>
      <c r="G36" s="177"/>
      <c r="H36" s="176"/>
      <c r="I36" s="176"/>
      <c r="J36" s="178"/>
      <c r="K36" s="178"/>
      <c r="L36" s="179"/>
      <c r="M36" s="176"/>
      <c r="N36" s="176"/>
      <c r="O36" s="110">
        <f t="shared" si="105"/>
        <v>0</v>
      </c>
      <c r="P36" s="50" t="str">
        <f t="shared" si="106"/>
        <v/>
      </c>
      <c r="Q36" s="52"/>
      <c r="R36" s="50" t="str">
        <f t="shared" si="107"/>
        <v/>
      </c>
      <c r="S36" s="52"/>
      <c r="T36" s="52"/>
      <c r="U36" s="149">
        <f t="shared" si="35"/>
        <v>0</v>
      </c>
      <c r="V36" s="150">
        <f t="shared" si="108"/>
        <v>0</v>
      </c>
      <c r="W36" s="50"/>
      <c r="X36" s="49">
        <f>IF(ISNA(INDEX('Conversion Factors'!$B$6:$B$370,MATCH('Apr 16 - Apr 30'!$Z$30:$Z$36,'Conversion Factors'!$A$6:$A$370,0))),"",INDEX('Conversion Factors'!$B$6:$B$370,MATCH('Apr 16 - Apr 30'!$Z$30:$Z$36,'Conversion Factors'!$A$6:$A$370,0)))</f>
        <v>8.6669999999999998</v>
      </c>
      <c r="Z36" s="17">
        <f t="shared" si="81"/>
        <v>44681</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str">
        <f>IF(A36&lt;$O$7,A36+1,IF(A36=$O$7,""))</f>
        <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Factors'!$B$6:$B$370,MATCH('Apr 16 - Apr 30'!$Z$38:$Z$44,'Conversion Factors'!$A$6:$A$370,0))),"",INDEX('Conversion Factors'!$B$6:$B$370,MATCH('Apr 16 - Apr 30'!$Z$38:$Z$44,'Conversion Factors'!$A$6:$A$370,0)))</f>
        <v/>
      </c>
      <c r="Z38" s="17" t="str">
        <f t="shared" ref="Z38:Z44" si="121">A38</f>
        <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Factors'!$B$6:$B$370,MATCH('Apr 16 - Apr 30'!$Z$38:$Z$44,'Conversion Factors'!$A$6:$A$370,0))),"",INDEX('Conversion Factors'!$B$6:$B$370,MATCH('Apr 16 - Apr 30'!$Z$38:$Z$44,'Conversion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Factors'!$B$6:$B$370,MATCH('Apr 16 - Apr 30'!$Z$38:$Z$44,'Conversion Factors'!$A$6:$A$370,0))),"",INDEX('Conversion Factors'!$B$6:$B$370,MATCH('Apr 16 - Apr 30'!$Z$38:$Z$44,'Conversion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Factors'!$B$6:$B$370,MATCH('Apr 16 - Apr 30'!$Z$38:$Z$44,'Conversion Factors'!$A$6:$A$370,0))),"",INDEX('Conversion Factors'!$B$6:$B$370,MATCH('Apr 16 - Apr 30'!$Z$38:$Z$44,'Conversion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Factors'!$B$6:$B$370,MATCH('Apr 16 - Apr 30'!$Z$38:$Z$44,'Conversion Factors'!$A$6:$A$370,0))),"",INDEX('Conversion Factors'!$B$6:$B$370,MATCH('Apr 16 - Apr 30'!$Z$38:$Z$44,'Conversion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Factors'!$B$6:$B$370,MATCH('Apr 16 - Apr 30'!$Z$38:$Z$44,'Conversion Factors'!$A$6:$A$370,0))),"",INDEX('Conversion Factors'!$B$6:$B$370,MATCH('Apr 16 - Apr 30'!$Z$38:$Z$44,'Conversion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Factors'!$B$6:$B$370,MATCH('Apr 16 - Apr 30'!$Z$38:$Z$44,'Conversion Factors'!$A$6:$A$370,0))),"",INDEX('Conversion Factors'!$B$6:$B$370,MATCH('Apr 16 - Apr 30'!$Z$38:$Z$44,'Conversion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102" priority="17" operator="equal">
      <formula>FALSE</formula>
    </cfRule>
  </conditionalFormatting>
  <conditionalFormatting sqref="A22:C22">
    <cfRule type="cellIs" dxfId="101" priority="16" operator="equal">
      <formula>FALSE</formula>
    </cfRule>
  </conditionalFormatting>
  <conditionalFormatting sqref="D22:D28">
    <cfRule type="cellIs" dxfId="100" priority="15" operator="equal">
      <formula>FALSE</formula>
    </cfRule>
  </conditionalFormatting>
  <conditionalFormatting sqref="Z22:Z28">
    <cfRule type="cellIs" dxfId="99" priority="14" operator="equal">
      <formula>FALSE</formula>
    </cfRule>
  </conditionalFormatting>
  <conditionalFormatting sqref="Z30:Z36">
    <cfRule type="cellIs" dxfId="98" priority="13" operator="equal">
      <formula>FALSE</formula>
    </cfRule>
  </conditionalFormatting>
  <conditionalFormatting sqref="X21 X29 X37">
    <cfRule type="containsErrors" dxfId="97" priority="12">
      <formula>ISERROR(X21)</formula>
    </cfRule>
  </conditionalFormatting>
  <conditionalFormatting sqref="Z39:Z44">
    <cfRule type="cellIs" dxfId="96" priority="10" operator="equal">
      <formula>FALSE</formula>
    </cfRule>
  </conditionalFormatting>
  <conditionalFormatting sqref="Z38">
    <cfRule type="cellIs" dxfId="95" priority="11" operator="equal">
      <formula>FALSE</formula>
    </cfRule>
  </conditionalFormatting>
  <conditionalFormatting sqref="W11:X11">
    <cfRule type="cellIs" dxfId="94" priority="9" operator="equal">
      <formula>"Please Select"</formula>
    </cfRule>
  </conditionalFormatting>
  <conditionalFormatting sqref="E11:F11">
    <cfRule type="containsBlanks" dxfId="93" priority="8">
      <formula>LEN(TRIM(E11))=0</formula>
    </cfRule>
  </conditionalFormatting>
  <conditionalFormatting sqref="U14:U46">
    <cfRule type="cellIs" dxfId="92" priority="7" operator="equal">
      <formula>FALSE</formula>
    </cfRule>
  </conditionalFormatting>
  <conditionalFormatting sqref="P26">
    <cfRule type="cellIs" dxfId="91" priority="6" operator="lessThan">
      <formula>$BQ$21</formula>
    </cfRule>
  </conditionalFormatting>
  <conditionalFormatting sqref="X14:X20">
    <cfRule type="containsErrors" dxfId="90" priority="5">
      <formula>ISERROR(X14)</formula>
    </cfRule>
  </conditionalFormatting>
  <conditionalFormatting sqref="X30:X36">
    <cfRule type="containsErrors" dxfId="89" priority="4">
      <formula>ISERROR(X30)</formula>
    </cfRule>
  </conditionalFormatting>
  <conditionalFormatting sqref="X38:X44">
    <cfRule type="containsErrors" dxfId="88" priority="3">
      <formula>ISERROR(X38)</formula>
    </cfRule>
  </conditionalFormatting>
  <conditionalFormatting sqref="X22">
    <cfRule type="containsErrors" dxfId="87" priority="2">
      <formula>ISERROR(X22)</formula>
    </cfRule>
  </conditionalFormatting>
  <conditionalFormatting sqref="X23:X28">
    <cfRule type="containsErrors" dxfId="86"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D1A7AAFF-8F17-4DF5-B1AD-CC463DF94944}"/>
    <dataValidation allowBlank="1" showInputMessage="1" showErrorMessage="1" prompt="Enter your Name into this field and it will populate to all the other time reports in this workbook." sqref="C7:H7" xr:uid="{5908E9B8-763A-4C73-8EF4-B542986E5D17}"/>
    <dataValidation allowBlank="1" showInputMessage="1" showErrorMessage="1" prompt="Enter your MSU ID into this field and it will populate to all the other time re[prts in this workbook." sqref="C6:H6" xr:uid="{6A06E34B-EF2F-4679-B52B-587159A42089}"/>
    <dataValidation allowBlank="1" showInputMessage="1" showErrorMessage="1" promptTitle="Hours Per Week" prompt="Please enter the number of hours you are scheduled to work each week.  (Example:  40)_x000a_" sqref="E11:F11" xr:uid="{E3089BA3-489C-4CD4-8509-08F88FF90D03}"/>
    <dataValidation type="list" allowBlank="1" showInputMessage="1" showErrorMessage="1" promptTitle="Compensatory Time" prompt="Please select &quot;No&quot; if you are not receiving Compensatory time or &quot;Yes&quot; if you are receiving compensatory time." sqref="W11:X11" xr:uid="{1D667CD5-122B-4A9F-8225-7BE944C527D5}">
      <formula1>$AD$6:$AD$8</formula1>
    </dataValidation>
  </dataValidations>
  <hyperlinks>
    <hyperlink ref="O49" r:id="rId1" xr:uid="{8AFF1A9F-D0A3-4079-BBD1-4C46EC0D232C}"/>
    <hyperlink ref="O48:W48" r:id="rId2" display="Leave/Leave Without Pay Policy" xr:uid="{BB7BB642-B686-494A-8087-D1476D4B1032}"/>
    <hyperlink ref="O50:W50" r:id="rId3" display="Time Sheet Definitions/Policies" xr:uid="{D98E540F-B725-49D9-895B-C77E3659D02E}"/>
    <hyperlink ref="O49:T49" r:id="rId4" display="Overtime/Compensatory Time" xr:uid="{B4AD5729-914E-4F2F-8ADB-29860EA9208F}"/>
  </hyperlinks>
  <printOptions horizontalCentered="1"/>
  <pageMargins left="0.5" right="0.5" top="0.5" bottom="0.5" header="0.5" footer="0"/>
  <pageSetup scale="75" orientation="portrait" r:id="rId5"/>
  <headerFooter alignWithMargins="0">
    <oddFooter>&amp;RRevised:  05/2019</oddFooter>
  </headerFooter>
  <ignoredErrors>
    <ignoredError sqref="E18:N18" unlockedFormula="1"/>
  </ignoredErrors>
  <drawing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A4182-1EA9-4D0E-A642-DDAC450B53D5}">
  <sheetPr codeName="Sheet28">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Notes'!$A$22</f>
        <v>44682</v>
      </c>
      <c r="P6" s="265"/>
      <c r="Q6" s="265"/>
      <c r="R6" s="265"/>
      <c r="S6" s="265"/>
      <c r="T6" s="265"/>
      <c r="U6" s="53"/>
      <c r="V6" s="53"/>
      <c r="W6" s="24"/>
      <c r="X6" s="30"/>
      <c r="Z6" s="4" t="str">
        <f>TEXT(O6,"dddd")</f>
        <v>Sunday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Notes'!$B$22</f>
        <v>44696</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Notes'!$C$22</f>
        <v>9</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v>0</v>
      </c>
      <c r="F13" s="86">
        <v>0</v>
      </c>
      <c r="G13" s="86">
        <v>0</v>
      </c>
      <c r="H13" s="86">
        <v>0</v>
      </c>
      <c r="I13" s="86">
        <v>0</v>
      </c>
      <c r="J13" s="86">
        <v>0</v>
      </c>
      <c r="K13" s="86">
        <v>0</v>
      </c>
      <c r="L13" s="86">
        <v>0</v>
      </c>
      <c r="M13" s="86">
        <v>0</v>
      </c>
      <c r="N13" s="86">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f>IF(EXACT(D14,$Z$6)=TRUE,$O$6,IF(A12=0,"",IF(A12&lt;$O$7,A12+1,IF(A12=$O$7,""))))</f>
        <v>44682</v>
      </c>
      <c r="B14" s="238"/>
      <c r="C14" s="239"/>
      <c r="D14" s="32" t="s">
        <v>23</v>
      </c>
      <c r="E14" s="176"/>
      <c r="F14" s="176"/>
      <c r="G14" s="177"/>
      <c r="H14" s="176"/>
      <c r="I14" s="176"/>
      <c r="J14" s="178"/>
      <c r="K14" s="178"/>
      <c r="L14" s="179"/>
      <c r="M14" s="176"/>
      <c r="N14" s="176"/>
      <c r="O14" s="110">
        <f>SUM(E14:N14)-J14</f>
        <v>0</v>
      </c>
      <c r="P14" s="187" t="str">
        <f>IF(AND(ISNUMBER(AA14),ISNUMBER(X14)),AA14*X14,"")</f>
        <v/>
      </c>
      <c r="Q14" s="182"/>
      <c r="R14" s="50" t="str">
        <f>IF(AND(ISNUMBER(AB14),ISNUMBER(X14)),AB14*X14,"")</f>
        <v/>
      </c>
      <c r="S14" s="52"/>
      <c r="T14" s="52"/>
      <c r="U14" s="149">
        <f>IF(BJ14&gt;0,BJ14,BN14)</f>
        <v>0</v>
      </c>
      <c r="V14" s="150">
        <f>IF(BK14&gt;0,BK14,0)</f>
        <v>0</v>
      </c>
      <c r="W14" s="50"/>
      <c r="X14" s="49">
        <f>IF(ISNA(INDEX('Conversion Factors'!$B$6:$B$371,MATCH('May 1 - May 15'!$Z$14:$Z$20,'Conversion Factors'!$A$6:$A$371,0))),"",INDEX('Conversion Factors'!$B$6:$B$371,MATCH('May 1 - May 15'!$Z$14:$Z$20,'Conversion Factors'!$A$6:$A$371,0)))</f>
        <v>8.6669999999999998</v>
      </c>
      <c r="Z14" s="18">
        <f t="shared" ref="Z14:Z20" si="0">A14</f>
        <v>44682</v>
      </c>
      <c r="AA14" s="57" t="str">
        <f t="shared" ref="AA14:AA20" si="1">IF(AND(ISNUMBER(N14),ISNUMBER($Z$12)),N14/$Z$12,"")</f>
        <v/>
      </c>
      <c r="AB14" s="57" t="str">
        <f t="shared" ref="AB14:AB20" si="2">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3">J14</f>
        <v>0</v>
      </c>
      <c r="AO14" s="152">
        <f t="shared" ref="AO14:AO20" si="4">IF(G14=0,0,"")</f>
        <v>0</v>
      </c>
      <c r="AP14" s="152">
        <f t="shared" ref="AP14:AP20" si="5">IF(AND(AH14&lt;=40,E14=G14),G14,0)</f>
        <v>0</v>
      </c>
      <c r="AQ14" s="153">
        <f t="shared" ref="AQ14:AQ20" si="6">IF(AND(AH14&lt;=40,E14&gt;=G14,G14&gt;0),O14-E14,0)</f>
        <v>0</v>
      </c>
      <c r="AR14" s="152">
        <f t="shared" ref="AR14:AR20" si="7">IF(AND(AH14&lt;=40,E14&lt;G14),O14-G14,0)</f>
        <v>0</v>
      </c>
      <c r="AS14" s="154">
        <f t="shared" ref="AS14:AS20" si="8">IF(AND(G14=0),G14,IF(AND(G14&gt;0,AI14&gt;0,G14=AT14),AT14,IF(AND(G14&gt;0,AI14&gt;0,G14-AT14),AT14,0)))</f>
        <v>0</v>
      </c>
      <c r="AT14" s="154"/>
      <c r="AU14" s="155">
        <f>AS14</f>
        <v>0</v>
      </c>
      <c r="AV14" s="156">
        <f t="shared" ref="AV14:AV20" si="9">IF(AND(AH13+AU14=40,AI14&gt;0,AI14&gt;AU14),AI14-AU14,IF(AND(AH13+AU14=40,AI14&gt;0,AI14&lt;AU14,AU14+AI14=G14),AI14,IF(AND(AH13&gt;40,AH14&gt;40,G14=AI14),AI14,0)))</f>
        <v>0</v>
      </c>
      <c r="AW14" s="157">
        <f>AV14</f>
        <v>0</v>
      </c>
      <c r="AY14" s="157">
        <f t="shared" ref="AY14:AY20" si="10">IF(AND(J14&gt;0,AI14&gt;=J14,BB14=0),O14-AI14,IF(AND(J14&gt;0,AI14&gt;0,BB14&lt;=AI14),AI14-BB14,IF(AND(J14&gt;0,AI14&gt;0,BB14&gt;AI14),J14-BB14,0)))</f>
        <v>0</v>
      </c>
      <c r="AZ14" s="152">
        <f t="shared" ref="AZ14:AZ20" si="11">IF(J14=0,0,"")</f>
        <v>0</v>
      </c>
      <c r="BA14" s="152">
        <f t="shared" ref="BA14:BA20" si="12">IF(AND(AH14&lt;=40,E14=J14),J14,0)</f>
        <v>0</v>
      </c>
      <c r="BB14" s="158">
        <f t="shared" ref="BB14:BB20" si="13">IF(AND(AZ14=0),AZ14,IF(AND(AH14&gt;40,E14&gt;=J14),BE14,IF(AND(AH14&lt;=40,E14&gt;J14),J14,0)))</f>
        <v>0</v>
      </c>
      <c r="BC14" s="152">
        <f t="shared" ref="BC14:BC20" si="14">IF(AND(AH14&lt;=40,E14&lt;J14),O14-J14,0)</f>
        <v>0</v>
      </c>
      <c r="BD14" s="154">
        <f t="shared" ref="BD14:BD20" si="15">IF(AND(J14=0),J14,IF(AND(J14&gt;0,AI14&gt;0,J14=BC14),BC14,IF(AND(J14&gt;0,AI14&gt;0,J14-BC14),BC14,0)))</f>
        <v>0</v>
      </c>
      <c r="BE14" s="154"/>
      <c r="BF14" s="159">
        <f>BD14</f>
        <v>0</v>
      </c>
      <c r="BG14" s="160"/>
      <c r="BH14" s="160">
        <f>IF(AND(G14&gt;0,E14&gt;0),1,0)</f>
        <v>0</v>
      </c>
      <c r="BI14" s="161">
        <f t="shared" ref="BI14:BI20" si="16">40-AH14</f>
        <v>40</v>
      </c>
      <c r="BJ14" s="161">
        <f t="shared" ref="BJ14:BJ20" si="17">IF(AND(BH14=1,40-BL13&gt;0,40-BL13&lt;8),40-BL13,IF(AND(E14&lt;G14),E14,G14))</f>
        <v>0</v>
      </c>
      <c r="BK14" s="161">
        <f t="shared" ref="BK14:BK20" si="18">IF(AND(BH14=1,BL14&gt;40,E14&lt;G14),E14-BJ14,(IF(AND(BH14=1,BL14&gt;0,E14&gt;=G14),G14-BJ14,0)))</f>
        <v>0</v>
      </c>
      <c r="BL14" s="161">
        <f>E14</f>
        <v>0</v>
      </c>
      <c r="BM14" s="160">
        <f>IF(AND(K14&gt;0,E14&gt;0),1,0)</f>
        <v>0</v>
      </c>
      <c r="BN14" s="161">
        <f>IF(AND(BM14=1,J14&gt;8),K14,(IF(AND(BM14=1,J14&gt;0),J14,0)))</f>
        <v>0</v>
      </c>
      <c r="BO14" s="161">
        <f t="shared" ref="BO14:BO15" si="19">IF(AND(BM14=1,40-BL13&gt;0,40-BL13&lt;8),40-BL13,IF(AND(J14&lt;K14),J14,K14))</f>
        <v>0</v>
      </c>
      <c r="BP14" s="161">
        <f t="shared" ref="BP14:BP18" si="20">IF(AND(BM14=1,BL14&gt;40,J14&lt;=K14),J14-BO14,IF(AND(BM14=1,BL14&gt;0,J14&gt;K14),K14-BO14,0))</f>
        <v>0</v>
      </c>
      <c r="BQ14" s="160"/>
    </row>
    <row r="15" spans="1:69" ht="15" customHeight="1">
      <c r="A15" s="237">
        <f t="shared" ref="A15:A20" si="21">IF(EXACT(D15,$Z$6)=TRUE,$O$6,IF(A14=0,"",IF(A14&lt;$O$7,A14+1,IF(A14=$O$7,""))))</f>
        <v>44683</v>
      </c>
      <c r="B15" s="238"/>
      <c r="C15" s="239"/>
      <c r="D15" s="32" t="s">
        <v>24</v>
      </c>
      <c r="E15" s="176"/>
      <c r="F15" s="176"/>
      <c r="G15" s="177"/>
      <c r="H15" s="176"/>
      <c r="I15" s="176"/>
      <c r="J15" s="178"/>
      <c r="K15" s="178"/>
      <c r="L15" s="179"/>
      <c r="M15" s="176"/>
      <c r="N15" s="176"/>
      <c r="O15" s="110">
        <f>SUM(E15:N15)-J15</f>
        <v>0</v>
      </c>
      <c r="P15" s="187" t="str">
        <f t="shared" ref="P15:P20" si="22">IF(AND(ISNUMBER(AA15),ISNUMBER(X15)),AA15*X15,"")</f>
        <v/>
      </c>
      <c r="Q15" s="182"/>
      <c r="R15" s="50" t="str">
        <f t="shared" ref="R15:R20" si="23">IF(AND(ISNUMBER(AB15),ISNUMBER(X15)),AB15*X15,"")</f>
        <v/>
      </c>
      <c r="S15" s="52"/>
      <c r="T15" s="52"/>
      <c r="U15" s="149">
        <f>IF(BJ15&gt;0,BJ15,BN15)</f>
        <v>0</v>
      </c>
      <c r="V15" s="150">
        <f t="shared" ref="V15:V20" si="24">IF(BK15&gt;0,BK15,0)</f>
        <v>0</v>
      </c>
      <c r="W15" s="50"/>
      <c r="X15" s="49">
        <f>IF(ISNA(INDEX('Conversion Factors'!$B$6:$B$371,MATCH('May 1 - May 15'!$Z$14:$Z$20,'Conversion Factors'!$A$6:$A$371,0))),"",INDEX('Conversion Factors'!$B$6:$B$371,MATCH('May 1 - May 15'!$Z$14:$Z$20,'Conversion Factors'!$A$6:$A$371,0)))</f>
        <v>8.6669999999999998</v>
      </c>
      <c r="Z15" s="18">
        <f t="shared" si="0"/>
        <v>44683</v>
      </c>
      <c r="AA15" s="57" t="str">
        <f t="shared" si="1"/>
        <v/>
      </c>
      <c r="AB15" s="57" t="str">
        <f t="shared" si="2"/>
        <v/>
      </c>
      <c r="AH15" s="71">
        <f t="shared" ref="AH15:AH20" si="25">E15+AH14</f>
        <v>0</v>
      </c>
      <c r="AI15" s="68">
        <f>IF(AH15&gt;$AI$12,AH15-($AI$12+AI14),0)</f>
        <v>0</v>
      </c>
      <c r="AJ15" s="145" t="b">
        <f t="shared" ref="AJ15:AJ20" si="26">IF(AND(AZ15&gt;0,AZ15),IF(BA15&gt;0,BA15,IF(BB15&gt;0,BB15,IF(BC15&gt;0,BC15,IF(BF15&gt;0,BF15,"")))))</f>
        <v>0</v>
      </c>
      <c r="AK15" s="151" t="b">
        <f t="shared" ref="AK15:AK20" si="27">IF(AND(AO15&gt;0,AO15),IF(AP15&gt;0,AP15,IF(AQ15&gt;0,AQ15,IF(AR15&gt;0,AR15,IF(AU15&gt;0,AU15,0)))))</f>
        <v>0</v>
      </c>
      <c r="AM15" s="147">
        <f t="shared" si="3"/>
        <v>0</v>
      </c>
      <c r="AO15" s="162">
        <f t="shared" si="4"/>
        <v>0</v>
      </c>
      <c r="AP15" s="162">
        <f t="shared" si="5"/>
        <v>0</v>
      </c>
      <c r="AQ15" s="153">
        <f t="shared" si="6"/>
        <v>0</v>
      </c>
      <c r="AR15" s="162">
        <f t="shared" si="7"/>
        <v>0</v>
      </c>
      <c r="AS15" s="154">
        <f t="shared" si="8"/>
        <v>0</v>
      </c>
      <c r="AT15" s="154">
        <f t="shared" ref="AT15:AT17" si="28">IF(AND(AH14&lt;=40),40-AH14,0)</f>
        <v>40</v>
      </c>
      <c r="AU15" s="155">
        <f t="shared" ref="AU15:AU20" si="29">AS15</f>
        <v>0</v>
      </c>
      <c r="AV15" s="156">
        <f t="shared" si="9"/>
        <v>0</v>
      </c>
      <c r="AW15" s="157">
        <f t="shared" ref="AW15:AW20" si="30">AV15</f>
        <v>0</v>
      </c>
      <c r="AY15" s="157">
        <f t="shared" si="10"/>
        <v>0</v>
      </c>
      <c r="AZ15" s="152">
        <f t="shared" si="11"/>
        <v>0</v>
      </c>
      <c r="BA15" s="152">
        <f t="shared" si="12"/>
        <v>0</v>
      </c>
      <c r="BB15" s="158">
        <f t="shared" si="13"/>
        <v>0</v>
      </c>
      <c r="BC15" s="152">
        <f t="shared" si="14"/>
        <v>0</v>
      </c>
      <c r="BD15" s="154">
        <f t="shared" si="15"/>
        <v>0</v>
      </c>
      <c r="BE15" s="154">
        <f>IF(AND(AH14&lt;=40),40-AH14,0)</f>
        <v>40</v>
      </c>
      <c r="BF15" s="159">
        <f t="shared" ref="BF15:BF20" si="31">BD15</f>
        <v>0</v>
      </c>
      <c r="BG15" s="160"/>
      <c r="BH15" s="160">
        <f>IF(AND(G15&gt;0,E15&gt;0),1,0)</f>
        <v>0</v>
      </c>
      <c r="BI15" s="161">
        <f t="shared" si="16"/>
        <v>40</v>
      </c>
      <c r="BJ15" s="161">
        <f t="shared" si="17"/>
        <v>0</v>
      </c>
      <c r="BK15" s="161">
        <f t="shared" si="18"/>
        <v>0</v>
      </c>
      <c r="BL15" s="161">
        <f>SUM(E14:E15)</f>
        <v>0</v>
      </c>
      <c r="BM15" s="160">
        <f t="shared" ref="BM15:BM20" si="32">IF(AND(K15&gt;0,E15&gt;0),1,0)</f>
        <v>0</v>
      </c>
      <c r="BN15" s="161">
        <f>IF(AND(BM15=1,J15&gt;8),K15,(IF(AND(BM15=1,J15&gt;0),J15,0)))</f>
        <v>0</v>
      </c>
      <c r="BO15" s="161">
        <f t="shared" si="19"/>
        <v>0</v>
      </c>
      <c r="BP15" s="161">
        <f t="shared" si="20"/>
        <v>0</v>
      </c>
      <c r="BQ15" s="160"/>
    </row>
    <row r="16" spans="1:69" ht="15" customHeight="1">
      <c r="A16" s="237">
        <f t="shared" si="21"/>
        <v>44684</v>
      </c>
      <c r="B16" s="238"/>
      <c r="C16" s="239"/>
      <c r="D16" s="32" t="s">
        <v>25</v>
      </c>
      <c r="E16" s="176"/>
      <c r="F16" s="176"/>
      <c r="G16" s="177"/>
      <c r="H16" s="176"/>
      <c r="I16" s="176"/>
      <c r="J16" s="178"/>
      <c r="K16" s="178"/>
      <c r="L16" s="179"/>
      <c r="M16" s="176"/>
      <c r="N16" s="176"/>
      <c r="O16" s="110">
        <f t="shared" ref="O16:O19" si="33">SUM(E16:N16)-J16</f>
        <v>0</v>
      </c>
      <c r="P16" s="187" t="str">
        <f t="shared" si="22"/>
        <v/>
      </c>
      <c r="Q16" s="182"/>
      <c r="R16" s="50" t="str">
        <f t="shared" si="23"/>
        <v/>
      </c>
      <c r="S16" s="52"/>
      <c r="T16" s="52"/>
      <c r="U16" s="149">
        <f t="shared" ref="U16:U44" si="34">IF(BJ16&gt;0,BJ16,BN16)</f>
        <v>0</v>
      </c>
      <c r="V16" s="150">
        <f t="shared" si="24"/>
        <v>0</v>
      </c>
      <c r="W16" s="50"/>
      <c r="X16" s="49">
        <f>IF(ISNA(INDEX('Conversion Factors'!$B$6:$B$371,MATCH('May 1 - May 15'!$Z$14:$Z$20,'Conversion Factors'!$A$6:$A$371,0))),"",INDEX('Conversion Factors'!$B$6:$B$371,MATCH('May 1 - May 15'!$Z$14:$Z$20,'Conversion Factors'!$A$6:$A$371,0)))</f>
        <v>8.6669999999999998</v>
      </c>
      <c r="Z16" s="18">
        <f t="shared" si="0"/>
        <v>44684</v>
      </c>
      <c r="AA16" s="57" t="str">
        <f t="shared" si="1"/>
        <v/>
      </c>
      <c r="AB16" s="57" t="str">
        <f t="shared" si="2"/>
        <v/>
      </c>
      <c r="AG16" s="1"/>
      <c r="AH16" s="71">
        <f t="shared" si="25"/>
        <v>0</v>
      </c>
      <c r="AI16" s="68">
        <f>IF(AH16&gt;$AI$12,AH16-($AI$12+AI15+AI14),0)</f>
        <v>0</v>
      </c>
      <c r="AJ16" s="145" t="b">
        <f t="shared" si="26"/>
        <v>0</v>
      </c>
      <c r="AK16" s="151" t="b">
        <f t="shared" si="27"/>
        <v>0</v>
      </c>
      <c r="AM16" s="147">
        <f t="shared" si="3"/>
        <v>0</v>
      </c>
      <c r="AO16" s="162">
        <f t="shared" si="4"/>
        <v>0</v>
      </c>
      <c r="AP16" s="162">
        <f t="shared" si="5"/>
        <v>0</v>
      </c>
      <c r="AQ16" s="153">
        <f t="shared" si="6"/>
        <v>0</v>
      </c>
      <c r="AR16" s="162">
        <f t="shared" si="7"/>
        <v>0</v>
      </c>
      <c r="AS16" s="154">
        <f t="shared" si="8"/>
        <v>0</v>
      </c>
      <c r="AT16" s="154">
        <f t="shared" si="28"/>
        <v>40</v>
      </c>
      <c r="AU16" s="155">
        <f t="shared" si="29"/>
        <v>0</v>
      </c>
      <c r="AV16" s="156">
        <f t="shared" si="9"/>
        <v>0</v>
      </c>
      <c r="AW16" s="157">
        <f t="shared" si="30"/>
        <v>0</v>
      </c>
      <c r="AY16" s="157">
        <f t="shared" si="10"/>
        <v>0</v>
      </c>
      <c r="AZ16" s="152">
        <f t="shared" si="11"/>
        <v>0</v>
      </c>
      <c r="BA16" s="152">
        <f t="shared" si="12"/>
        <v>0</v>
      </c>
      <c r="BB16" s="158">
        <f t="shared" si="13"/>
        <v>0</v>
      </c>
      <c r="BC16" s="152">
        <f t="shared" si="14"/>
        <v>0</v>
      </c>
      <c r="BD16" s="154">
        <f t="shared" si="15"/>
        <v>0</v>
      </c>
      <c r="BE16" s="154">
        <f t="shared" ref="BE16:BE20" si="35">IF(AND(AH15&lt;=40),40-AH15,0)</f>
        <v>40</v>
      </c>
      <c r="BF16" s="159">
        <f t="shared" si="31"/>
        <v>0</v>
      </c>
      <c r="BG16" s="160"/>
      <c r="BH16" s="160">
        <f t="shared" ref="BH16:BH20" si="36">IF(AND(G16&gt;0,E16&gt;0),1,0)</f>
        <v>0</v>
      </c>
      <c r="BI16" s="161">
        <f t="shared" si="16"/>
        <v>40</v>
      </c>
      <c r="BJ16" s="161">
        <f t="shared" si="17"/>
        <v>0</v>
      </c>
      <c r="BK16" s="161">
        <f t="shared" si="18"/>
        <v>0</v>
      </c>
      <c r="BL16" s="161">
        <f>SUM(E14:E16)</f>
        <v>0</v>
      </c>
      <c r="BM16" s="160">
        <f t="shared" si="32"/>
        <v>0</v>
      </c>
      <c r="BN16" s="161">
        <f>IF(AND(BM16=1,J16&gt;8),K16,(IF(AND(BM16=1,J16&gt;0),J16,0)))</f>
        <v>0</v>
      </c>
      <c r="BO16" s="161">
        <f>IF(AND(BM16=1,40-BL15&gt;0,40-BL15&lt;8),40-BL15,IF(AND(J16&lt;K16),J16,K16))</f>
        <v>0</v>
      </c>
      <c r="BP16" s="161">
        <f t="shared" si="20"/>
        <v>0</v>
      </c>
      <c r="BQ16" s="160"/>
    </row>
    <row r="17" spans="1:69" ht="15" customHeight="1">
      <c r="A17" s="237">
        <f t="shared" si="21"/>
        <v>44685</v>
      </c>
      <c r="B17" s="238"/>
      <c r="C17" s="239"/>
      <c r="D17" s="32" t="s">
        <v>26</v>
      </c>
      <c r="E17" s="176"/>
      <c r="F17" s="176"/>
      <c r="G17" s="177"/>
      <c r="H17" s="176"/>
      <c r="I17" s="176"/>
      <c r="J17" s="178"/>
      <c r="K17" s="178"/>
      <c r="L17" s="179"/>
      <c r="M17" s="176"/>
      <c r="N17" s="176"/>
      <c r="O17" s="110">
        <f t="shared" si="33"/>
        <v>0</v>
      </c>
      <c r="P17" s="187" t="str">
        <f t="shared" si="22"/>
        <v/>
      </c>
      <c r="Q17" s="182"/>
      <c r="R17" s="50" t="str">
        <f t="shared" si="23"/>
        <v/>
      </c>
      <c r="S17" s="52"/>
      <c r="T17" s="52"/>
      <c r="U17" s="149">
        <f t="shared" si="34"/>
        <v>0</v>
      </c>
      <c r="V17" s="150">
        <f t="shared" si="24"/>
        <v>0</v>
      </c>
      <c r="W17" s="50"/>
      <c r="X17" s="49">
        <f>IF(ISNA(INDEX('Conversion Factors'!$B$6:$B$371,MATCH('May 1 - May 15'!$Z$14:$Z$20,'Conversion Factors'!$A$6:$A$371,0))),"",INDEX('Conversion Factors'!$B$6:$B$371,MATCH('May 1 - May 15'!$Z$14:$Z$20,'Conversion Factors'!$A$6:$A$371,0)))</f>
        <v>8.6669999999999998</v>
      </c>
      <c r="Z17" s="18">
        <f t="shared" si="0"/>
        <v>44685</v>
      </c>
      <c r="AA17" s="57" t="str">
        <f t="shared" si="1"/>
        <v/>
      </c>
      <c r="AB17" s="57" t="str">
        <f t="shared" si="2"/>
        <v/>
      </c>
      <c r="AG17" s="1"/>
      <c r="AH17" s="71">
        <f t="shared" si="25"/>
        <v>0</v>
      </c>
      <c r="AI17" s="68">
        <f>IF(AH17&gt;$AI$12,AH17-($AI$12+AI16+AI15+AI14),0)</f>
        <v>0</v>
      </c>
      <c r="AJ17" s="145" t="b">
        <f t="shared" si="26"/>
        <v>0</v>
      </c>
      <c r="AK17" s="151" t="b">
        <f t="shared" si="27"/>
        <v>0</v>
      </c>
      <c r="AM17" s="147">
        <f t="shared" si="3"/>
        <v>0</v>
      </c>
      <c r="AO17" s="162">
        <f t="shared" si="4"/>
        <v>0</v>
      </c>
      <c r="AP17" s="162">
        <f t="shared" si="5"/>
        <v>0</v>
      </c>
      <c r="AQ17" s="153">
        <f t="shared" si="6"/>
        <v>0</v>
      </c>
      <c r="AR17" s="162">
        <f t="shared" si="7"/>
        <v>0</v>
      </c>
      <c r="AS17" s="154">
        <f t="shared" si="8"/>
        <v>0</v>
      </c>
      <c r="AT17" s="154">
        <f t="shared" si="28"/>
        <v>40</v>
      </c>
      <c r="AU17" s="155">
        <f t="shared" si="29"/>
        <v>0</v>
      </c>
      <c r="AV17" s="156">
        <f t="shared" si="9"/>
        <v>0</v>
      </c>
      <c r="AW17" s="157">
        <f t="shared" si="30"/>
        <v>0</v>
      </c>
      <c r="AY17" s="157">
        <f t="shared" si="10"/>
        <v>0</v>
      </c>
      <c r="AZ17" s="152">
        <f t="shared" si="11"/>
        <v>0</v>
      </c>
      <c r="BA17" s="152">
        <f t="shared" si="12"/>
        <v>0</v>
      </c>
      <c r="BB17" s="158">
        <f t="shared" si="13"/>
        <v>0</v>
      </c>
      <c r="BC17" s="152">
        <f t="shared" si="14"/>
        <v>0</v>
      </c>
      <c r="BD17" s="154">
        <f t="shared" si="15"/>
        <v>0</v>
      </c>
      <c r="BE17" s="154">
        <f t="shared" si="35"/>
        <v>40</v>
      </c>
      <c r="BF17" s="159">
        <f t="shared" si="31"/>
        <v>0</v>
      </c>
      <c r="BG17" s="160"/>
      <c r="BH17" s="160">
        <f t="shared" si="36"/>
        <v>0</v>
      </c>
      <c r="BI17" s="161">
        <f t="shared" si="16"/>
        <v>40</v>
      </c>
      <c r="BJ17" s="161">
        <f t="shared" si="17"/>
        <v>0</v>
      </c>
      <c r="BK17" s="161">
        <f t="shared" si="18"/>
        <v>0</v>
      </c>
      <c r="BL17" s="161">
        <f>SUM(E14:E17)</f>
        <v>0</v>
      </c>
      <c r="BM17" s="160">
        <f t="shared" si="32"/>
        <v>0</v>
      </c>
      <c r="BN17" s="161">
        <f t="shared" ref="BN17:BN20" si="37">IF(AND(BM17=1,J17&gt;8),K17,(IF(AND(BM17=1,J17&gt;0),J17,0)))</f>
        <v>0</v>
      </c>
      <c r="BO17" s="161">
        <f t="shared" ref="BO17:BO20" si="38">IF(AND(BM17=1,40-BL16&gt;0,40-BL16&lt;8),40-BL16,IF(AND(J17&lt;K17),J17,K17))</f>
        <v>0</v>
      </c>
      <c r="BP17" s="161">
        <f t="shared" si="20"/>
        <v>0</v>
      </c>
      <c r="BQ17" s="160"/>
    </row>
    <row r="18" spans="1:69" ht="15" customHeight="1">
      <c r="A18" s="237">
        <f t="shared" si="21"/>
        <v>44686</v>
      </c>
      <c r="B18" s="238"/>
      <c r="C18" s="239"/>
      <c r="D18" s="32" t="s">
        <v>27</v>
      </c>
      <c r="E18" s="176"/>
      <c r="F18" s="176"/>
      <c r="G18" s="177"/>
      <c r="H18" s="176"/>
      <c r="I18" s="176"/>
      <c r="J18" s="178"/>
      <c r="K18" s="178"/>
      <c r="L18" s="179"/>
      <c r="M18" s="176"/>
      <c r="N18" s="176"/>
      <c r="O18" s="110">
        <f t="shared" si="33"/>
        <v>0</v>
      </c>
      <c r="P18" s="187" t="str">
        <f t="shared" si="22"/>
        <v/>
      </c>
      <c r="Q18" s="182"/>
      <c r="R18" s="50" t="str">
        <f t="shared" si="23"/>
        <v/>
      </c>
      <c r="S18" s="52"/>
      <c r="T18" s="52"/>
      <c r="U18" s="149">
        <f t="shared" si="34"/>
        <v>0</v>
      </c>
      <c r="V18" s="150">
        <f t="shared" si="24"/>
        <v>0</v>
      </c>
      <c r="W18" s="50"/>
      <c r="X18" s="49">
        <f>IF(ISNA(INDEX('Conversion Factors'!$B$6:$B$371,MATCH('May 1 - May 15'!$Z$14:$Z$20,'Conversion Factors'!$A$6:$A$371,0))),"",INDEX('Conversion Factors'!$B$6:$B$371,MATCH('May 1 - May 15'!$Z$14:$Z$20,'Conversion Factors'!$A$6:$A$371,0)))</f>
        <v>8.6669999999999998</v>
      </c>
      <c r="Z18" s="18">
        <f t="shared" si="0"/>
        <v>44686</v>
      </c>
      <c r="AA18" s="57" t="str">
        <f t="shared" si="1"/>
        <v/>
      </c>
      <c r="AB18" s="57" t="str">
        <f t="shared" si="2"/>
        <v/>
      </c>
      <c r="AH18" s="71">
        <f t="shared" si="25"/>
        <v>0</v>
      </c>
      <c r="AI18" s="68">
        <f>IF(AH18&gt;$AI$12,AH18-($AI$12+AI17+AI16+AI15+AI14),0)</f>
        <v>0</v>
      </c>
      <c r="AJ18" s="145" t="b">
        <f t="shared" si="26"/>
        <v>0</v>
      </c>
      <c r="AK18" s="151" t="b">
        <f t="shared" si="27"/>
        <v>0</v>
      </c>
      <c r="AM18" s="147">
        <f t="shared" si="3"/>
        <v>0</v>
      </c>
      <c r="AO18" s="162">
        <f t="shared" si="4"/>
        <v>0</v>
      </c>
      <c r="AP18" s="162">
        <f t="shared" si="5"/>
        <v>0</v>
      </c>
      <c r="AQ18" s="153">
        <f t="shared" si="6"/>
        <v>0</v>
      </c>
      <c r="AR18" s="162">
        <f t="shared" si="7"/>
        <v>0</v>
      </c>
      <c r="AS18" s="154">
        <f t="shared" si="8"/>
        <v>0</v>
      </c>
      <c r="AT18" s="154">
        <f>IF(AND(AH17&lt;=40),40-AH17,0)</f>
        <v>40</v>
      </c>
      <c r="AU18" s="155">
        <f t="shared" si="29"/>
        <v>0</v>
      </c>
      <c r="AV18" s="156">
        <f t="shared" si="9"/>
        <v>0</v>
      </c>
      <c r="AW18" s="157">
        <f t="shared" si="30"/>
        <v>0</v>
      </c>
      <c r="AY18" s="157">
        <f t="shared" si="10"/>
        <v>0</v>
      </c>
      <c r="AZ18" s="152">
        <f t="shared" si="11"/>
        <v>0</v>
      </c>
      <c r="BA18" s="152">
        <f t="shared" si="12"/>
        <v>0</v>
      </c>
      <c r="BB18" s="158">
        <f t="shared" si="13"/>
        <v>0</v>
      </c>
      <c r="BC18" s="152">
        <f t="shared" si="14"/>
        <v>0</v>
      </c>
      <c r="BD18" s="154">
        <f t="shared" si="15"/>
        <v>0</v>
      </c>
      <c r="BE18" s="154">
        <f t="shared" si="35"/>
        <v>40</v>
      </c>
      <c r="BF18" s="159">
        <f t="shared" si="31"/>
        <v>0</v>
      </c>
      <c r="BG18" s="160"/>
      <c r="BH18" s="160">
        <f t="shared" si="36"/>
        <v>0</v>
      </c>
      <c r="BI18" s="161">
        <f t="shared" si="16"/>
        <v>40</v>
      </c>
      <c r="BJ18" s="161">
        <f t="shared" si="17"/>
        <v>0</v>
      </c>
      <c r="BK18" s="161">
        <f t="shared" si="18"/>
        <v>0</v>
      </c>
      <c r="BL18" s="161">
        <f>SUM(E14:E18)</f>
        <v>0</v>
      </c>
      <c r="BM18" s="160">
        <f t="shared" si="32"/>
        <v>0</v>
      </c>
      <c r="BN18" s="161">
        <f t="shared" si="37"/>
        <v>0</v>
      </c>
      <c r="BO18" s="161">
        <f t="shared" si="38"/>
        <v>0</v>
      </c>
      <c r="BP18" s="161">
        <f t="shared" si="20"/>
        <v>0</v>
      </c>
      <c r="BQ18" s="160"/>
    </row>
    <row r="19" spans="1:69" ht="15" customHeight="1">
      <c r="A19" s="237">
        <f t="shared" si="21"/>
        <v>44687</v>
      </c>
      <c r="B19" s="238"/>
      <c r="C19" s="239"/>
      <c r="D19" s="32" t="s">
        <v>28</v>
      </c>
      <c r="E19" s="176"/>
      <c r="F19" s="176"/>
      <c r="G19" s="177"/>
      <c r="H19" s="176"/>
      <c r="I19" s="176"/>
      <c r="J19" s="178"/>
      <c r="K19" s="178"/>
      <c r="L19" s="179"/>
      <c r="M19" s="176"/>
      <c r="N19" s="176"/>
      <c r="O19" s="110">
        <f t="shared" si="33"/>
        <v>0</v>
      </c>
      <c r="P19" s="50" t="str">
        <f t="shared" si="22"/>
        <v/>
      </c>
      <c r="Q19" s="51"/>
      <c r="R19" s="50" t="str">
        <f t="shared" si="23"/>
        <v/>
      </c>
      <c r="S19" s="52"/>
      <c r="T19" s="52"/>
      <c r="U19" s="149">
        <f t="shared" si="34"/>
        <v>0</v>
      </c>
      <c r="V19" s="150">
        <f t="shared" si="24"/>
        <v>0</v>
      </c>
      <c r="W19" s="50"/>
      <c r="X19" s="49">
        <f>IF(ISNA(INDEX('Conversion Factors'!$B$6:$B$371,MATCH('May 1 - May 15'!$Z$14:$Z$20,'Conversion Factors'!$A$6:$A$371,0))),"",INDEX('Conversion Factors'!$B$6:$B$371,MATCH('May 1 - May 15'!$Z$14:$Z$20,'Conversion Factors'!$A$6:$A$371,0)))</f>
        <v>8.6669999999999998</v>
      </c>
      <c r="Z19" s="18">
        <f t="shared" si="0"/>
        <v>44687</v>
      </c>
      <c r="AA19" s="57" t="str">
        <f t="shared" si="1"/>
        <v/>
      </c>
      <c r="AB19" s="57" t="str">
        <f t="shared" si="2"/>
        <v/>
      </c>
      <c r="AH19" s="71">
        <f t="shared" si="25"/>
        <v>0</v>
      </c>
      <c r="AI19" s="68">
        <f>IF(AH19&gt;$AI$12,AH19-($AI$12+AI18+AI17+AI16+AI15+AI14),0)</f>
        <v>0</v>
      </c>
      <c r="AJ19" s="145" t="b">
        <f t="shared" si="26"/>
        <v>0</v>
      </c>
      <c r="AK19" s="151" t="b">
        <f t="shared" si="27"/>
        <v>0</v>
      </c>
      <c r="AM19" s="147">
        <f t="shared" si="3"/>
        <v>0</v>
      </c>
      <c r="AO19" s="162">
        <f t="shared" si="4"/>
        <v>0</v>
      </c>
      <c r="AP19" s="162">
        <f t="shared" si="5"/>
        <v>0</v>
      </c>
      <c r="AQ19" s="153">
        <f t="shared" si="6"/>
        <v>0</v>
      </c>
      <c r="AR19" s="162">
        <f t="shared" si="7"/>
        <v>0</v>
      </c>
      <c r="AS19" s="154">
        <f t="shared" si="8"/>
        <v>0</v>
      </c>
      <c r="AT19" s="154">
        <f t="shared" ref="AT19:AT20" si="39">IF(AND(AH18&lt;=40),40-AH18,0)</f>
        <v>40</v>
      </c>
      <c r="AU19" s="155">
        <f t="shared" si="29"/>
        <v>0</v>
      </c>
      <c r="AV19" s="156">
        <f t="shared" si="9"/>
        <v>0</v>
      </c>
      <c r="AW19" s="157">
        <f t="shared" si="30"/>
        <v>0</v>
      </c>
      <c r="AY19" s="157">
        <f t="shared" si="10"/>
        <v>0</v>
      </c>
      <c r="AZ19" s="152">
        <f t="shared" si="11"/>
        <v>0</v>
      </c>
      <c r="BA19" s="152">
        <f t="shared" si="12"/>
        <v>0</v>
      </c>
      <c r="BB19" s="158">
        <f t="shared" si="13"/>
        <v>0</v>
      </c>
      <c r="BC19" s="152">
        <f t="shared" si="14"/>
        <v>0</v>
      </c>
      <c r="BD19" s="154">
        <f t="shared" si="15"/>
        <v>0</v>
      </c>
      <c r="BE19" s="154">
        <f t="shared" si="35"/>
        <v>40</v>
      </c>
      <c r="BF19" s="159">
        <f t="shared" si="31"/>
        <v>0</v>
      </c>
      <c r="BG19" s="160"/>
      <c r="BH19" s="160">
        <f t="shared" si="36"/>
        <v>0</v>
      </c>
      <c r="BI19" s="161">
        <f t="shared" si="16"/>
        <v>40</v>
      </c>
      <c r="BJ19" s="161">
        <f t="shared" si="17"/>
        <v>0</v>
      </c>
      <c r="BK19" s="161">
        <f t="shared" si="18"/>
        <v>0</v>
      </c>
      <c r="BL19" s="161">
        <f>SUM(E14:E19)</f>
        <v>0</v>
      </c>
      <c r="BM19" s="160">
        <f t="shared" si="32"/>
        <v>0</v>
      </c>
      <c r="BN19" s="161">
        <f t="shared" si="37"/>
        <v>0</v>
      </c>
      <c r="BO19" s="161">
        <f t="shared" si="38"/>
        <v>0</v>
      </c>
      <c r="BP19" s="161">
        <f>IF(AND(BM19=1,BL19&gt;40,J19&lt;=K19),J19-BO19,IF(AND(BM19=1,BL19&gt;0,J19&gt;K19),K19-BO19,0))</f>
        <v>0</v>
      </c>
      <c r="BQ19" s="160"/>
    </row>
    <row r="20" spans="1:69" ht="15" customHeight="1" thickBot="1">
      <c r="A20" s="237">
        <f t="shared" si="21"/>
        <v>44688</v>
      </c>
      <c r="B20" s="238"/>
      <c r="C20" s="239"/>
      <c r="D20" s="32" t="s">
        <v>29</v>
      </c>
      <c r="E20" s="176"/>
      <c r="F20" s="176"/>
      <c r="G20" s="177"/>
      <c r="H20" s="176"/>
      <c r="I20" s="176"/>
      <c r="J20" s="178"/>
      <c r="K20" s="178"/>
      <c r="L20" s="179"/>
      <c r="M20" s="176"/>
      <c r="N20" s="176"/>
      <c r="O20" s="110">
        <f>SUM(E20:N20)-J20</f>
        <v>0</v>
      </c>
      <c r="P20" s="50" t="str">
        <f t="shared" si="22"/>
        <v/>
      </c>
      <c r="Q20" s="52"/>
      <c r="R20" s="50" t="str">
        <f t="shared" si="23"/>
        <v/>
      </c>
      <c r="S20" s="52"/>
      <c r="T20" s="52"/>
      <c r="U20" s="149">
        <f t="shared" si="34"/>
        <v>0</v>
      </c>
      <c r="V20" s="150">
        <f t="shared" si="24"/>
        <v>0</v>
      </c>
      <c r="W20" s="50"/>
      <c r="X20" s="49">
        <f>IF(ISNA(INDEX('Conversion Factors'!$B$6:$B$371,MATCH('May 1 - May 15'!$Z$14:$Z$20,'Conversion Factors'!$A$6:$A$371,0))),"",INDEX('Conversion Factors'!$B$6:$B$371,MATCH('May 1 - May 15'!$Z$14:$Z$20,'Conversion Factors'!$A$6:$A$371,0)))</f>
        <v>8.6669999999999998</v>
      </c>
      <c r="Z20" s="18">
        <f t="shared" si="0"/>
        <v>44688</v>
      </c>
      <c r="AA20" s="57" t="str">
        <f t="shared" si="1"/>
        <v/>
      </c>
      <c r="AB20" s="57" t="str">
        <f t="shared" si="2"/>
        <v/>
      </c>
      <c r="AH20" s="71">
        <f t="shared" si="25"/>
        <v>0</v>
      </c>
      <c r="AI20" s="68">
        <f>IF(AH20&gt;$AI$12,AH20-($AI$12+AI19+AI18+AI17+AI16+AI15+AI14),0)</f>
        <v>0</v>
      </c>
      <c r="AJ20" s="145" t="b">
        <f t="shared" si="26"/>
        <v>0</v>
      </c>
      <c r="AK20" s="151" t="b">
        <f t="shared" si="27"/>
        <v>0</v>
      </c>
      <c r="AM20" s="147">
        <f t="shared" si="3"/>
        <v>0</v>
      </c>
      <c r="AO20" s="163">
        <f t="shared" si="4"/>
        <v>0</v>
      </c>
      <c r="AP20" s="163">
        <f t="shared" si="5"/>
        <v>0</v>
      </c>
      <c r="AQ20" s="153">
        <f t="shared" si="6"/>
        <v>0</v>
      </c>
      <c r="AR20" s="163">
        <f t="shared" si="7"/>
        <v>0</v>
      </c>
      <c r="AS20" s="154">
        <f t="shared" si="8"/>
        <v>0</v>
      </c>
      <c r="AT20" s="154">
        <f t="shared" si="39"/>
        <v>40</v>
      </c>
      <c r="AU20" s="155">
        <f t="shared" si="29"/>
        <v>0</v>
      </c>
      <c r="AV20" s="156">
        <f t="shared" si="9"/>
        <v>0</v>
      </c>
      <c r="AW20" s="157">
        <f t="shared" si="30"/>
        <v>0</v>
      </c>
      <c r="AY20" s="157">
        <f t="shared" si="10"/>
        <v>0</v>
      </c>
      <c r="AZ20" s="152">
        <f t="shared" si="11"/>
        <v>0</v>
      </c>
      <c r="BA20" s="152">
        <f t="shared" si="12"/>
        <v>0</v>
      </c>
      <c r="BB20" s="158">
        <f t="shared" si="13"/>
        <v>0</v>
      </c>
      <c r="BC20" s="152">
        <f t="shared" si="14"/>
        <v>0</v>
      </c>
      <c r="BD20" s="154">
        <f t="shared" si="15"/>
        <v>0</v>
      </c>
      <c r="BE20" s="154">
        <f t="shared" si="35"/>
        <v>40</v>
      </c>
      <c r="BF20" s="159">
        <f t="shared" si="31"/>
        <v>0</v>
      </c>
      <c r="BG20" s="160"/>
      <c r="BH20" s="160">
        <f t="shared" si="36"/>
        <v>0</v>
      </c>
      <c r="BI20" s="161">
        <f t="shared" si="16"/>
        <v>40</v>
      </c>
      <c r="BJ20" s="161">
        <f t="shared" si="17"/>
        <v>0</v>
      </c>
      <c r="BK20" s="161">
        <f t="shared" si="18"/>
        <v>0</v>
      </c>
      <c r="BL20" s="161">
        <f>SUM(E14:E20)</f>
        <v>0</v>
      </c>
      <c r="BM20" s="160">
        <f t="shared" si="32"/>
        <v>0</v>
      </c>
      <c r="BN20" s="161">
        <f t="shared" si="37"/>
        <v>0</v>
      </c>
      <c r="BO20" s="161">
        <f t="shared" si="38"/>
        <v>0</v>
      </c>
      <c r="BP20" s="161">
        <f>IF(AND(BM20=1,BL20&gt;40,J20&lt;=K20),J20-BO20,IF(AND(BM20=1,BL20&gt;0,J20&gt;K20),K20-BO20,0))</f>
        <v>0</v>
      </c>
      <c r="BQ20" s="160"/>
    </row>
    <row r="21" spans="1:69" s="6" customFormat="1" ht="15" customHeight="1" thickTop="1" thickBot="1">
      <c r="A21" s="228" t="s">
        <v>79</v>
      </c>
      <c r="B21" s="229"/>
      <c r="C21" s="230"/>
      <c r="D21" s="208"/>
      <c r="E21" s="34">
        <f>SUM(E14:E20)</f>
        <v>0</v>
      </c>
      <c r="F21" s="34">
        <f t="shared" ref="F21:N21" si="40">SUM(F14:F20)</f>
        <v>0</v>
      </c>
      <c r="G21" s="76">
        <f t="shared" si="40"/>
        <v>0</v>
      </c>
      <c r="H21" s="34">
        <f t="shared" si="40"/>
        <v>0</v>
      </c>
      <c r="I21" s="34">
        <f t="shared" si="40"/>
        <v>0</v>
      </c>
      <c r="J21" s="74"/>
      <c r="K21" s="74">
        <f t="shared" si="40"/>
        <v>0</v>
      </c>
      <c r="L21" s="34">
        <f t="shared" si="40"/>
        <v>0</v>
      </c>
      <c r="M21" s="34">
        <f t="shared" si="40"/>
        <v>0</v>
      </c>
      <c r="N21" s="34">
        <f t="shared" si="40"/>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44689</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4"/>
        <v>0</v>
      </c>
      <c r="V22" s="150">
        <f>IF(BK22&gt;0,BK22,0)</f>
        <v>0</v>
      </c>
      <c r="W22" s="50"/>
      <c r="X22" s="49">
        <f>IF(ISNA(INDEX('Conversion Factors'!$B$6:$B$371,MATCH('May 1 - May 15'!$Z$22:$Z$28,'Conversion Factors'!$A$6:$A$371,0))),"",INDEX('Conversion Factors'!$B$6:$B$371,MATCH('May 1 - May 15'!$Z$22:$Z$28,'Conversion Factors'!$A$6:$A$371,0)))</f>
        <v>8.6669999999999998</v>
      </c>
      <c r="Z22" s="17">
        <f t="shared" ref="Z22:Z28" si="41">A22</f>
        <v>44689</v>
      </c>
      <c r="AA22" s="57" t="str">
        <f t="shared" ref="AA22:AA28" si="42">IF(AND(ISNUMBER(N22),ISNUMBER($Z$12)),N22/$Z$12,"")</f>
        <v/>
      </c>
      <c r="AB22" s="57" t="str">
        <f t="shared" ref="AB22:AB28" si="43">IF(AND(ISNUMBER(Q22),ISNUMBER($Z$12)),Q22/$Z$12,"")</f>
        <v/>
      </c>
      <c r="AC22" s="58"/>
      <c r="AD22" s="59"/>
      <c r="AE22" s="58"/>
      <c r="AF22" s="58"/>
      <c r="AG22" s="64"/>
      <c r="AH22" s="71">
        <f t="shared" ref="AH22:AH28" si="44">E22+AH21</f>
        <v>0</v>
      </c>
      <c r="AI22" s="68">
        <f>IF(AH22&gt;$AI$12,AH22-($AI$12+AI21),0)</f>
        <v>0</v>
      </c>
      <c r="AJ22" s="145" t="b">
        <f t="shared" ref="AJ22:AJ28" si="45">IF(AND(AZ22&gt;0,AZ22),IF(BA22&gt;0,BA22,IF(BB22&gt;0,BB22,IF(BC22&gt;0,BC22,IF(BF22&gt;0,BF22,"")))))</f>
        <v>0</v>
      </c>
      <c r="AK22" s="151" t="b">
        <f>IF(AND(AO22&gt;0,AO22),IF(AP22&gt;0,AP22,IF(AQ22&gt;0,AQ22,IF(AR22&gt;0,AR22,IF(AU22&gt;0,AU22,"")))))</f>
        <v>0</v>
      </c>
      <c r="AM22" s="147">
        <f t="shared" ref="AM22:AM28" si="46">J22</f>
        <v>0</v>
      </c>
      <c r="AO22" s="152">
        <f t="shared" ref="AO22:AO28" si="47">IF(G22=0,0,"")</f>
        <v>0</v>
      </c>
      <c r="AP22" s="152">
        <f t="shared" ref="AP22:AP28" si="48">IF(AND(AH22&lt;=40,E22=G22),G22,0)</f>
        <v>0</v>
      </c>
      <c r="AQ22" s="153">
        <f t="shared" ref="AQ22:AQ28" si="49">IF(AND(AH22&lt;=40,E22&gt;=G22,G22&gt;0),O22-E22,0)</f>
        <v>0</v>
      </c>
      <c r="AR22" s="152">
        <f t="shared" ref="AR22:AR28" si="50">IF(AND(AH22&lt;=40,E22&lt;G22),O22-G22,0)</f>
        <v>0</v>
      </c>
      <c r="AS22" s="154">
        <f t="shared" ref="AS22:AS28" si="51">IF(AND(G22=0),G22,IF(AND(G22&gt;0,AI22&gt;0,G22=AT22),AT22,IF(AND(G22&gt;0,AI22&gt;0,G22-AT22),AT22,0)))</f>
        <v>0</v>
      </c>
      <c r="AT22" s="154"/>
      <c r="AU22" s="155">
        <f>AS22</f>
        <v>0</v>
      </c>
      <c r="AV22" s="156">
        <f t="shared" ref="AV22:AV28" si="52">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3">IF(J22=0,0,"")</f>
        <v>0</v>
      </c>
      <c r="BA22" s="152">
        <f t="shared" ref="BA22:BA28" si="54">IF(AND(AH22&lt;=40,E22=J22),J22,0)</f>
        <v>0</v>
      </c>
      <c r="BB22" s="158">
        <f t="shared" ref="BB22:BB28" si="55">IF(AND(AZ22=0),AZ22,IF(AND(AH22&gt;40,E22&gt;=J22),BE22,IF(AND(AH22&lt;=40,E22&gt;J22),J22,0)))</f>
        <v>0</v>
      </c>
      <c r="BC22" s="152">
        <f t="shared" ref="BC22:BC28" si="56">IF(AND(AH22&lt;=40,E22&lt;J22),O22-J22,0)</f>
        <v>0</v>
      </c>
      <c r="BD22" s="154">
        <f t="shared" ref="BD22:BD28" si="57">IF(AND(J22=0),J22,IF(AND(J22&gt;0,AI22&gt;0,J22=BC22),BC22,IF(AND(J22&gt;0,AI22&gt;0,J22-BC22),BC22,0)))</f>
        <v>0</v>
      </c>
      <c r="BE22" s="154"/>
      <c r="BF22" s="159">
        <f>BD22</f>
        <v>0</v>
      </c>
      <c r="BG22" s="160"/>
      <c r="BH22" s="160">
        <f>IF(AND(G22&gt;0,E22&gt;0),1,0)</f>
        <v>0</v>
      </c>
      <c r="BI22" s="161">
        <f t="shared" ref="BI22:BI28" si="58">40-AH22</f>
        <v>40</v>
      </c>
      <c r="BJ22" s="161">
        <f t="shared" ref="BJ22:BJ28" si="59">IF(AND(BH22=1,40-BL21&gt;0,40-BL21&lt;8),40-BL21,IF(AND(E22&lt;G22),E22,G22))</f>
        <v>0</v>
      </c>
      <c r="BK22" s="161">
        <f t="shared" ref="BK22:BK28" si="60">IF(AND(BH22=1,BL22&gt;40,E22&lt;G22),E22-BJ22,(IF(AND(BH22=1,BL22&gt;0,E22&gt;=G22),G22-BJ22,0)))</f>
        <v>0</v>
      </c>
      <c r="BL22" s="161">
        <f>E22</f>
        <v>0</v>
      </c>
      <c r="BM22" s="160">
        <f>IF(AND(K22&gt;0,E22&gt;0),1,0)</f>
        <v>0</v>
      </c>
      <c r="BN22" s="161">
        <f>IF(AND(BM22=1,J22&gt;8),K22,(IF(AND(BM22=1,J22&gt;0),J22,0)))</f>
        <v>0</v>
      </c>
      <c r="BO22" s="161">
        <f t="shared" ref="BO22:BO23" si="61">IF(AND(BM22=1,40-BL21&gt;0,40-BL21&lt;8),40-BL21,IF(AND(J22&lt;K22),J22,K22))</f>
        <v>0</v>
      </c>
      <c r="BP22" s="161">
        <f t="shared" ref="BP22:BP26" si="62">IF(AND(BM22=1,BL22&gt;40,J22&lt;=K22),J22-BO22,IF(AND(BM22=1,BL22&gt;0,J22&gt;K22),K22-BO22,0))</f>
        <v>0</v>
      </c>
      <c r="BQ22" s="160"/>
    </row>
    <row r="23" spans="1:69" ht="15" customHeight="1">
      <c r="A23" s="225">
        <f t="shared" ref="A23:A28" si="63">IF(A22&lt;$O$7,A22+1,IF(A22=$O$7,""))</f>
        <v>44690</v>
      </c>
      <c r="B23" s="226"/>
      <c r="C23" s="227"/>
      <c r="D23" s="32" t="s">
        <v>24</v>
      </c>
      <c r="E23" s="176"/>
      <c r="F23" s="176"/>
      <c r="G23" s="177"/>
      <c r="H23" s="176"/>
      <c r="I23" s="176"/>
      <c r="J23" s="178"/>
      <c r="K23" s="178"/>
      <c r="L23" s="179"/>
      <c r="M23" s="176"/>
      <c r="N23" s="176"/>
      <c r="O23" s="110">
        <f>SUM(E23:N23)-J23</f>
        <v>0</v>
      </c>
      <c r="P23" s="50" t="str">
        <f t="shared" ref="P23:P28" si="64">IF(AND(ISNUMBER(AA23),ISNUMBER(X23)),AA23*X23,"")</f>
        <v/>
      </c>
      <c r="Q23" s="51"/>
      <c r="R23" s="50" t="str">
        <f t="shared" ref="R23:R28" si="65">IF(AND(ISNUMBER(AB23),ISNUMBER(X23)),AB23*X23,"")</f>
        <v/>
      </c>
      <c r="S23" s="52"/>
      <c r="T23" s="52"/>
      <c r="U23" s="149">
        <f t="shared" si="34"/>
        <v>0</v>
      </c>
      <c r="V23" s="150">
        <f t="shared" ref="V23:V28" si="66">IF(BK23&gt;0,BK23,0)</f>
        <v>0</v>
      </c>
      <c r="W23" s="50"/>
      <c r="X23" s="49">
        <f>IF(ISNA(INDEX('Conversion Factors'!$B$6:$B$371,MATCH('May 1 - May 15'!$Z$22:$Z$28,'Conversion Factors'!$A$6:$A$371,0))),"",INDEX('Conversion Factors'!$B$6:$B$371,MATCH('May 1 - May 15'!$Z$22:$Z$28,'Conversion Factors'!$A$6:$A$371,0)))</f>
        <v>8.6669999999999998</v>
      </c>
      <c r="Z23" s="17">
        <f t="shared" si="41"/>
        <v>44690</v>
      </c>
      <c r="AA23" s="57" t="str">
        <f t="shared" si="42"/>
        <v/>
      </c>
      <c r="AB23" s="57" t="str">
        <f t="shared" si="43"/>
        <v/>
      </c>
      <c r="AH23" s="71">
        <f t="shared" si="44"/>
        <v>0</v>
      </c>
      <c r="AI23" s="68">
        <f>IF(AH23&gt;$AI$12,AH23-($AI$12+AI22+AI21),0)</f>
        <v>0</v>
      </c>
      <c r="AJ23" s="145" t="b">
        <f t="shared" si="45"/>
        <v>0</v>
      </c>
      <c r="AK23" s="151" t="b">
        <f t="shared" ref="AK23:AK28" si="67">IF(AND(AO23&gt;0,AO23),IF(AP23&gt;0,AP23,IF(AQ23&gt;0,AQ23,IF(AR23&gt;0,AR23,IF(AU23&gt;0,AU23,0)))))</f>
        <v>0</v>
      </c>
      <c r="AM23" s="147">
        <f t="shared" si="46"/>
        <v>0</v>
      </c>
      <c r="AO23" s="162">
        <f t="shared" si="47"/>
        <v>0</v>
      </c>
      <c r="AP23" s="162">
        <f t="shared" si="48"/>
        <v>0</v>
      </c>
      <c r="AQ23" s="153">
        <f t="shared" si="49"/>
        <v>0</v>
      </c>
      <c r="AR23" s="162">
        <f t="shared" si="50"/>
        <v>0</v>
      </c>
      <c r="AS23" s="154">
        <f t="shared" si="51"/>
        <v>0</v>
      </c>
      <c r="AT23" s="154">
        <f t="shared" ref="AT23:AT25" si="68">IF(AND(AH22&lt;=40),40-AH22,0)</f>
        <v>40</v>
      </c>
      <c r="AU23" s="155">
        <f t="shared" ref="AU23:AU28" si="69">AS23</f>
        <v>0</v>
      </c>
      <c r="AV23" s="156">
        <f t="shared" si="52"/>
        <v>0</v>
      </c>
      <c r="AW23" s="157">
        <f t="shared" ref="AW23:AW28" si="70">AV23</f>
        <v>0</v>
      </c>
      <c r="AY23" s="169">
        <f>IF(AND(J23&gt;0,AI23&gt;0,BB23&lt;=AI23),AI23-BB23,IF(AND(J23&gt;0,AI23&gt;0,BB23&gt;AI23),J23-BB23,0))</f>
        <v>0</v>
      </c>
      <c r="AZ23" s="152">
        <f t="shared" si="53"/>
        <v>0</v>
      </c>
      <c r="BA23" s="152">
        <f t="shared" si="54"/>
        <v>0</v>
      </c>
      <c r="BB23" s="158">
        <f t="shared" si="55"/>
        <v>0</v>
      </c>
      <c r="BC23" s="152">
        <f t="shared" si="56"/>
        <v>0</v>
      </c>
      <c r="BD23" s="154">
        <f t="shared" si="57"/>
        <v>0</v>
      </c>
      <c r="BE23" s="154">
        <f>IF(AND(AH22&lt;=40),40-AH22,0)</f>
        <v>40</v>
      </c>
      <c r="BF23" s="159">
        <f t="shared" ref="BF23:BF28" si="71">BD23</f>
        <v>0</v>
      </c>
      <c r="BG23" s="160"/>
      <c r="BH23" s="160">
        <f>IF(AND(G23&gt;0,E23&gt;0),1,0)</f>
        <v>0</v>
      </c>
      <c r="BI23" s="161">
        <f t="shared" si="58"/>
        <v>40</v>
      </c>
      <c r="BJ23" s="161">
        <f t="shared" si="59"/>
        <v>0</v>
      </c>
      <c r="BK23" s="161">
        <f t="shared" si="60"/>
        <v>0</v>
      </c>
      <c r="BL23" s="161">
        <f>SUM(E22:E23)</f>
        <v>0</v>
      </c>
      <c r="BM23" s="160">
        <f t="shared" ref="BM23:BM28" si="72">IF(AND(K23&gt;0,E23&gt;0),1,0)</f>
        <v>0</v>
      </c>
      <c r="BN23" s="161">
        <f>IF(AND(BM23=1,J23&gt;8),K23,(IF(AND(BM23=1,J23&gt;0),J23,0)))</f>
        <v>0</v>
      </c>
      <c r="BO23" s="161">
        <f t="shared" si="61"/>
        <v>0</v>
      </c>
      <c r="BP23" s="161">
        <f t="shared" si="62"/>
        <v>0</v>
      </c>
      <c r="BQ23" s="160"/>
    </row>
    <row r="24" spans="1:69" ht="15" customHeight="1">
      <c r="A24" s="225">
        <f t="shared" si="63"/>
        <v>44691</v>
      </c>
      <c r="B24" s="226"/>
      <c r="C24" s="227"/>
      <c r="D24" s="32" t="s">
        <v>25</v>
      </c>
      <c r="E24" s="176"/>
      <c r="F24" s="176"/>
      <c r="G24" s="177"/>
      <c r="H24" s="176"/>
      <c r="I24" s="176"/>
      <c r="J24" s="178"/>
      <c r="K24" s="178"/>
      <c r="L24" s="179"/>
      <c r="M24" s="176"/>
      <c r="N24" s="176"/>
      <c r="O24" s="110">
        <f t="shared" ref="O24:O27" si="73">SUM(E24:N24)-J24</f>
        <v>0</v>
      </c>
      <c r="P24" s="50" t="str">
        <f t="shared" si="64"/>
        <v/>
      </c>
      <c r="Q24" s="51"/>
      <c r="R24" s="50" t="str">
        <f t="shared" si="65"/>
        <v/>
      </c>
      <c r="S24" s="52"/>
      <c r="T24" s="52"/>
      <c r="U24" s="149">
        <f t="shared" si="34"/>
        <v>0</v>
      </c>
      <c r="V24" s="150">
        <f t="shared" si="66"/>
        <v>0</v>
      </c>
      <c r="W24" s="50"/>
      <c r="X24" s="49">
        <f>IF(ISNA(INDEX('Conversion Factors'!$B$6:$B$371,MATCH('May 1 - May 15'!$Z$22:$Z$28,'Conversion Factors'!$A$6:$A$371,0))),"",INDEX('Conversion Factors'!$B$6:$B$371,MATCH('May 1 - May 15'!$Z$22:$Z$28,'Conversion Factors'!$A$6:$A$371,0)))</f>
        <v>8.6669999999999998</v>
      </c>
      <c r="Z24" s="17">
        <f t="shared" si="41"/>
        <v>44691</v>
      </c>
      <c r="AA24" s="57" t="str">
        <f t="shared" si="42"/>
        <v/>
      </c>
      <c r="AB24" s="57" t="str">
        <f t="shared" si="43"/>
        <v/>
      </c>
      <c r="AG24" s="1"/>
      <c r="AH24" s="71">
        <f t="shared" si="44"/>
        <v>0</v>
      </c>
      <c r="AI24" s="68">
        <f>IF(AH24&gt;$AI$12,AH24-($AI$12+AI23+AI22+AI21),0)</f>
        <v>0</v>
      </c>
      <c r="AJ24" s="145" t="b">
        <f t="shared" si="45"/>
        <v>0</v>
      </c>
      <c r="AK24" s="151" t="b">
        <f t="shared" si="67"/>
        <v>0</v>
      </c>
      <c r="AM24" s="147">
        <f t="shared" si="46"/>
        <v>0</v>
      </c>
      <c r="AO24" s="162">
        <f t="shared" si="47"/>
        <v>0</v>
      </c>
      <c r="AP24" s="162">
        <f t="shared" si="48"/>
        <v>0</v>
      </c>
      <c r="AQ24" s="153">
        <f t="shared" si="49"/>
        <v>0</v>
      </c>
      <c r="AR24" s="162">
        <f t="shared" si="50"/>
        <v>0</v>
      </c>
      <c r="AS24" s="154">
        <f t="shared" si="51"/>
        <v>0</v>
      </c>
      <c r="AT24" s="154">
        <f t="shared" si="68"/>
        <v>40</v>
      </c>
      <c r="AU24" s="155">
        <f t="shared" si="69"/>
        <v>0</v>
      </c>
      <c r="AV24" s="156">
        <f t="shared" si="52"/>
        <v>0</v>
      </c>
      <c r="AW24" s="157">
        <f t="shared" si="70"/>
        <v>0</v>
      </c>
      <c r="AY24" s="169">
        <f>IF(AND(J24&gt;0,AI24&gt;0,BB24&lt;=AI24),AI24-BB24,IF(AND(J24&gt;0,AI24&gt;0,BB24&gt;AI24),J24-BB24,0))</f>
        <v>0</v>
      </c>
      <c r="AZ24" s="152">
        <f t="shared" si="53"/>
        <v>0</v>
      </c>
      <c r="BA24" s="152">
        <f t="shared" si="54"/>
        <v>0</v>
      </c>
      <c r="BB24" s="158">
        <f t="shared" si="55"/>
        <v>0</v>
      </c>
      <c r="BC24" s="152">
        <f t="shared" si="56"/>
        <v>0</v>
      </c>
      <c r="BD24" s="154">
        <f t="shared" si="57"/>
        <v>0</v>
      </c>
      <c r="BE24" s="154">
        <f t="shared" ref="BE24:BE28" si="74">IF(AND(AH23&lt;=40),40-AH23,0)</f>
        <v>40</v>
      </c>
      <c r="BF24" s="159">
        <f t="shared" si="71"/>
        <v>0</v>
      </c>
      <c r="BG24" s="160"/>
      <c r="BH24" s="160">
        <f t="shared" ref="BH24:BH28" si="75">IF(AND(G24&gt;0,E24&gt;0),1,0)</f>
        <v>0</v>
      </c>
      <c r="BI24" s="161">
        <f t="shared" si="58"/>
        <v>40</v>
      </c>
      <c r="BJ24" s="161">
        <f t="shared" si="59"/>
        <v>0</v>
      </c>
      <c r="BK24" s="161">
        <f t="shared" si="60"/>
        <v>0</v>
      </c>
      <c r="BL24" s="161">
        <f>SUM(E22:E24)</f>
        <v>0</v>
      </c>
      <c r="BM24" s="160">
        <f t="shared" si="72"/>
        <v>0</v>
      </c>
      <c r="BN24" s="161">
        <f>IF(AND(BM24=1,J24&gt;8),K24,(IF(AND(BM24=1,J24&gt;0),J24,0)))</f>
        <v>0</v>
      </c>
      <c r="BO24" s="161">
        <f>IF(AND(BM24=1,40-BL23&gt;0,40-BL23&lt;8),40-BL23,IF(AND(J24&lt;K24),J24,K24))</f>
        <v>0</v>
      </c>
      <c r="BP24" s="161">
        <f t="shared" si="62"/>
        <v>0</v>
      </c>
      <c r="BQ24" s="160"/>
    </row>
    <row r="25" spans="1:69" ht="15" customHeight="1">
      <c r="A25" s="225">
        <f t="shared" si="63"/>
        <v>44692</v>
      </c>
      <c r="B25" s="226"/>
      <c r="C25" s="227"/>
      <c r="D25" s="32" t="s">
        <v>26</v>
      </c>
      <c r="E25" s="176"/>
      <c r="F25" s="176"/>
      <c r="G25" s="177"/>
      <c r="H25" s="176"/>
      <c r="I25" s="176"/>
      <c r="J25" s="178"/>
      <c r="K25" s="178"/>
      <c r="L25" s="179"/>
      <c r="M25" s="176"/>
      <c r="N25" s="176"/>
      <c r="O25" s="110">
        <f t="shared" si="73"/>
        <v>0</v>
      </c>
      <c r="P25" s="50" t="str">
        <f t="shared" si="64"/>
        <v/>
      </c>
      <c r="Q25" s="51"/>
      <c r="R25" s="50" t="str">
        <f t="shared" si="65"/>
        <v/>
      </c>
      <c r="S25" s="52"/>
      <c r="T25" s="52"/>
      <c r="U25" s="149">
        <f t="shared" si="34"/>
        <v>0</v>
      </c>
      <c r="V25" s="150">
        <f t="shared" si="66"/>
        <v>0</v>
      </c>
      <c r="W25" s="50"/>
      <c r="X25" s="49">
        <f>IF(ISNA(INDEX('Conversion Factors'!$B$6:$B$371,MATCH('May 1 - May 15'!$Z$22:$Z$28,'Conversion Factors'!$A$6:$A$371,0))),"",INDEX('Conversion Factors'!$B$6:$B$371,MATCH('May 1 - May 15'!$Z$22:$Z$28,'Conversion Factors'!$A$6:$A$371,0)))</f>
        <v>8.6669999999999998</v>
      </c>
      <c r="Z25" s="17">
        <f t="shared" si="41"/>
        <v>44692</v>
      </c>
      <c r="AA25" s="57" t="str">
        <f t="shared" si="42"/>
        <v/>
      </c>
      <c r="AB25" s="57" t="str">
        <f t="shared" si="43"/>
        <v/>
      </c>
      <c r="AG25" s="1"/>
      <c r="AH25" s="71">
        <f t="shared" si="44"/>
        <v>0</v>
      </c>
      <c r="AI25" s="68">
        <f>IF(AH25&gt;$AI$12,AH25-($AI$12+AI24+AI23+AI22+AI21),0)</f>
        <v>0</v>
      </c>
      <c r="AJ25" s="145" t="b">
        <f t="shared" si="45"/>
        <v>0</v>
      </c>
      <c r="AK25" s="151" t="b">
        <f t="shared" si="67"/>
        <v>0</v>
      </c>
      <c r="AM25" s="147">
        <f t="shared" si="46"/>
        <v>0</v>
      </c>
      <c r="AO25" s="162">
        <f t="shared" si="47"/>
        <v>0</v>
      </c>
      <c r="AP25" s="162">
        <f t="shared" si="48"/>
        <v>0</v>
      </c>
      <c r="AQ25" s="153">
        <f t="shared" si="49"/>
        <v>0</v>
      </c>
      <c r="AR25" s="162">
        <f t="shared" si="50"/>
        <v>0</v>
      </c>
      <c r="AS25" s="154">
        <f t="shared" si="51"/>
        <v>0</v>
      </c>
      <c r="AT25" s="154">
        <f t="shared" si="68"/>
        <v>40</v>
      </c>
      <c r="AU25" s="155">
        <f t="shared" si="69"/>
        <v>0</v>
      </c>
      <c r="AV25" s="156">
        <f t="shared" si="52"/>
        <v>0</v>
      </c>
      <c r="AW25" s="157">
        <f t="shared" si="70"/>
        <v>0</v>
      </c>
      <c r="AY25" s="169">
        <f>IF(AND(J25&gt;0,AI25&gt;0,BB25&lt;=AI25),AI25-BB25,IF(AND(J25&gt;0,AI25&gt;0,BB25&gt;AI25),J25-BB25,0))</f>
        <v>0</v>
      </c>
      <c r="AZ25" s="152">
        <f t="shared" si="53"/>
        <v>0</v>
      </c>
      <c r="BA25" s="152">
        <f t="shared" si="54"/>
        <v>0</v>
      </c>
      <c r="BB25" s="158">
        <f t="shared" si="55"/>
        <v>0</v>
      </c>
      <c r="BC25" s="152">
        <f t="shared" si="56"/>
        <v>0</v>
      </c>
      <c r="BD25" s="154">
        <f t="shared" si="57"/>
        <v>0</v>
      </c>
      <c r="BE25" s="154">
        <f t="shared" si="74"/>
        <v>40</v>
      </c>
      <c r="BF25" s="159">
        <f t="shared" si="71"/>
        <v>0</v>
      </c>
      <c r="BG25" s="160"/>
      <c r="BH25" s="160">
        <f t="shared" si="75"/>
        <v>0</v>
      </c>
      <c r="BI25" s="161">
        <f t="shared" si="58"/>
        <v>40</v>
      </c>
      <c r="BJ25" s="161">
        <f t="shared" si="59"/>
        <v>0</v>
      </c>
      <c r="BK25" s="161">
        <f t="shared" si="60"/>
        <v>0</v>
      </c>
      <c r="BL25" s="161">
        <f>SUM(E22:E25)</f>
        <v>0</v>
      </c>
      <c r="BM25" s="160">
        <f t="shared" si="72"/>
        <v>0</v>
      </c>
      <c r="BN25" s="161">
        <f t="shared" ref="BN25:BN28" si="76">IF(AND(BM25=1,J25&gt;8),K25,(IF(AND(BM25=1,J25&gt;0),J25,0)))</f>
        <v>0</v>
      </c>
      <c r="BO25" s="161">
        <f t="shared" ref="BO25:BO28" si="77">IF(AND(BM25=1,40-BL24&gt;0,40-BL24&lt;8),40-BL24,IF(AND(J25&lt;K25),J25,K25))</f>
        <v>0</v>
      </c>
      <c r="BP25" s="161">
        <f t="shared" si="62"/>
        <v>0</v>
      </c>
      <c r="BQ25" s="160"/>
    </row>
    <row r="26" spans="1:69" ht="15" customHeight="1">
      <c r="A26" s="225">
        <f t="shared" si="63"/>
        <v>44693</v>
      </c>
      <c r="B26" s="226"/>
      <c r="C26" s="227"/>
      <c r="D26" s="32" t="s">
        <v>27</v>
      </c>
      <c r="E26" s="176"/>
      <c r="F26" s="176"/>
      <c r="G26" s="177"/>
      <c r="H26" s="176"/>
      <c r="I26" s="176"/>
      <c r="J26" s="178"/>
      <c r="K26" s="178"/>
      <c r="L26" s="179"/>
      <c r="M26" s="176"/>
      <c r="N26" s="176"/>
      <c r="O26" s="110">
        <f t="shared" si="73"/>
        <v>0</v>
      </c>
      <c r="P26" s="50" t="str">
        <f t="shared" si="64"/>
        <v/>
      </c>
      <c r="Q26" s="51"/>
      <c r="R26" s="50" t="str">
        <f t="shared" si="65"/>
        <v/>
      </c>
      <c r="S26" s="52"/>
      <c r="T26" s="52"/>
      <c r="U26" s="149">
        <f t="shared" si="34"/>
        <v>0</v>
      </c>
      <c r="V26" s="150">
        <f t="shared" si="66"/>
        <v>0</v>
      </c>
      <c r="W26" s="50"/>
      <c r="X26" s="49">
        <f>IF(ISNA(INDEX('Conversion Factors'!$B$6:$B$371,MATCH('May 1 - May 15'!$Z$22:$Z$28,'Conversion Factors'!$A$6:$A$371,0))),"",INDEX('Conversion Factors'!$B$6:$B$371,MATCH('May 1 - May 15'!$Z$22:$Z$28,'Conversion Factors'!$A$6:$A$371,0)))</f>
        <v>8.6669999999999998</v>
      </c>
      <c r="Z26" s="17">
        <f t="shared" si="41"/>
        <v>44693</v>
      </c>
      <c r="AA26" s="57" t="str">
        <f t="shared" si="42"/>
        <v/>
      </c>
      <c r="AB26" s="57" t="str">
        <f t="shared" si="43"/>
        <v/>
      </c>
      <c r="AH26" s="71">
        <f t="shared" si="44"/>
        <v>0</v>
      </c>
      <c r="AI26" s="68">
        <f>IF(AH26&gt;$AI$12,AH26-($AI$12+AI25+AI24+AI23+AI22+AI21),0)</f>
        <v>0</v>
      </c>
      <c r="AJ26" s="145" t="b">
        <f t="shared" si="45"/>
        <v>0</v>
      </c>
      <c r="AK26" s="151" t="b">
        <f t="shared" si="67"/>
        <v>0</v>
      </c>
      <c r="AM26" s="147">
        <f t="shared" si="46"/>
        <v>0</v>
      </c>
      <c r="AO26" s="162">
        <f t="shared" si="47"/>
        <v>0</v>
      </c>
      <c r="AP26" s="162">
        <f t="shared" si="48"/>
        <v>0</v>
      </c>
      <c r="AQ26" s="153">
        <f t="shared" si="49"/>
        <v>0</v>
      </c>
      <c r="AR26" s="162">
        <f t="shared" si="50"/>
        <v>0</v>
      </c>
      <c r="AS26" s="154">
        <f t="shared" si="51"/>
        <v>0</v>
      </c>
      <c r="AT26" s="154">
        <f>IF(AND(AH25&lt;=40),40-AH25,0)</f>
        <v>40</v>
      </c>
      <c r="AU26" s="155">
        <f t="shared" si="69"/>
        <v>0</v>
      </c>
      <c r="AV26" s="156">
        <f t="shared" si="52"/>
        <v>0</v>
      </c>
      <c r="AW26" s="157">
        <f t="shared" si="70"/>
        <v>0</v>
      </c>
      <c r="AY26" s="157">
        <f>IF(AND(J26&gt;0,AI26&gt;=J26,BB26=0),O26-AI26,IF(AND(J26&gt;0,AI26&gt;0,BB26&lt;=AI26),AI26-BB26,IF(AND(J26&gt;0,AI26&gt;0,BB26&gt;AI26),J26-BB26,0)))</f>
        <v>0</v>
      </c>
      <c r="AZ26" s="152">
        <f t="shared" si="53"/>
        <v>0</v>
      </c>
      <c r="BA26" s="152">
        <f t="shared" si="54"/>
        <v>0</v>
      </c>
      <c r="BB26" s="158">
        <f t="shared" si="55"/>
        <v>0</v>
      </c>
      <c r="BC26" s="152">
        <f t="shared" si="56"/>
        <v>0</v>
      </c>
      <c r="BD26" s="154">
        <f t="shared" si="57"/>
        <v>0</v>
      </c>
      <c r="BE26" s="154">
        <f t="shared" si="74"/>
        <v>40</v>
      </c>
      <c r="BF26" s="159">
        <f t="shared" si="71"/>
        <v>0</v>
      </c>
      <c r="BG26" s="160"/>
      <c r="BH26" s="160">
        <f t="shared" si="75"/>
        <v>0</v>
      </c>
      <c r="BI26" s="161">
        <f t="shared" si="58"/>
        <v>40</v>
      </c>
      <c r="BJ26" s="161">
        <f t="shared" si="59"/>
        <v>0</v>
      </c>
      <c r="BK26" s="161">
        <f t="shared" si="60"/>
        <v>0</v>
      </c>
      <c r="BL26" s="161">
        <f>SUM(E22:E26)</f>
        <v>0</v>
      </c>
      <c r="BM26" s="160">
        <f t="shared" si="72"/>
        <v>0</v>
      </c>
      <c r="BN26" s="161">
        <f t="shared" si="76"/>
        <v>0</v>
      </c>
      <c r="BO26" s="161">
        <f t="shared" si="77"/>
        <v>0</v>
      </c>
      <c r="BP26" s="161">
        <f t="shared" si="62"/>
        <v>0</v>
      </c>
      <c r="BQ26" s="160"/>
    </row>
    <row r="27" spans="1:69" ht="15" customHeight="1">
      <c r="A27" s="225">
        <f t="shared" si="63"/>
        <v>44694</v>
      </c>
      <c r="B27" s="226"/>
      <c r="C27" s="227"/>
      <c r="D27" s="32" t="s">
        <v>28</v>
      </c>
      <c r="E27" s="176"/>
      <c r="F27" s="176"/>
      <c r="G27" s="177"/>
      <c r="H27" s="176"/>
      <c r="I27" s="176"/>
      <c r="J27" s="178"/>
      <c r="K27" s="178"/>
      <c r="L27" s="179"/>
      <c r="M27" s="176"/>
      <c r="N27" s="176"/>
      <c r="O27" s="110">
        <f t="shared" si="73"/>
        <v>0</v>
      </c>
      <c r="P27" s="50" t="str">
        <f t="shared" si="64"/>
        <v/>
      </c>
      <c r="Q27" s="51"/>
      <c r="R27" s="50" t="str">
        <f t="shared" si="65"/>
        <v/>
      </c>
      <c r="S27" s="52"/>
      <c r="T27" s="52"/>
      <c r="U27" s="149">
        <f t="shared" si="34"/>
        <v>0</v>
      </c>
      <c r="V27" s="150">
        <f t="shared" si="66"/>
        <v>0</v>
      </c>
      <c r="W27" s="50"/>
      <c r="X27" s="49">
        <f>IF(ISNA(INDEX('Conversion Factors'!$B$6:$B$371,MATCH('May 1 - May 15'!$Z$22:$Z$28,'Conversion Factors'!$A$6:$A$371,0))),"",INDEX('Conversion Factors'!$B$6:$B$371,MATCH('May 1 - May 15'!$Z$22:$Z$28,'Conversion Factors'!$A$6:$A$371,0)))</f>
        <v>8.6669999999999998</v>
      </c>
      <c r="Z27" s="17">
        <f t="shared" si="41"/>
        <v>44694</v>
      </c>
      <c r="AA27" s="57" t="str">
        <f t="shared" si="42"/>
        <v/>
      </c>
      <c r="AB27" s="57" t="str">
        <f t="shared" si="43"/>
        <v/>
      </c>
      <c r="AH27" s="71">
        <f t="shared" si="44"/>
        <v>0</v>
      </c>
      <c r="AI27" s="68">
        <f>IF(AH27&gt;$AI$12,AH27-($AI$12+AI26+AI25+AI24+AI23+AI22+AI21),0)</f>
        <v>0</v>
      </c>
      <c r="AJ27" s="145" t="b">
        <f t="shared" si="45"/>
        <v>0</v>
      </c>
      <c r="AK27" s="151" t="b">
        <f t="shared" si="67"/>
        <v>0</v>
      </c>
      <c r="AM27" s="147">
        <f t="shared" si="46"/>
        <v>0</v>
      </c>
      <c r="AO27" s="162">
        <f t="shared" si="47"/>
        <v>0</v>
      </c>
      <c r="AP27" s="162">
        <f t="shared" si="48"/>
        <v>0</v>
      </c>
      <c r="AQ27" s="170">
        <f t="shared" si="49"/>
        <v>0</v>
      </c>
      <c r="AR27" s="162">
        <f t="shared" si="50"/>
        <v>0</v>
      </c>
      <c r="AS27" s="154">
        <f t="shared" si="51"/>
        <v>0</v>
      </c>
      <c r="AT27" s="154">
        <f t="shared" ref="AT27:AT28" si="78">IF(AND(AH26&lt;=40),40-AH26,0)</f>
        <v>40</v>
      </c>
      <c r="AU27" s="155">
        <f t="shared" si="69"/>
        <v>0</v>
      </c>
      <c r="AV27" s="156">
        <f t="shared" si="52"/>
        <v>0</v>
      </c>
      <c r="AW27" s="157">
        <f t="shared" si="70"/>
        <v>0</v>
      </c>
      <c r="AY27" s="157">
        <f>IF(AND(J27&gt;0,AI27&gt;=J27,BB27=0),O27-AI27,IF(AND(J27&gt;0,AI27&gt;0,BB27&lt;=AI27),AI27-BB27,IF(AND(J27&gt;0,AI27&gt;0,BB27&gt;AI27),J27-BB27,0)))</f>
        <v>0</v>
      </c>
      <c r="AZ27" s="152">
        <f t="shared" si="53"/>
        <v>0</v>
      </c>
      <c r="BA27" s="152">
        <f t="shared" si="54"/>
        <v>0</v>
      </c>
      <c r="BB27" s="158">
        <f t="shared" si="55"/>
        <v>0</v>
      </c>
      <c r="BC27" s="152">
        <f t="shared" si="56"/>
        <v>0</v>
      </c>
      <c r="BD27" s="154">
        <f t="shared" si="57"/>
        <v>0</v>
      </c>
      <c r="BE27" s="154">
        <f t="shared" si="74"/>
        <v>40</v>
      </c>
      <c r="BF27" s="159">
        <f t="shared" si="71"/>
        <v>0</v>
      </c>
      <c r="BG27" s="160"/>
      <c r="BH27" s="160">
        <f t="shared" si="75"/>
        <v>0</v>
      </c>
      <c r="BI27" s="161">
        <f t="shared" si="58"/>
        <v>40</v>
      </c>
      <c r="BJ27" s="161">
        <f t="shared" si="59"/>
        <v>0</v>
      </c>
      <c r="BK27" s="161">
        <f t="shared" si="60"/>
        <v>0</v>
      </c>
      <c r="BL27" s="161">
        <f>SUM(E22:E27)</f>
        <v>0</v>
      </c>
      <c r="BM27" s="160">
        <f t="shared" si="72"/>
        <v>0</v>
      </c>
      <c r="BN27" s="161">
        <f t="shared" si="76"/>
        <v>0</v>
      </c>
      <c r="BO27" s="161">
        <f t="shared" si="77"/>
        <v>0</v>
      </c>
      <c r="BP27" s="161">
        <f>IF(AND(BM27=1,BL27&gt;40,J27&lt;=K27),J27-BO27,IF(AND(BM27=1,BL27&gt;0,J27&gt;K27),K27-BO27,0))</f>
        <v>0</v>
      </c>
      <c r="BQ27" s="160"/>
    </row>
    <row r="28" spans="1:69" ht="15" customHeight="1" thickBot="1">
      <c r="A28" s="225">
        <f t="shared" si="63"/>
        <v>44695</v>
      </c>
      <c r="B28" s="226"/>
      <c r="C28" s="227"/>
      <c r="D28" s="32" t="s">
        <v>29</v>
      </c>
      <c r="E28" s="176"/>
      <c r="F28" s="176"/>
      <c r="G28" s="177"/>
      <c r="H28" s="176"/>
      <c r="I28" s="176"/>
      <c r="J28" s="178"/>
      <c r="K28" s="178"/>
      <c r="L28" s="179"/>
      <c r="M28" s="176"/>
      <c r="N28" s="176"/>
      <c r="O28" s="110">
        <f>SUM(E28:N28)-J28</f>
        <v>0</v>
      </c>
      <c r="P28" s="50" t="str">
        <f t="shared" si="64"/>
        <v/>
      </c>
      <c r="Q28" s="52"/>
      <c r="R28" s="50" t="str">
        <f t="shared" si="65"/>
        <v/>
      </c>
      <c r="S28" s="52"/>
      <c r="T28" s="52"/>
      <c r="U28" s="149">
        <f t="shared" si="34"/>
        <v>0</v>
      </c>
      <c r="V28" s="150">
        <f t="shared" si="66"/>
        <v>0</v>
      </c>
      <c r="W28" s="50"/>
      <c r="X28" s="49">
        <f>IF(ISNA(INDEX('Conversion Factors'!$B$6:$B$371,MATCH('May 1 - May 15'!$Z$22:$Z$28,'Conversion Factors'!$A$6:$A$371,0))),"",INDEX('Conversion Factors'!$B$6:$B$371,MATCH('May 1 - May 15'!$Z$22:$Z$28,'Conversion Factors'!$A$6:$A$371,0)))</f>
        <v>8.6669999999999998</v>
      </c>
      <c r="Z28" s="17">
        <f t="shared" si="41"/>
        <v>44695</v>
      </c>
      <c r="AA28" s="57" t="str">
        <f t="shared" si="42"/>
        <v/>
      </c>
      <c r="AB28" s="57" t="str">
        <f t="shared" si="43"/>
        <v/>
      </c>
      <c r="AH28" s="71">
        <f t="shared" si="44"/>
        <v>0</v>
      </c>
      <c r="AI28" s="68">
        <f>IF(AH28&gt;$AI$12,AH28-($AI$12+AI27+AI26+AI25+AI24+AI23+AI22+AI21),0)</f>
        <v>0</v>
      </c>
      <c r="AJ28" s="145" t="b">
        <f t="shared" si="45"/>
        <v>0</v>
      </c>
      <c r="AK28" s="151" t="b">
        <f t="shared" si="67"/>
        <v>0</v>
      </c>
      <c r="AM28" s="147">
        <f t="shared" si="46"/>
        <v>0</v>
      </c>
      <c r="AO28" s="163">
        <f t="shared" si="47"/>
        <v>0</v>
      </c>
      <c r="AP28" s="163">
        <f t="shared" si="48"/>
        <v>0</v>
      </c>
      <c r="AQ28" s="153">
        <f t="shared" si="49"/>
        <v>0</v>
      </c>
      <c r="AR28" s="163">
        <f t="shared" si="50"/>
        <v>0</v>
      </c>
      <c r="AS28" s="154">
        <f t="shared" si="51"/>
        <v>0</v>
      </c>
      <c r="AT28" s="154">
        <f t="shared" si="78"/>
        <v>40</v>
      </c>
      <c r="AU28" s="155">
        <f t="shared" si="69"/>
        <v>0</v>
      </c>
      <c r="AV28" s="156">
        <f t="shared" si="52"/>
        <v>0</v>
      </c>
      <c r="AW28" s="157">
        <f t="shared" si="70"/>
        <v>0</v>
      </c>
      <c r="AY28" s="157">
        <f>IF(AND(J28&gt;0,AI28&gt;=J28,BB28=0),O28-AI28,IF(AND(J28&gt;0,AI28&gt;0,BB28&lt;=AI28),AI28-BB28,IF(AND(J28&gt;0,AI28&gt;0,BB28&gt;AI28),J28-BB28,0)))</f>
        <v>0</v>
      </c>
      <c r="AZ28" s="152">
        <f t="shared" si="53"/>
        <v>0</v>
      </c>
      <c r="BA28" s="152">
        <f t="shared" si="54"/>
        <v>0</v>
      </c>
      <c r="BB28" s="158">
        <f t="shared" si="55"/>
        <v>0</v>
      </c>
      <c r="BC28" s="152">
        <f t="shared" si="56"/>
        <v>0</v>
      </c>
      <c r="BD28" s="154">
        <f t="shared" si="57"/>
        <v>0</v>
      </c>
      <c r="BE28" s="154">
        <f t="shared" si="74"/>
        <v>40</v>
      </c>
      <c r="BF28" s="159">
        <f t="shared" si="71"/>
        <v>0</v>
      </c>
      <c r="BG28" s="160"/>
      <c r="BH28" s="160">
        <f t="shared" si="75"/>
        <v>0</v>
      </c>
      <c r="BI28" s="161">
        <f t="shared" si="58"/>
        <v>40</v>
      </c>
      <c r="BJ28" s="161">
        <f t="shared" si="59"/>
        <v>0</v>
      </c>
      <c r="BK28" s="161">
        <f t="shared" si="60"/>
        <v>0</v>
      </c>
      <c r="BL28" s="161">
        <f>SUM(E22:E28)</f>
        <v>0</v>
      </c>
      <c r="BM28" s="160">
        <f t="shared" si="72"/>
        <v>0</v>
      </c>
      <c r="BN28" s="161">
        <f t="shared" si="76"/>
        <v>0</v>
      </c>
      <c r="BO28" s="161">
        <f t="shared" si="77"/>
        <v>0</v>
      </c>
      <c r="BP28" s="161">
        <f>IF(AND(BM28=1,BL28&gt;40,J28&lt;=K28),J28-BO28,IF(AND(BM28=1,BL28&gt;0,J28&gt;K28),K28-BO28,0))</f>
        <v>0</v>
      </c>
      <c r="BQ28" s="160"/>
    </row>
    <row r="29" spans="1:69" ht="15" customHeight="1" thickTop="1" thickBot="1">
      <c r="A29" s="228" t="s">
        <v>30</v>
      </c>
      <c r="B29" s="229"/>
      <c r="C29" s="230"/>
      <c r="D29" s="33"/>
      <c r="E29" s="34">
        <f t="shared" ref="E29:N29" si="79">SUM(E22:E28)</f>
        <v>0</v>
      </c>
      <c r="F29" s="34">
        <f t="shared" si="79"/>
        <v>0</v>
      </c>
      <c r="G29" s="76">
        <f t="shared" si="79"/>
        <v>0</v>
      </c>
      <c r="H29" s="34">
        <f t="shared" si="79"/>
        <v>0</v>
      </c>
      <c r="I29" s="34">
        <f t="shared" si="79"/>
        <v>0</v>
      </c>
      <c r="J29" s="74"/>
      <c r="K29" s="74">
        <f t="shared" si="79"/>
        <v>0</v>
      </c>
      <c r="L29" s="34">
        <f t="shared" si="79"/>
        <v>0</v>
      </c>
      <c r="M29" s="34">
        <f t="shared" si="79"/>
        <v>0</v>
      </c>
      <c r="N29" s="34">
        <f t="shared" si="79"/>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44696</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4"/>
        <v>0</v>
      </c>
      <c r="V30" s="150">
        <f>IF(BK30&gt;0,BK30,0)</f>
        <v>0</v>
      </c>
      <c r="W30" s="50"/>
      <c r="X30" s="49">
        <f>IF(ISNA(INDEX('Conversion Factors'!$B$6:$B$370,MATCH('May 1 - May 15'!$Z$30:$Z$36,'Conversion Factors'!$A$6:$A$370,0))),"",INDEX('Conversion Factors'!$B$6:$B$370,MATCH('May 1 - May 15'!$Z$30:$Z$36,'Conversion Factors'!$A$6:$A$370,0)))</f>
        <v>8.6669999999999998</v>
      </c>
      <c r="Z30" s="17">
        <f t="shared" ref="Z30:Z36" si="80">A30</f>
        <v>44696</v>
      </c>
      <c r="AA30" s="57" t="str">
        <f t="shared" ref="AA30:AA36" si="81">IF(AND(ISNUMBER(N30),ISNUMBER($Z$12)),N30/$Z$12,"")</f>
        <v/>
      </c>
      <c r="AB30" s="57" t="str">
        <f t="shared" ref="AB30:AB36" si="82">IF(AND(ISNUMBER(Q30),ISNUMBER($Z$12)),Q30/$Z$12,"")</f>
        <v/>
      </c>
      <c r="AC30" s="58"/>
      <c r="AD30" s="59"/>
      <c r="AE30" s="58"/>
      <c r="AF30" s="58"/>
      <c r="AG30" s="64"/>
      <c r="AH30" s="71">
        <f t="shared" ref="AH30:AH36" si="83">E30+AH29</f>
        <v>0</v>
      </c>
      <c r="AI30" s="68">
        <f>IF(AH30&gt;$AI$12,AH30-($AI$12+AI29),0)</f>
        <v>0</v>
      </c>
      <c r="AJ30" s="145" t="b">
        <f t="shared" ref="AJ30:AJ36" si="84">IF(AND(AZ30&gt;0,AZ30),IF(BA30&gt;0,BA30,IF(BB30&gt;0,BB30,IF(BC30&gt;0,BC30,IF(BF30&gt;0,BF30,"")))))</f>
        <v>0</v>
      </c>
      <c r="AK30" s="151" t="b">
        <f>IF(AND(AO30&gt;0,AO30),IF(AP30&gt;0,AP30,IF(AQ30&gt;0,AQ30,IF(AR30&gt;0,AR30,IF(AU30&gt;0,AU30,"")))))</f>
        <v>0</v>
      </c>
      <c r="AM30" s="147">
        <f t="shared" ref="AM30:AM36" si="85">J30</f>
        <v>0</v>
      </c>
      <c r="AO30" s="152">
        <f t="shared" ref="AO30:AO36" si="86">IF(G30=0,0,"")</f>
        <v>0</v>
      </c>
      <c r="AP30" s="152">
        <f t="shared" ref="AP30:AP36" si="87">IF(AND(AH30&lt;=40,E30=G30),G30,0)</f>
        <v>0</v>
      </c>
      <c r="AQ30" s="153">
        <f t="shared" ref="AQ30:AQ36" si="88">IF(AND(AH30&lt;=40,E30&gt;=G30,G30&gt;0),O30-E30,0)</f>
        <v>0</v>
      </c>
      <c r="AR30" s="152">
        <f t="shared" ref="AR30:AR36" si="89">IF(AND(AH30&lt;=40,E30&lt;G30),O30-G30,0)</f>
        <v>0</v>
      </c>
      <c r="AS30" s="154">
        <f t="shared" ref="AS30:AS36" si="90">IF(AND(G30=0),G30,IF(AND(G30&gt;0,AI30&gt;0,G30=AT30),AT30,IF(AND(G30&gt;0,AI30&gt;0,G30-AT30),AT30,0)))</f>
        <v>0</v>
      </c>
      <c r="AT30" s="154"/>
      <c r="AU30" s="155">
        <f>AS30</f>
        <v>0</v>
      </c>
      <c r="AV30" s="156">
        <f t="shared" ref="AV30:AV36" si="91">IF(AND(AH29+AU30=40,AI30&gt;0,AI30&gt;AU30),AI30-AU30,IF(AND(AH29+AU30=40,AI30&gt;0,AI30&lt;AU30,AU30+AI30=G30),AI30,IF(AND(AH29&gt;40,AH30&gt;40,G30=AI30),AI30,0)))</f>
        <v>0</v>
      </c>
      <c r="AW30" s="157">
        <f>AV30</f>
        <v>0</v>
      </c>
      <c r="AY30" s="157">
        <f t="shared" ref="AY30:AY36" si="92">IF(AND(J30&gt;0,AI30&gt;=J30,BB30=0),O30-AI30,IF(AND(J30&gt;0,AI30&gt;0,BB30&lt;=AI30),AI30-BB30,IF(AND(J30&gt;0,AI30&gt;0,BB30&gt;AI30),J30-BB30,0)))</f>
        <v>0</v>
      </c>
      <c r="AZ30" s="152">
        <f t="shared" ref="AZ30:AZ36" si="93">IF(J30=0,0,"")</f>
        <v>0</v>
      </c>
      <c r="BA30" s="152">
        <f t="shared" ref="BA30:BA36" si="94">IF(AND(AH30&lt;=40,E30=J30),J30,0)</f>
        <v>0</v>
      </c>
      <c r="BB30" s="158">
        <f t="shared" ref="BB30:BB36" si="95">IF(AND(AZ30=0),AZ30,IF(AND(AH30&gt;40,E30&gt;=J30),BE30,IF(AND(AH30&lt;=40,E30&gt;J30),J30,0)))</f>
        <v>0</v>
      </c>
      <c r="BC30" s="152">
        <f t="shared" ref="BC30:BC36" si="96">IF(AND(AH30&lt;=40,E30&lt;J30),O30-J30,0)</f>
        <v>0</v>
      </c>
      <c r="BD30" s="154">
        <f t="shared" ref="BD30:BD36" si="97">IF(AND(J30=0),J30,IF(AND(J30&gt;0,AI30&gt;0,J30=BC30),BC30,IF(AND(J30&gt;0,AI30&gt;0,J30-BC30),BC30,0)))</f>
        <v>0</v>
      </c>
      <c r="BE30" s="154"/>
      <c r="BF30" s="159">
        <f>BD30</f>
        <v>0</v>
      </c>
      <c r="BG30" s="160"/>
      <c r="BH30" s="160">
        <f>IF(AND(G30&gt;0,E30&gt;0),1,0)</f>
        <v>0</v>
      </c>
      <c r="BI30" s="161">
        <f t="shared" ref="BI30:BI36" si="98">40-AH30</f>
        <v>40</v>
      </c>
      <c r="BJ30" s="161">
        <f t="shared" ref="BJ30:BJ36" si="99">IF(AND(BH30=1,40-BL29&gt;0,40-BL29&lt;8),40-BL29,IF(AND(E30&lt;G30),E30,G30))</f>
        <v>0</v>
      </c>
      <c r="BK30" s="161">
        <f t="shared" ref="BK30:BK36" si="100">IF(AND(BH30=1,BL30&gt;40,E30&lt;G30),E30-BJ30,(IF(AND(BH30=1,BL30&gt;0,E30&gt;=G30),G30-BJ30,0)))</f>
        <v>0</v>
      </c>
      <c r="BL30" s="161">
        <f>E30</f>
        <v>0</v>
      </c>
      <c r="BM30" s="160">
        <f>IF(AND(K30&gt;0,E30&gt;0),1,0)</f>
        <v>0</v>
      </c>
      <c r="BN30" s="161">
        <f>IF(AND(BM30=1,J30&gt;8),K30,(IF(AND(BM30=1,J30&gt;0),J30,0)))</f>
        <v>0</v>
      </c>
      <c r="BO30" s="161">
        <f t="shared" ref="BO30:BO31" si="101">IF(AND(BM30=1,40-BL29&gt;0,40-BL29&lt;8),40-BL29,IF(AND(J30&lt;K30),J30,K30))</f>
        <v>0</v>
      </c>
      <c r="BP30" s="161">
        <f t="shared" ref="BP30:BP34" si="102">IF(AND(BM30=1,BL30&gt;40,J30&lt;=K30),J30-BO30,IF(AND(BM30=1,BL30&gt;0,J30&gt;K30),K30-BO30,0))</f>
        <v>0</v>
      </c>
      <c r="BQ30" s="160"/>
    </row>
    <row r="31" spans="1:69" ht="15" customHeight="1">
      <c r="A31" s="225" t="str">
        <f t="shared" ref="A31:A36" si="103">IF(A30&lt;$O$7,A30+1,IF(A30=$O$7,""))</f>
        <v/>
      </c>
      <c r="B31" s="226"/>
      <c r="C31" s="227"/>
      <c r="D31" s="32" t="s">
        <v>24</v>
      </c>
      <c r="E31" s="52"/>
      <c r="F31" s="52"/>
      <c r="G31" s="77"/>
      <c r="H31" s="52"/>
      <c r="I31" s="52"/>
      <c r="J31" s="108"/>
      <c r="K31" s="108"/>
      <c r="L31" s="109"/>
      <c r="M31" s="52"/>
      <c r="N31" s="52"/>
      <c r="O31" s="110">
        <f t="shared" ref="O31:O36" si="104">SUM(E31:N31)-J31</f>
        <v>0</v>
      </c>
      <c r="P31" s="50" t="str">
        <f t="shared" ref="P31:P36" si="105">IF(AND(ISNUMBER(AA31),ISNUMBER(X31)),AA31*X31,"")</f>
        <v/>
      </c>
      <c r="Q31" s="51"/>
      <c r="R31" s="50" t="str">
        <f t="shared" ref="R31:R36" si="106">IF(AND(ISNUMBER(AB31),ISNUMBER(X31)),AB31*X31,"")</f>
        <v/>
      </c>
      <c r="S31" s="52"/>
      <c r="T31" s="52"/>
      <c r="U31" s="149">
        <f t="shared" si="34"/>
        <v>0</v>
      </c>
      <c r="V31" s="150">
        <f t="shared" ref="V31:V36" si="107">IF(BK31&gt;0,BK31,0)</f>
        <v>0</v>
      </c>
      <c r="W31" s="50"/>
      <c r="X31" s="49" t="str">
        <f>IF(ISNA(INDEX('Conversion Factors'!$B$6:$B$370,MATCH('May 1 - May 15'!$Z$30:$Z$36,'Conversion Factors'!$A$6:$A$370,0))),"",INDEX('Conversion Factors'!$B$6:$B$370,MATCH('May 1 - May 15'!$Z$30:$Z$36,'Conversion Factors'!$A$6:$A$370,0)))</f>
        <v/>
      </c>
      <c r="Z31" s="17" t="str">
        <f t="shared" si="80"/>
        <v/>
      </c>
      <c r="AA31" s="57" t="str">
        <f t="shared" si="81"/>
        <v/>
      </c>
      <c r="AB31" s="57" t="str">
        <f t="shared" si="82"/>
        <v/>
      </c>
      <c r="AH31" s="71">
        <f t="shared" si="83"/>
        <v>0</v>
      </c>
      <c r="AI31" s="68">
        <f>IF(AH31&gt;$AI$12,AH31-($AI$12+AI30+AI29),0)</f>
        <v>0</v>
      </c>
      <c r="AJ31" s="145" t="b">
        <f t="shared" si="84"/>
        <v>0</v>
      </c>
      <c r="AK31" s="151" t="b">
        <f t="shared" ref="AK31:AK36" si="108">IF(AND(AO31&gt;0,AO31),IF(AP31&gt;0,AP31,IF(AQ31&gt;0,AQ31,IF(AR31&gt;0,AR31,IF(AU31&gt;0,AU31,0)))))</f>
        <v>0</v>
      </c>
      <c r="AM31" s="147">
        <f t="shared" si="85"/>
        <v>0</v>
      </c>
      <c r="AO31" s="162">
        <f t="shared" si="86"/>
        <v>0</v>
      </c>
      <c r="AP31" s="162">
        <f t="shared" si="87"/>
        <v>0</v>
      </c>
      <c r="AQ31" s="153">
        <f t="shared" si="88"/>
        <v>0</v>
      </c>
      <c r="AR31" s="162">
        <f t="shared" si="89"/>
        <v>0</v>
      </c>
      <c r="AS31" s="154">
        <f t="shared" si="90"/>
        <v>0</v>
      </c>
      <c r="AT31" s="154">
        <f t="shared" ref="AT31:AT33" si="109">IF(AND(AH30&lt;=40),40-AH30,0)</f>
        <v>40</v>
      </c>
      <c r="AU31" s="155">
        <f t="shared" ref="AU31:AU36" si="110">AS31</f>
        <v>0</v>
      </c>
      <c r="AV31" s="156">
        <f t="shared" si="91"/>
        <v>0</v>
      </c>
      <c r="AW31" s="157">
        <f t="shared" ref="AW31:AW36" si="111">AV31</f>
        <v>0</v>
      </c>
      <c r="AY31" s="157">
        <f t="shared" si="92"/>
        <v>0</v>
      </c>
      <c r="AZ31" s="152">
        <f t="shared" si="93"/>
        <v>0</v>
      </c>
      <c r="BA31" s="152">
        <f t="shared" si="94"/>
        <v>0</v>
      </c>
      <c r="BB31" s="158">
        <f t="shared" si="95"/>
        <v>0</v>
      </c>
      <c r="BC31" s="152">
        <f t="shared" si="96"/>
        <v>0</v>
      </c>
      <c r="BD31" s="154">
        <f t="shared" si="97"/>
        <v>0</v>
      </c>
      <c r="BE31" s="154">
        <f>IF(AND(AH30&lt;=40),40-AH30,0)</f>
        <v>40</v>
      </c>
      <c r="BF31" s="159">
        <f t="shared" ref="BF31:BF36" si="112">BD31</f>
        <v>0</v>
      </c>
      <c r="BG31" s="160"/>
      <c r="BH31" s="160">
        <f>IF(AND(G31&gt;0,E31&gt;0),1,0)</f>
        <v>0</v>
      </c>
      <c r="BI31" s="161">
        <f t="shared" si="98"/>
        <v>40</v>
      </c>
      <c r="BJ31" s="161">
        <f t="shared" si="99"/>
        <v>0</v>
      </c>
      <c r="BK31" s="161">
        <f t="shared" si="100"/>
        <v>0</v>
      </c>
      <c r="BL31" s="161">
        <f>SUM(E30:E31)</f>
        <v>0</v>
      </c>
      <c r="BM31" s="160">
        <f t="shared" ref="BM31:BM36" si="113">IF(AND(K31&gt;0,E31&gt;0),1,0)</f>
        <v>0</v>
      </c>
      <c r="BN31" s="161">
        <f>IF(AND(BM31=1,J31&gt;8),K31,(IF(AND(BM31=1,J31&gt;0),J31,0)))</f>
        <v>0</v>
      </c>
      <c r="BO31" s="161">
        <f t="shared" si="101"/>
        <v>0</v>
      </c>
      <c r="BP31" s="161">
        <f t="shared" si="102"/>
        <v>0</v>
      </c>
      <c r="BQ31" s="160"/>
    </row>
    <row r="32" spans="1:69" ht="15" customHeight="1">
      <c r="A32" s="225" t="b">
        <f t="shared" si="103"/>
        <v>0</v>
      </c>
      <c r="B32" s="226"/>
      <c r="C32" s="227"/>
      <c r="D32" s="32" t="s">
        <v>25</v>
      </c>
      <c r="E32" s="52"/>
      <c r="F32" s="52"/>
      <c r="G32" s="77"/>
      <c r="H32" s="52"/>
      <c r="I32" s="52"/>
      <c r="J32" s="108"/>
      <c r="K32" s="108"/>
      <c r="L32" s="109"/>
      <c r="M32" s="52"/>
      <c r="N32" s="52"/>
      <c r="O32" s="110">
        <f t="shared" si="104"/>
        <v>0</v>
      </c>
      <c r="P32" s="50" t="str">
        <f t="shared" si="105"/>
        <v/>
      </c>
      <c r="Q32" s="51"/>
      <c r="R32" s="50" t="str">
        <f t="shared" si="106"/>
        <v/>
      </c>
      <c r="S32" s="52"/>
      <c r="T32" s="52"/>
      <c r="U32" s="149">
        <f t="shared" si="34"/>
        <v>0</v>
      </c>
      <c r="V32" s="150">
        <f t="shared" si="107"/>
        <v>0</v>
      </c>
      <c r="W32" s="50"/>
      <c r="X32" s="49" t="str">
        <f>IF(ISNA(INDEX('Conversion Factors'!$B$6:$B$370,MATCH('May 1 - May 15'!$Z$30:$Z$36,'Conversion Factors'!$A$6:$A$370,0))),"",INDEX('Conversion Factors'!$B$6:$B$370,MATCH('May 1 - May 15'!$Z$30:$Z$36,'Conversion Factors'!$A$6:$A$370,0)))</f>
        <v/>
      </c>
      <c r="Z32" s="17" t="b">
        <f t="shared" si="80"/>
        <v>0</v>
      </c>
      <c r="AA32" s="57" t="str">
        <f t="shared" si="81"/>
        <v/>
      </c>
      <c r="AB32" s="57" t="str">
        <f t="shared" si="82"/>
        <v/>
      </c>
      <c r="AG32" s="1"/>
      <c r="AH32" s="71">
        <f t="shared" si="83"/>
        <v>0</v>
      </c>
      <c r="AI32" s="68">
        <f>IF(AH32&gt;$AI$12,AH32-($AI$12+AI31+AI30+AI29),0)</f>
        <v>0</v>
      </c>
      <c r="AJ32" s="145" t="b">
        <f t="shared" si="84"/>
        <v>0</v>
      </c>
      <c r="AK32" s="151" t="b">
        <f t="shared" si="108"/>
        <v>0</v>
      </c>
      <c r="AM32" s="147">
        <f t="shared" si="85"/>
        <v>0</v>
      </c>
      <c r="AO32" s="162">
        <f t="shared" si="86"/>
        <v>0</v>
      </c>
      <c r="AP32" s="162">
        <f t="shared" si="87"/>
        <v>0</v>
      </c>
      <c r="AQ32" s="153">
        <f t="shared" si="88"/>
        <v>0</v>
      </c>
      <c r="AR32" s="162">
        <f t="shared" si="89"/>
        <v>0</v>
      </c>
      <c r="AS32" s="154">
        <f t="shared" si="90"/>
        <v>0</v>
      </c>
      <c r="AT32" s="154">
        <f t="shared" si="109"/>
        <v>40</v>
      </c>
      <c r="AU32" s="155">
        <f t="shared" si="110"/>
        <v>0</v>
      </c>
      <c r="AV32" s="156">
        <f t="shared" si="91"/>
        <v>0</v>
      </c>
      <c r="AW32" s="157">
        <f t="shared" si="111"/>
        <v>0</v>
      </c>
      <c r="AY32" s="157">
        <f t="shared" si="92"/>
        <v>0</v>
      </c>
      <c r="AZ32" s="152">
        <f t="shared" si="93"/>
        <v>0</v>
      </c>
      <c r="BA32" s="152">
        <f t="shared" si="94"/>
        <v>0</v>
      </c>
      <c r="BB32" s="158">
        <f t="shared" si="95"/>
        <v>0</v>
      </c>
      <c r="BC32" s="152">
        <f t="shared" si="96"/>
        <v>0</v>
      </c>
      <c r="BD32" s="154">
        <f t="shared" si="97"/>
        <v>0</v>
      </c>
      <c r="BE32" s="154">
        <f t="shared" ref="BE32:BE36" si="114">IF(AND(AH31&lt;=40),40-AH31,0)</f>
        <v>40</v>
      </c>
      <c r="BF32" s="159">
        <f t="shared" si="112"/>
        <v>0</v>
      </c>
      <c r="BG32" s="160"/>
      <c r="BH32" s="160">
        <f>IF(AND(G32&gt;0,E32&gt;0),1,0)</f>
        <v>0</v>
      </c>
      <c r="BI32" s="161">
        <f t="shared" si="98"/>
        <v>40</v>
      </c>
      <c r="BJ32" s="161">
        <f t="shared" si="99"/>
        <v>0</v>
      </c>
      <c r="BK32" s="161">
        <f t="shared" si="100"/>
        <v>0</v>
      </c>
      <c r="BL32" s="161">
        <f>SUM(E30:E32)</f>
        <v>0</v>
      </c>
      <c r="BM32" s="160">
        <f t="shared" si="113"/>
        <v>0</v>
      </c>
      <c r="BN32" s="161">
        <f>IF(AND(BM32=1,J32&gt;8),K32,(IF(AND(BM32=1,J32&gt;0),J32,0)))</f>
        <v>0</v>
      </c>
      <c r="BO32" s="161">
        <f>IF(AND(BM32=1,40-BL31&gt;0,40-BL31&lt;8),40-BL31,IF(AND(J32&lt;K32),J32,K32))</f>
        <v>0</v>
      </c>
      <c r="BP32" s="161">
        <f t="shared" si="102"/>
        <v>0</v>
      </c>
      <c r="BQ32" s="160"/>
    </row>
    <row r="33" spans="1:69" ht="15" customHeight="1">
      <c r="A33" s="225" t="b">
        <f t="shared" si="103"/>
        <v>0</v>
      </c>
      <c r="B33" s="226"/>
      <c r="C33" s="227"/>
      <c r="D33" s="32" t="s">
        <v>26</v>
      </c>
      <c r="E33" s="52"/>
      <c r="F33" s="52"/>
      <c r="G33" s="77"/>
      <c r="H33" s="52"/>
      <c r="I33" s="52"/>
      <c r="J33" s="108"/>
      <c r="K33" s="108"/>
      <c r="L33" s="109"/>
      <c r="M33" s="52"/>
      <c r="N33" s="52"/>
      <c r="O33" s="110">
        <f t="shared" si="104"/>
        <v>0</v>
      </c>
      <c r="P33" s="50" t="str">
        <f t="shared" si="105"/>
        <v/>
      </c>
      <c r="Q33" s="51"/>
      <c r="R33" s="50" t="str">
        <f t="shared" si="106"/>
        <v/>
      </c>
      <c r="S33" s="52"/>
      <c r="T33" s="52"/>
      <c r="U33" s="149">
        <f t="shared" si="34"/>
        <v>0</v>
      </c>
      <c r="V33" s="150">
        <f t="shared" si="107"/>
        <v>0</v>
      </c>
      <c r="W33" s="50"/>
      <c r="X33" s="49" t="str">
        <f>IF(ISNA(INDEX('Conversion Factors'!$B$6:$B$370,MATCH('May 1 - May 15'!$Z$30:$Z$36,'Conversion Factors'!$A$6:$A$370,0))),"",INDEX('Conversion Factors'!$B$6:$B$370,MATCH('May 1 - May 15'!$Z$30:$Z$36,'Conversion Factors'!$A$6:$A$370,0)))</f>
        <v/>
      </c>
      <c r="Z33" s="17" t="b">
        <f t="shared" si="80"/>
        <v>0</v>
      </c>
      <c r="AA33" s="57" t="str">
        <f t="shared" si="81"/>
        <v/>
      </c>
      <c r="AB33" s="57" t="str">
        <f t="shared" si="82"/>
        <v/>
      </c>
      <c r="AG33" s="1"/>
      <c r="AH33" s="71">
        <f t="shared" si="83"/>
        <v>0</v>
      </c>
      <c r="AI33" s="68">
        <f>IF(AH33&gt;$AI$12,AH33-($AI$12+AI32+AI31+AI30+AI29),0)</f>
        <v>0</v>
      </c>
      <c r="AJ33" s="145" t="b">
        <f t="shared" si="84"/>
        <v>0</v>
      </c>
      <c r="AK33" s="151" t="b">
        <f t="shared" si="108"/>
        <v>0</v>
      </c>
      <c r="AM33" s="147">
        <f t="shared" si="85"/>
        <v>0</v>
      </c>
      <c r="AO33" s="162">
        <f t="shared" si="86"/>
        <v>0</v>
      </c>
      <c r="AP33" s="162">
        <f t="shared" si="87"/>
        <v>0</v>
      </c>
      <c r="AQ33" s="153">
        <f t="shared" si="88"/>
        <v>0</v>
      </c>
      <c r="AR33" s="162">
        <f t="shared" si="89"/>
        <v>0</v>
      </c>
      <c r="AS33" s="154">
        <f t="shared" si="90"/>
        <v>0</v>
      </c>
      <c r="AT33" s="154">
        <f t="shared" si="109"/>
        <v>40</v>
      </c>
      <c r="AU33" s="155">
        <f t="shared" si="110"/>
        <v>0</v>
      </c>
      <c r="AV33" s="156">
        <f t="shared" si="91"/>
        <v>0</v>
      </c>
      <c r="AW33" s="157">
        <f t="shared" si="111"/>
        <v>0</v>
      </c>
      <c r="AY33" s="157">
        <f t="shared" si="92"/>
        <v>0</v>
      </c>
      <c r="AZ33" s="152">
        <f t="shared" si="93"/>
        <v>0</v>
      </c>
      <c r="BA33" s="152">
        <f t="shared" si="94"/>
        <v>0</v>
      </c>
      <c r="BB33" s="158">
        <f t="shared" si="95"/>
        <v>0</v>
      </c>
      <c r="BC33" s="152">
        <f t="shared" si="96"/>
        <v>0</v>
      </c>
      <c r="BD33" s="154">
        <f t="shared" si="97"/>
        <v>0</v>
      </c>
      <c r="BE33" s="154">
        <f t="shared" si="114"/>
        <v>40</v>
      </c>
      <c r="BF33" s="159">
        <f t="shared" si="112"/>
        <v>0</v>
      </c>
      <c r="BG33" s="160"/>
      <c r="BH33" s="160">
        <f t="shared" ref="BH33:BH37" si="115">IF(AND(G33&gt;0,E33&gt;0),1,0)</f>
        <v>0</v>
      </c>
      <c r="BI33" s="161">
        <f t="shared" si="98"/>
        <v>40</v>
      </c>
      <c r="BJ33" s="161">
        <f t="shared" si="99"/>
        <v>0</v>
      </c>
      <c r="BK33" s="161">
        <f t="shared" si="100"/>
        <v>0</v>
      </c>
      <c r="BL33" s="161">
        <f>SUM(E30:E33)</f>
        <v>0</v>
      </c>
      <c r="BM33" s="160">
        <f t="shared" si="113"/>
        <v>0</v>
      </c>
      <c r="BN33" s="161">
        <f t="shared" ref="BN33:BN36" si="116">IF(AND(BM33=1,J33&gt;8),K33,(IF(AND(BM33=1,J33&gt;0),J33,0)))</f>
        <v>0</v>
      </c>
      <c r="BO33" s="161">
        <f t="shared" ref="BO33:BO36" si="117">IF(AND(BM33=1,40-BL32&gt;0,40-BL32&lt;8),40-BL32,IF(AND(J33&lt;K33),J33,K33))</f>
        <v>0</v>
      </c>
      <c r="BP33" s="161">
        <f t="shared" si="102"/>
        <v>0</v>
      </c>
      <c r="BQ33" s="160"/>
    </row>
    <row r="34" spans="1:69" ht="15" customHeight="1">
      <c r="A34" s="225" t="b">
        <f t="shared" si="103"/>
        <v>0</v>
      </c>
      <c r="B34" s="226"/>
      <c r="C34" s="227"/>
      <c r="D34" s="32" t="s">
        <v>27</v>
      </c>
      <c r="E34" s="52"/>
      <c r="F34" s="52"/>
      <c r="G34" s="77"/>
      <c r="H34" s="52"/>
      <c r="I34" s="52"/>
      <c r="J34" s="108"/>
      <c r="K34" s="108"/>
      <c r="L34" s="109"/>
      <c r="M34" s="52"/>
      <c r="N34" s="52"/>
      <c r="O34" s="110">
        <f t="shared" si="104"/>
        <v>0</v>
      </c>
      <c r="P34" s="50" t="str">
        <f t="shared" si="105"/>
        <v/>
      </c>
      <c r="Q34" s="51"/>
      <c r="R34" s="50" t="str">
        <f t="shared" si="106"/>
        <v/>
      </c>
      <c r="S34" s="52"/>
      <c r="T34" s="52"/>
      <c r="U34" s="149">
        <f t="shared" si="34"/>
        <v>0</v>
      </c>
      <c r="V34" s="150">
        <f t="shared" si="107"/>
        <v>0</v>
      </c>
      <c r="W34" s="50"/>
      <c r="X34" s="49" t="str">
        <f>IF(ISNA(INDEX('Conversion Factors'!$B$6:$B$370,MATCH('May 1 - May 15'!$Z$30:$Z$36,'Conversion Factors'!$A$6:$A$370,0))),"",INDEX('Conversion Factors'!$B$6:$B$370,MATCH('May 1 - May 15'!$Z$30:$Z$36,'Conversion Factors'!$A$6:$A$370,0)))</f>
        <v/>
      </c>
      <c r="Z34" s="17" t="b">
        <f t="shared" si="80"/>
        <v>0</v>
      </c>
      <c r="AA34" s="57" t="str">
        <f t="shared" si="81"/>
        <v/>
      </c>
      <c r="AB34" s="57" t="str">
        <f t="shared" si="82"/>
        <v/>
      </c>
      <c r="AH34" s="71">
        <f t="shared" si="83"/>
        <v>0</v>
      </c>
      <c r="AI34" s="68">
        <f>IF(AH34&gt;$AI$12,AH34-($AI$12+AI33+AI32+AI31+AI30+AI29),0)</f>
        <v>0</v>
      </c>
      <c r="AJ34" s="145" t="b">
        <f t="shared" si="84"/>
        <v>0</v>
      </c>
      <c r="AK34" s="151" t="b">
        <f t="shared" si="108"/>
        <v>0</v>
      </c>
      <c r="AM34" s="147">
        <f t="shared" si="85"/>
        <v>0</v>
      </c>
      <c r="AO34" s="162">
        <f t="shared" si="86"/>
        <v>0</v>
      </c>
      <c r="AP34" s="162">
        <f t="shared" si="87"/>
        <v>0</v>
      </c>
      <c r="AQ34" s="153">
        <f t="shared" si="88"/>
        <v>0</v>
      </c>
      <c r="AR34" s="162">
        <f t="shared" si="89"/>
        <v>0</v>
      </c>
      <c r="AS34" s="154">
        <f t="shared" si="90"/>
        <v>0</v>
      </c>
      <c r="AT34" s="154">
        <f>IF(AND(AH33&lt;=40),40-AH33,0)</f>
        <v>40</v>
      </c>
      <c r="AU34" s="155">
        <f t="shared" si="110"/>
        <v>0</v>
      </c>
      <c r="AV34" s="156">
        <f t="shared" si="91"/>
        <v>0</v>
      </c>
      <c r="AW34" s="157">
        <f t="shared" si="111"/>
        <v>0</v>
      </c>
      <c r="AY34" s="157">
        <f t="shared" si="92"/>
        <v>0</v>
      </c>
      <c r="AZ34" s="152">
        <f t="shared" si="93"/>
        <v>0</v>
      </c>
      <c r="BA34" s="152">
        <f t="shared" si="94"/>
        <v>0</v>
      </c>
      <c r="BB34" s="158">
        <f t="shared" si="95"/>
        <v>0</v>
      </c>
      <c r="BC34" s="152">
        <f t="shared" si="96"/>
        <v>0</v>
      </c>
      <c r="BD34" s="154">
        <f t="shared" si="97"/>
        <v>0</v>
      </c>
      <c r="BE34" s="154">
        <f t="shared" si="114"/>
        <v>40</v>
      </c>
      <c r="BF34" s="159">
        <f t="shared" si="112"/>
        <v>0</v>
      </c>
      <c r="BG34" s="160"/>
      <c r="BH34" s="160">
        <f t="shared" si="115"/>
        <v>0</v>
      </c>
      <c r="BI34" s="161">
        <f t="shared" si="98"/>
        <v>40</v>
      </c>
      <c r="BJ34" s="161">
        <f t="shared" si="99"/>
        <v>0</v>
      </c>
      <c r="BK34" s="161">
        <f t="shared" si="100"/>
        <v>0</v>
      </c>
      <c r="BL34" s="161">
        <f>SUM(E30:E34)</f>
        <v>0</v>
      </c>
      <c r="BM34" s="160">
        <f t="shared" si="113"/>
        <v>0</v>
      </c>
      <c r="BN34" s="161">
        <f t="shared" si="116"/>
        <v>0</v>
      </c>
      <c r="BO34" s="161">
        <f t="shared" si="117"/>
        <v>0</v>
      </c>
      <c r="BP34" s="161">
        <f t="shared" si="102"/>
        <v>0</v>
      </c>
      <c r="BQ34" s="160"/>
    </row>
    <row r="35" spans="1:69" ht="15" customHeight="1">
      <c r="A35" s="225" t="b">
        <f t="shared" si="103"/>
        <v>0</v>
      </c>
      <c r="B35" s="226"/>
      <c r="C35" s="227"/>
      <c r="D35" s="32" t="s">
        <v>28</v>
      </c>
      <c r="E35" s="52"/>
      <c r="F35" s="52"/>
      <c r="G35" s="77"/>
      <c r="H35" s="52"/>
      <c r="I35" s="52"/>
      <c r="J35" s="108"/>
      <c r="K35" s="108"/>
      <c r="L35" s="109"/>
      <c r="M35" s="52"/>
      <c r="N35" s="52"/>
      <c r="O35" s="110">
        <f t="shared" si="104"/>
        <v>0</v>
      </c>
      <c r="P35" s="50" t="str">
        <f t="shared" si="105"/>
        <v/>
      </c>
      <c r="Q35" s="51"/>
      <c r="R35" s="50" t="str">
        <f t="shared" si="106"/>
        <v/>
      </c>
      <c r="S35" s="52"/>
      <c r="T35" s="52"/>
      <c r="U35" s="149">
        <f t="shared" si="34"/>
        <v>0</v>
      </c>
      <c r="V35" s="150">
        <f t="shared" si="107"/>
        <v>0</v>
      </c>
      <c r="W35" s="50"/>
      <c r="X35" s="49" t="str">
        <f>IF(ISNA(INDEX('Conversion Factors'!$B$6:$B$370,MATCH('May 1 - May 15'!$Z$30:$Z$36,'Conversion Factors'!$A$6:$A$370,0))),"",INDEX('Conversion Factors'!$B$6:$B$370,MATCH('May 1 - May 15'!$Z$30:$Z$36,'Conversion Factors'!$A$6:$A$370,0)))</f>
        <v/>
      </c>
      <c r="Z35" s="17" t="b">
        <f t="shared" si="80"/>
        <v>0</v>
      </c>
      <c r="AA35" s="57" t="str">
        <f t="shared" si="81"/>
        <v/>
      </c>
      <c r="AB35" s="57" t="str">
        <f t="shared" si="82"/>
        <v/>
      </c>
      <c r="AH35" s="71">
        <f t="shared" si="83"/>
        <v>0</v>
      </c>
      <c r="AI35" s="68">
        <f>IF(AH35&gt;$AI$12,AH35-($AI$12+AI34+AI33+AI32+AI31+AI30+AI29),0)</f>
        <v>0</v>
      </c>
      <c r="AJ35" s="145" t="b">
        <f t="shared" si="84"/>
        <v>0</v>
      </c>
      <c r="AK35" s="151" t="b">
        <f t="shared" si="108"/>
        <v>0</v>
      </c>
      <c r="AM35" s="147">
        <f t="shared" si="85"/>
        <v>0</v>
      </c>
      <c r="AO35" s="162">
        <f t="shared" si="86"/>
        <v>0</v>
      </c>
      <c r="AP35" s="162">
        <f t="shared" si="87"/>
        <v>0</v>
      </c>
      <c r="AQ35" s="153">
        <f t="shared" si="88"/>
        <v>0</v>
      </c>
      <c r="AR35" s="162">
        <f t="shared" si="89"/>
        <v>0</v>
      </c>
      <c r="AS35" s="154">
        <f t="shared" si="90"/>
        <v>0</v>
      </c>
      <c r="AT35" s="154">
        <f t="shared" ref="AT35:AT36" si="118">IF(AND(AH34&lt;=40),40-AH34,0)</f>
        <v>40</v>
      </c>
      <c r="AU35" s="155">
        <f t="shared" si="110"/>
        <v>0</v>
      </c>
      <c r="AV35" s="156">
        <f t="shared" si="91"/>
        <v>0</v>
      </c>
      <c r="AW35" s="157">
        <f t="shared" si="111"/>
        <v>0</v>
      </c>
      <c r="AY35" s="157">
        <f t="shared" si="92"/>
        <v>0</v>
      </c>
      <c r="AZ35" s="152">
        <f t="shared" si="93"/>
        <v>0</v>
      </c>
      <c r="BA35" s="152">
        <f t="shared" si="94"/>
        <v>0</v>
      </c>
      <c r="BB35" s="158">
        <f t="shared" si="95"/>
        <v>0</v>
      </c>
      <c r="BC35" s="152">
        <f t="shared" si="96"/>
        <v>0</v>
      </c>
      <c r="BD35" s="154">
        <f t="shared" si="97"/>
        <v>0</v>
      </c>
      <c r="BE35" s="154">
        <f t="shared" si="114"/>
        <v>40</v>
      </c>
      <c r="BF35" s="159">
        <f t="shared" si="112"/>
        <v>0</v>
      </c>
      <c r="BG35" s="160"/>
      <c r="BH35" s="160">
        <f t="shared" si="115"/>
        <v>0</v>
      </c>
      <c r="BI35" s="161">
        <f t="shared" si="98"/>
        <v>40</v>
      </c>
      <c r="BJ35" s="161">
        <f t="shared" si="99"/>
        <v>0</v>
      </c>
      <c r="BK35" s="161">
        <f t="shared" si="100"/>
        <v>0</v>
      </c>
      <c r="BL35" s="161">
        <f>SUM(E30:E35)</f>
        <v>0</v>
      </c>
      <c r="BM35" s="160">
        <f t="shared" si="113"/>
        <v>0</v>
      </c>
      <c r="BN35" s="161">
        <f t="shared" si="116"/>
        <v>0</v>
      </c>
      <c r="BO35" s="161">
        <f t="shared" si="117"/>
        <v>0</v>
      </c>
      <c r="BP35" s="161">
        <f>IF(AND(BM35=1,BL35&gt;40,J35&lt;=K35),J35-BO35,IF(AND(BM35=1,BL35&gt;0,J35&gt;K35),K35-BO35,0))</f>
        <v>0</v>
      </c>
      <c r="BQ35" s="160"/>
    </row>
    <row r="36" spans="1:69" ht="15" customHeight="1" thickBot="1">
      <c r="A36" s="225" t="b">
        <f t="shared" si="103"/>
        <v>0</v>
      </c>
      <c r="B36" s="226"/>
      <c r="C36" s="227"/>
      <c r="D36" s="32" t="s">
        <v>29</v>
      </c>
      <c r="E36" s="52"/>
      <c r="F36" s="52"/>
      <c r="G36" s="77"/>
      <c r="H36" s="52"/>
      <c r="I36" s="52"/>
      <c r="J36" s="108"/>
      <c r="K36" s="108"/>
      <c r="L36" s="109"/>
      <c r="M36" s="52"/>
      <c r="N36" s="52"/>
      <c r="O36" s="110">
        <f t="shared" si="104"/>
        <v>0</v>
      </c>
      <c r="P36" s="50" t="str">
        <f t="shared" si="105"/>
        <v/>
      </c>
      <c r="Q36" s="52"/>
      <c r="R36" s="50" t="str">
        <f t="shared" si="106"/>
        <v/>
      </c>
      <c r="S36" s="52"/>
      <c r="T36" s="52"/>
      <c r="U36" s="149">
        <f t="shared" si="34"/>
        <v>0</v>
      </c>
      <c r="V36" s="150">
        <f t="shared" si="107"/>
        <v>0</v>
      </c>
      <c r="W36" s="50"/>
      <c r="X36" s="49" t="str">
        <f>IF(ISNA(INDEX('Conversion Factors'!$B$6:$B$370,MATCH('May 1 - May 15'!$Z$30:$Z$36,'Conversion Factors'!$A$6:$A$370,0))),"",INDEX('Conversion Factors'!$B$6:$B$370,MATCH('May 1 - May 15'!$Z$30:$Z$36,'Conversion Factors'!$A$6:$A$370,0)))</f>
        <v/>
      </c>
      <c r="Z36" s="17" t="b">
        <f t="shared" si="80"/>
        <v>0</v>
      </c>
      <c r="AA36" s="57" t="str">
        <f t="shared" si="81"/>
        <v/>
      </c>
      <c r="AB36" s="57" t="str">
        <f t="shared" si="82"/>
        <v/>
      </c>
      <c r="AH36" s="71">
        <f t="shared" si="83"/>
        <v>0</v>
      </c>
      <c r="AI36" s="68">
        <f>IF(AH36&gt;$AI$12,AH36-($AI$12+AI35+AI34+AI33+AI32+AI31+AI30+AI29),0)</f>
        <v>0</v>
      </c>
      <c r="AJ36" s="145" t="b">
        <f t="shared" si="84"/>
        <v>0</v>
      </c>
      <c r="AK36" s="151" t="b">
        <f t="shared" si="108"/>
        <v>0</v>
      </c>
      <c r="AM36" s="147">
        <f t="shared" si="85"/>
        <v>0</v>
      </c>
      <c r="AO36" s="163">
        <f t="shared" si="86"/>
        <v>0</v>
      </c>
      <c r="AP36" s="163">
        <f t="shared" si="87"/>
        <v>0</v>
      </c>
      <c r="AQ36" s="153">
        <f t="shared" si="88"/>
        <v>0</v>
      </c>
      <c r="AR36" s="163">
        <f t="shared" si="89"/>
        <v>0</v>
      </c>
      <c r="AS36" s="154">
        <f t="shared" si="90"/>
        <v>0</v>
      </c>
      <c r="AT36" s="154">
        <f t="shared" si="118"/>
        <v>40</v>
      </c>
      <c r="AU36" s="155">
        <f t="shared" si="110"/>
        <v>0</v>
      </c>
      <c r="AV36" s="156">
        <f t="shared" si="91"/>
        <v>0</v>
      </c>
      <c r="AW36" s="157">
        <f t="shared" si="111"/>
        <v>0</v>
      </c>
      <c r="AY36" s="157">
        <f t="shared" si="92"/>
        <v>0</v>
      </c>
      <c r="AZ36" s="152">
        <f t="shared" si="93"/>
        <v>0</v>
      </c>
      <c r="BA36" s="152">
        <f t="shared" si="94"/>
        <v>0</v>
      </c>
      <c r="BB36" s="158">
        <f t="shared" si="95"/>
        <v>0</v>
      </c>
      <c r="BC36" s="152">
        <f t="shared" si="96"/>
        <v>0</v>
      </c>
      <c r="BD36" s="154">
        <f t="shared" si="97"/>
        <v>0</v>
      </c>
      <c r="BE36" s="154">
        <f t="shared" si="114"/>
        <v>40</v>
      </c>
      <c r="BF36" s="159">
        <f t="shared" si="112"/>
        <v>0</v>
      </c>
      <c r="BG36" s="160"/>
      <c r="BH36" s="160">
        <f t="shared" si="115"/>
        <v>0</v>
      </c>
      <c r="BI36" s="161">
        <f t="shared" si="98"/>
        <v>40</v>
      </c>
      <c r="BJ36" s="161">
        <f t="shared" si="99"/>
        <v>0</v>
      </c>
      <c r="BK36" s="161">
        <f t="shared" si="100"/>
        <v>0</v>
      </c>
      <c r="BL36" s="161">
        <f>SUM(E30:E36)</f>
        <v>0</v>
      </c>
      <c r="BM36" s="160">
        <f t="shared" si="113"/>
        <v>0</v>
      </c>
      <c r="BN36" s="161">
        <f t="shared" si="116"/>
        <v>0</v>
      </c>
      <c r="BO36" s="161">
        <f t="shared" si="117"/>
        <v>0</v>
      </c>
      <c r="BP36" s="161">
        <f>IF(AND(BM36=1,BL36&gt;40,J36&lt;=K36),J36-BO36,IF(AND(BM36=1,BL36&gt;0,J36&gt;K36),K36-BO36,0))</f>
        <v>0</v>
      </c>
      <c r="BQ36" s="160"/>
    </row>
    <row r="37" spans="1:69" ht="15" customHeight="1" thickTop="1" thickBot="1">
      <c r="A37" s="228" t="s">
        <v>31</v>
      </c>
      <c r="B37" s="229"/>
      <c r="C37" s="230"/>
      <c r="D37" s="48"/>
      <c r="E37" s="34">
        <f t="shared" ref="E37:N37" si="119">SUM(E30:E36)</f>
        <v>0</v>
      </c>
      <c r="F37" s="34">
        <f t="shared" si="119"/>
        <v>0</v>
      </c>
      <c r="G37" s="76">
        <f t="shared" si="119"/>
        <v>0</v>
      </c>
      <c r="H37" s="34">
        <f t="shared" si="119"/>
        <v>0</v>
      </c>
      <c r="I37" s="34">
        <f t="shared" si="119"/>
        <v>0</v>
      </c>
      <c r="J37" s="74"/>
      <c r="K37" s="74">
        <f t="shared" si="119"/>
        <v>0</v>
      </c>
      <c r="L37" s="34">
        <f t="shared" si="119"/>
        <v>0</v>
      </c>
      <c r="M37" s="34">
        <f t="shared" si="119"/>
        <v>0</v>
      </c>
      <c r="N37" s="34">
        <f t="shared" si="119"/>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5"/>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4"/>
        <v>0</v>
      </c>
      <c r="V38" s="150">
        <f>IF(BK38&gt;0,BK38,0)</f>
        <v>0</v>
      </c>
      <c r="W38" s="50"/>
      <c r="X38" s="49" t="str">
        <f>IF(ISNA(INDEX('Conversion Factors'!$B$6:$B$370,MATCH('May 1 - May 15'!$Z$38:$Z$44,'Conversion Factors'!$A$6:$A$370,0))),"",INDEX('Conversion Factors'!$B$6:$B$370,MATCH('May 1 - May 15'!$Z$38:$Z$44,'Conversion Factors'!$A$6:$A$370,0)))</f>
        <v/>
      </c>
      <c r="Z38" s="17" t="b">
        <f t="shared" ref="Z38:Z44" si="120">A38</f>
        <v>0</v>
      </c>
      <c r="AA38" s="57" t="str">
        <f t="shared" ref="AA38:AA44" si="121">IF(AND(ISNUMBER(N38),ISNUMBER($Z$12)),N38/$Z$12,"")</f>
        <v/>
      </c>
      <c r="AB38" s="57" t="str">
        <f t="shared" ref="AB38:AB44" si="122">IF(AND(ISNUMBER(Q38),ISNUMBER($Z$12)),Q38/$Z$12,"")</f>
        <v/>
      </c>
      <c r="AC38" s="58"/>
      <c r="AD38" s="59"/>
      <c r="AE38" s="58"/>
      <c r="AF38" s="58"/>
      <c r="AG38" s="64"/>
      <c r="AH38" s="71">
        <f t="shared" ref="AH38:AH44" si="123">E38+AH37</f>
        <v>0</v>
      </c>
      <c r="AI38" s="68">
        <f>IF(AH38&gt;$AI$12,AH38-($AI$12+AI37),0)</f>
        <v>0</v>
      </c>
      <c r="AJ38" s="145" t="b">
        <f t="shared" ref="AJ38:AJ44" si="124">IF(AND(AZ38&gt;0,AZ38),IF(BA38&gt;0,BA38,IF(BB38&gt;0,BB38,IF(BC38&gt;0,BC38,IF(BF38&gt;0,BF38,"")))))</f>
        <v>0</v>
      </c>
      <c r="AK38" s="151" t="b">
        <f>IF(AND(AO38&gt;0,AO38),IF(AP38&gt;0,AP38,IF(AQ38&gt;0,AQ38,IF(AR38&gt;0,AR38,IF(AU38&gt;0,AU38,"")))))</f>
        <v>0</v>
      </c>
      <c r="AM38" s="147">
        <f t="shared" ref="AM38:AM44" si="125">J38</f>
        <v>0</v>
      </c>
      <c r="AO38" s="152">
        <f t="shared" ref="AO38:AO44" si="126">IF(G38=0,0,"")</f>
        <v>0</v>
      </c>
      <c r="AP38" s="152">
        <f t="shared" ref="AP38:AP44" si="127">IF(AND(AH38&lt;=40,E38=G38),G38,0)</f>
        <v>0</v>
      </c>
      <c r="AQ38" s="153">
        <f t="shared" ref="AQ38:AQ44" si="128">IF(AND(AH38&lt;=40,E38&gt;=G38,G38&gt;0),O38-E38,0)</f>
        <v>0</v>
      </c>
      <c r="AR38" s="152">
        <f t="shared" ref="AR38:AR44" si="129">IF(AND(AH38&lt;=40,E38&lt;G38),O38-G38,0)</f>
        <v>0</v>
      </c>
      <c r="AS38" s="154">
        <f t="shared" ref="AS38:AS44" si="130">IF(AND(G38=0),G38,IF(AND(G38&gt;0,AI38&gt;0,G38=AT38),AT38,IF(AND(G38&gt;0,AI38&gt;0,G38-AT38),AT38,0)))</f>
        <v>0</v>
      </c>
      <c r="AT38" s="154"/>
      <c r="AU38" s="155">
        <f>AS38</f>
        <v>0</v>
      </c>
      <c r="AV38" s="156">
        <f t="shared" ref="AV38:AV44" si="131">IF(AND(AH37+AU38=40,AI38&gt;0,AI38&gt;AU38),AI38-AU38,IF(AND(AH37+AU38=40,AI38&gt;0,AI38&lt;AU38,AU38+AI38=G38),AI38,IF(AND(AH37&gt;40,AH38&gt;40,G38=AI38),AI38,0)))</f>
        <v>0</v>
      </c>
      <c r="AW38" s="157">
        <f>AV38</f>
        <v>0</v>
      </c>
      <c r="AY38" s="157">
        <f t="shared" ref="AY38:AY44" si="132">IF(AND(J38&gt;0,AI38&gt;=J38,BB38=0),O38-AI38,IF(AND(J38&gt;0,AI38&gt;0,BB38&lt;=AI38),AI38-BB38,IF(AND(J38&gt;0,AI38&gt;0,BB38&gt;AI38),J38-BB38,0)))</f>
        <v>0</v>
      </c>
      <c r="AZ38" s="152">
        <f t="shared" ref="AZ38:AZ44" si="133">IF(J38=0,0,"")</f>
        <v>0</v>
      </c>
      <c r="BA38" s="152">
        <f t="shared" ref="BA38:BA44" si="134">IF(AND(AH38&lt;=40,E38=J38),J38,0)</f>
        <v>0</v>
      </c>
      <c r="BB38" s="158">
        <f t="shared" ref="BB38:BB44" si="135">IF(AND(AZ38=0),AZ38,IF(AND(AH38&gt;40,E38&gt;=J38),BE38,IF(AND(AH38&lt;=40,E38&gt;J38),J38,0)))</f>
        <v>0</v>
      </c>
      <c r="BC38" s="152">
        <f t="shared" ref="BC38:BC44" si="136">IF(AND(AH38&lt;=40,E38&lt;J38),O38-J38,0)</f>
        <v>0</v>
      </c>
      <c r="BD38" s="154">
        <f t="shared" ref="BD38:BD44" si="137">IF(AND(J38=0),J38,IF(AND(J38&gt;0,AI38&gt;0,J38=BC38),BC38,IF(AND(J38&gt;0,AI38&gt;0,J38-BC38),BC38,0)))</f>
        <v>0</v>
      </c>
      <c r="BE38" s="154"/>
      <c r="BF38" s="159">
        <f>BD38</f>
        <v>0</v>
      </c>
      <c r="BG38" s="160"/>
      <c r="BH38" s="160">
        <f>IF(AND(G38&gt;0,E38&gt;0),1,0)</f>
        <v>0</v>
      </c>
      <c r="BI38" s="161">
        <f t="shared" ref="BI38:BI44" si="138">40-AH38</f>
        <v>40</v>
      </c>
      <c r="BJ38" s="161">
        <f t="shared" ref="BJ38:BJ44" si="139">IF(AND(BH38=1,40-BL37&gt;0,40-BL37&lt;8),40-BL37,IF(AND(E38&lt;G38),E38,G38))</f>
        <v>0</v>
      </c>
      <c r="BK38" s="161">
        <f t="shared" ref="BK38:BK44" si="140">IF(AND(BH38=1,BL38&gt;40,E38&lt;G38),E38-BJ38,(IF(AND(BH38=1,BL38&gt;0,E38&gt;=G38),G38-BJ38,0)))</f>
        <v>0</v>
      </c>
      <c r="BL38" s="161">
        <f>E38</f>
        <v>0</v>
      </c>
      <c r="BM38" s="160">
        <f>IF(AND(K38&gt;0,E38&gt;0),1,0)</f>
        <v>0</v>
      </c>
      <c r="BN38" s="161">
        <f>IF(AND(BM38=1,J38&gt;8),K38,(IF(AND(BM38=1,J38&gt;0),J38,0)))</f>
        <v>0</v>
      </c>
      <c r="BO38" s="161">
        <f t="shared" ref="BO38:BO39" si="141">IF(AND(BM38=1,40-BL37&gt;0,40-BL37&lt;8),40-BL37,IF(AND(J38&lt;K38),J38,K38))</f>
        <v>0</v>
      </c>
      <c r="BP38" s="161">
        <f t="shared" ref="BP38:BP42" si="142">IF(AND(BM38=1,BL38&gt;40,J38&lt;=K38),J38-BO38,IF(AND(BM38=1,BL38&gt;0,J38&gt;K38),K38-BO38,0))</f>
        <v>0</v>
      </c>
      <c r="BQ38" s="160"/>
    </row>
    <row r="39" spans="1:69" ht="15" customHeight="1">
      <c r="A39" s="225" t="b">
        <f t="shared" ref="A39:A44" si="143">IF(A38&lt;$O$7,A38+1,IF(A38=$O$7,""))</f>
        <v>0</v>
      </c>
      <c r="B39" s="226"/>
      <c r="C39" s="227"/>
      <c r="D39" s="32" t="s">
        <v>24</v>
      </c>
      <c r="E39" s="52"/>
      <c r="F39" s="52"/>
      <c r="G39" s="77"/>
      <c r="H39" s="52"/>
      <c r="I39" s="52"/>
      <c r="J39" s="108"/>
      <c r="K39" s="108"/>
      <c r="L39" s="109"/>
      <c r="M39" s="52"/>
      <c r="N39" s="52"/>
      <c r="O39" s="110">
        <f>SUM(E39:N39)-J39</f>
        <v>0</v>
      </c>
      <c r="P39" s="50" t="str">
        <f t="shared" ref="P39:P44" si="144">IF(AND(ISNUMBER(AA39),ISNUMBER(X39)),AA39*X39,"")</f>
        <v/>
      </c>
      <c r="Q39" s="52"/>
      <c r="R39" s="50" t="str">
        <f t="shared" ref="R39:R44" si="145">IF(AND(ISNUMBER(AB39),ISNUMBER(X39)),AB39*X39,"")</f>
        <v/>
      </c>
      <c r="S39" s="52"/>
      <c r="T39" s="52"/>
      <c r="U39" s="149">
        <f t="shared" si="34"/>
        <v>0</v>
      </c>
      <c r="V39" s="150">
        <f t="shared" ref="V39:V44" si="146">IF(BK39&gt;0,BK39,0)</f>
        <v>0</v>
      </c>
      <c r="W39" s="50"/>
      <c r="X39" s="49" t="str">
        <f>IF(ISNA(INDEX('Conversion Factors'!$B$6:$B$370,MATCH('May 1 - May 15'!$Z$38:$Z$44,'Conversion Factors'!$A$6:$A$370,0))),"",INDEX('Conversion Factors'!$B$6:$B$370,MATCH('May 1 - May 15'!$Z$38:$Z$44,'Conversion Factors'!$A$6:$A$370,0)))</f>
        <v/>
      </c>
      <c r="Z39" s="17" t="b">
        <f t="shared" si="120"/>
        <v>0</v>
      </c>
      <c r="AA39" s="57" t="str">
        <f t="shared" si="121"/>
        <v/>
      </c>
      <c r="AB39" s="57" t="str">
        <f t="shared" si="122"/>
        <v/>
      </c>
      <c r="AH39" s="71">
        <f t="shared" si="123"/>
        <v>0</v>
      </c>
      <c r="AI39" s="68">
        <f>IF(AH39&gt;$AI$12,AH39-($AI$12+AI38+AI37),0)</f>
        <v>0</v>
      </c>
      <c r="AJ39" s="145" t="b">
        <f t="shared" si="124"/>
        <v>0</v>
      </c>
      <c r="AK39" s="151" t="b">
        <f t="shared" ref="AK39:AK44" si="147">IF(AND(AO39&gt;0,AO39),IF(AP39&gt;0,AP39,IF(AQ39&gt;0,AQ39,IF(AR39&gt;0,AR39,IF(AU39&gt;0,AU39,0)))))</f>
        <v>0</v>
      </c>
      <c r="AM39" s="147">
        <f t="shared" si="125"/>
        <v>0</v>
      </c>
      <c r="AO39" s="162">
        <f t="shared" si="126"/>
        <v>0</v>
      </c>
      <c r="AP39" s="162">
        <f t="shared" si="127"/>
        <v>0</v>
      </c>
      <c r="AQ39" s="153">
        <f t="shared" si="128"/>
        <v>0</v>
      </c>
      <c r="AR39" s="162">
        <f t="shared" si="129"/>
        <v>0</v>
      </c>
      <c r="AS39" s="154">
        <f t="shared" si="130"/>
        <v>0</v>
      </c>
      <c r="AT39" s="154">
        <f t="shared" ref="AT39:AT41" si="148">IF(AND(AH38&lt;=40),40-AH38,0)</f>
        <v>40</v>
      </c>
      <c r="AU39" s="155">
        <f t="shared" ref="AU39:AU44" si="149">AS39</f>
        <v>0</v>
      </c>
      <c r="AV39" s="156">
        <f t="shared" si="131"/>
        <v>0</v>
      </c>
      <c r="AW39" s="157">
        <f t="shared" ref="AW39:AW44" si="150">AV39</f>
        <v>0</v>
      </c>
      <c r="AY39" s="157">
        <f t="shared" si="132"/>
        <v>0</v>
      </c>
      <c r="AZ39" s="152">
        <f t="shared" si="133"/>
        <v>0</v>
      </c>
      <c r="BA39" s="152">
        <f t="shared" si="134"/>
        <v>0</v>
      </c>
      <c r="BB39" s="158">
        <f t="shared" si="135"/>
        <v>0</v>
      </c>
      <c r="BC39" s="152">
        <f t="shared" si="136"/>
        <v>0</v>
      </c>
      <c r="BD39" s="154">
        <f t="shared" si="137"/>
        <v>0</v>
      </c>
      <c r="BE39" s="154">
        <f>IF(AND(AH38&lt;=40),40-AH38,0)</f>
        <v>40</v>
      </c>
      <c r="BF39" s="159">
        <f t="shared" ref="BF39:BF44" si="151">BD39</f>
        <v>0</v>
      </c>
      <c r="BG39" s="160"/>
      <c r="BH39" s="160">
        <f>IF(AND(G39&gt;0,E39&gt;0),1,0)</f>
        <v>0</v>
      </c>
      <c r="BI39" s="161">
        <f t="shared" si="138"/>
        <v>40</v>
      </c>
      <c r="BJ39" s="161">
        <f t="shared" si="139"/>
        <v>0</v>
      </c>
      <c r="BK39" s="161">
        <f t="shared" si="140"/>
        <v>0</v>
      </c>
      <c r="BL39" s="161">
        <f>SUM(E38:E39)</f>
        <v>0</v>
      </c>
      <c r="BM39" s="160">
        <f t="shared" ref="BM39:BM44" si="152">IF(AND(K39&gt;0,E39&gt;0),1,0)</f>
        <v>0</v>
      </c>
      <c r="BN39" s="161">
        <f>IF(AND(BM39=1,J39&gt;8),K39,(IF(AND(BM39=1,J39&gt;0),J39,0)))</f>
        <v>0</v>
      </c>
      <c r="BO39" s="161">
        <f t="shared" si="141"/>
        <v>0</v>
      </c>
      <c r="BP39" s="161">
        <f t="shared" si="142"/>
        <v>0</v>
      </c>
      <c r="BQ39" s="160"/>
    </row>
    <row r="40" spans="1:69" ht="15" customHeight="1">
      <c r="A40" s="225" t="b">
        <f t="shared" si="143"/>
        <v>0</v>
      </c>
      <c r="B40" s="226"/>
      <c r="C40" s="227"/>
      <c r="D40" s="32" t="s">
        <v>25</v>
      </c>
      <c r="E40" s="52"/>
      <c r="F40" s="52"/>
      <c r="G40" s="77"/>
      <c r="H40" s="52"/>
      <c r="I40" s="52"/>
      <c r="J40" s="108">
        <v>0</v>
      </c>
      <c r="K40" s="108">
        <v>0</v>
      </c>
      <c r="L40" s="109"/>
      <c r="M40" s="52"/>
      <c r="N40" s="52"/>
      <c r="O40" s="110">
        <f t="shared" ref="O40:O43" si="153">SUM(E40:N40)-J40</f>
        <v>0</v>
      </c>
      <c r="P40" s="50" t="str">
        <f t="shared" si="144"/>
        <v/>
      </c>
      <c r="Q40" s="52"/>
      <c r="R40" s="50" t="str">
        <f t="shared" si="145"/>
        <v/>
      </c>
      <c r="S40" s="52"/>
      <c r="T40" s="52"/>
      <c r="U40" s="149">
        <f t="shared" si="34"/>
        <v>0</v>
      </c>
      <c r="V40" s="150">
        <f t="shared" si="146"/>
        <v>0</v>
      </c>
      <c r="W40" s="50"/>
      <c r="X40" s="49" t="str">
        <f>IF(ISNA(INDEX('Conversion Factors'!$B$6:$B$370,MATCH('May 1 - May 15'!$Z$38:$Z$44,'Conversion Factors'!$A$6:$A$370,0))),"",INDEX('Conversion Factors'!$B$6:$B$370,MATCH('May 1 - May 15'!$Z$38:$Z$44,'Conversion Factors'!$A$6:$A$370,0)))</f>
        <v/>
      </c>
      <c r="Z40" s="17" t="b">
        <f t="shared" si="120"/>
        <v>0</v>
      </c>
      <c r="AA40" s="57" t="str">
        <f t="shared" si="121"/>
        <v/>
      </c>
      <c r="AB40" s="57" t="str">
        <f t="shared" si="122"/>
        <v/>
      </c>
      <c r="AG40" s="1"/>
      <c r="AH40" s="71">
        <f t="shared" si="123"/>
        <v>0</v>
      </c>
      <c r="AI40" s="68">
        <f>IF(AH40&gt;$AI$12,AH40-($AI$12+AI39+AI38+AI37),0)</f>
        <v>0</v>
      </c>
      <c r="AJ40" s="145" t="b">
        <f t="shared" si="124"/>
        <v>0</v>
      </c>
      <c r="AK40" s="151" t="b">
        <f t="shared" si="147"/>
        <v>0</v>
      </c>
      <c r="AM40" s="147">
        <f t="shared" si="125"/>
        <v>0</v>
      </c>
      <c r="AO40" s="162">
        <f t="shared" si="126"/>
        <v>0</v>
      </c>
      <c r="AP40" s="162">
        <f t="shared" si="127"/>
        <v>0</v>
      </c>
      <c r="AQ40" s="153">
        <f t="shared" si="128"/>
        <v>0</v>
      </c>
      <c r="AR40" s="162">
        <f t="shared" si="129"/>
        <v>0</v>
      </c>
      <c r="AS40" s="154">
        <f t="shared" si="130"/>
        <v>0</v>
      </c>
      <c r="AT40" s="154">
        <f t="shared" si="148"/>
        <v>40</v>
      </c>
      <c r="AU40" s="155">
        <f t="shared" si="149"/>
        <v>0</v>
      </c>
      <c r="AV40" s="156">
        <f t="shared" si="131"/>
        <v>0</v>
      </c>
      <c r="AW40" s="157">
        <f t="shared" si="150"/>
        <v>0</v>
      </c>
      <c r="AY40" s="157">
        <f t="shared" si="132"/>
        <v>0</v>
      </c>
      <c r="AZ40" s="152">
        <f t="shared" si="133"/>
        <v>0</v>
      </c>
      <c r="BA40" s="152">
        <f t="shared" si="134"/>
        <v>0</v>
      </c>
      <c r="BB40" s="158">
        <f t="shared" si="135"/>
        <v>0</v>
      </c>
      <c r="BC40" s="152">
        <f t="shared" si="136"/>
        <v>0</v>
      </c>
      <c r="BD40" s="154">
        <f t="shared" si="137"/>
        <v>0</v>
      </c>
      <c r="BE40" s="154">
        <f t="shared" ref="BE40:BE44" si="154">IF(AND(AH39&lt;=40),40-AH39,0)</f>
        <v>40</v>
      </c>
      <c r="BF40" s="159">
        <f t="shared" si="151"/>
        <v>0</v>
      </c>
      <c r="BG40" s="160"/>
      <c r="BH40" s="160">
        <f>IF(AND(G40&gt;0,E40&gt;0),1,0)</f>
        <v>0</v>
      </c>
      <c r="BI40" s="161">
        <f t="shared" si="138"/>
        <v>40</v>
      </c>
      <c r="BJ40" s="161">
        <f t="shared" si="139"/>
        <v>0</v>
      </c>
      <c r="BK40" s="161">
        <f t="shared" si="140"/>
        <v>0</v>
      </c>
      <c r="BL40" s="161">
        <f>SUM(E38:E40)</f>
        <v>0</v>
      </c>
      <c r="BM40" s="160">
        <f t="shared" si="152"/>
        <v>0</v>
      </c>
      <c r="BN40" s="161">
        <f>IF(AND(BM40=1,J40&gt;8),K40,(IF(AND(BM40=1,J40&gt;0),J40,0)))</f>
        <v>0</v>
      </c>
      <c r="BO40" s="161">
        <f>IF(AND(BM40=1,40-BL39&gt;0,40-BL39&lt;8),40-BL39,IF(AND(J40&lt;K40),J40,K40))</f>
        <v>0</v>
      </c>
      <c r="BP40" s="161">
        <f t="shared" si="142"/>
        <v>0</v>
      </c>
      <c r="BQ40" s="160"/>
    </row>
    <row r="41" spans="1:69" ht="15" customHeight="1">
      <c r="A41" s="225" t="b">
        <f t="shared" si="143"/>
        <v>0</v>
      </c>
      <c r="B41" s="226"/>
      <c r="C41" s="227"/>
      <c r="D41" s="32" t="s">
        <v>26</v>
      </c>
      <c r="E41" s="52"/>
      <c r="F41" s="52"/>
      <c r="G41" s="77"/>
      <c r="H41" s="52"/>
      <c r="I41" s="52"/>
      <c r="J41" s="108"/>
      <c r="K41" s="108"/>
      <c r="L41" s="109"/>
      <c r="M41" s="52"/>
      <c r="N41" s="52"/>
      <c r="O41" s="110">
        <f t="shared" si="153"/>
        <v>0</v>
      </c>
      <c r="P41" s="50" t="str">
        <f t="shared" si="144"/>
        <v/>
      </c>
      <c r="Q41" s="52"/>
      <c r="R41" s="50" t="str">
        <f t="shared" si="145"/>
        <v/>
      </c>
      <c r="S41" s="52"/>
      <c r="T41" s="52"/>
      <c r="U41" s="149">
        <f t="shared" si="34"/>
        <v>0</v>
      </c>
      <c r="V41" s="150">
        <f t="shared" si="146"/>
        <v>0</v>
      </c>
      <c r="W41" s="50"/>
      <c r="X41" s="49" t="str">
        <f>IF(ISNA(INDEX('Conversion Factors'!$B$6:$B$370,MATCH('May 1 - May 15'!$Z$38:$Z$44,'Conversion Factors'!$A$6:$A$370,0))),"",INDEX('Conversion Factors'!$B$6:$B$370,MATCH('May 1 - May 15'!$Z$38:$Z$44,'Conversion Factors'!$A$6:$A$370,0)))</f>
        <v/>
      </c>
      <c r="Z41" s="17" t="b">
        <f t="shared" si="120"/>
        <v>0</v>
      </c>
      <c r="AA41" s="57" t="str">
        <f t="shared" si="121"/>
        <v/>
      </c>
      <c r="AB41" s="57" t="str">
        <f t="shared" si="122"/>
        <v/>
      </c>
      <c r="AG41" s="1"/>
      <c r="AH41" s="71">
        <f t="shared" si="123"/>
        <v>0</v>
      </c>
      <c r="AI41" s="68">
        <f>IF(AH41&gt;$AI$12,AH41-($AI$12+AI40+AI39+AI38+AI37),0)</f>
        <v>0</v>
      </c>
      <c r="AJ41" s="145" t="b">
        <f t="shared" si="124"/>
        <v>0</v>
      </c>
      <c r="AK41" s="151" t="b">
        <f t="shared" si="147"/>
        <v>0</v>
      </c>
      <c r="AM41" s="147">
        <f t="shared" si="125"/>
        <v>0</v>
      </c>
      <c r="AO41" s="162">
        <f t="shared" si="126"/>
        <v>0</v>
      </c>
      <c r="AP41" s="162">
        <f t="shared" si="127"/>
        <v>0</v>
      </c>
      <c r="AQ41" s="153">
        <f t="shared" si="128"/>
        <v>0</v>
      </c>
      <c r="AR41" s="162">
        <f t="shared" si="129"/>
        <v>0</v>
      </c>
      <c r="AS41" s="154">
        <f t="shared" si="130"/>
        <v>0</v>
      </c>
      <c r="AT41" s="154">
        <f t="shared" si="148"/>
        <v>40</v>
      </c>
      <c r="AU41" s="155">
        <f t="shared" si="149"/>
        <v>0</v>
      </c>
      <c r="AV41" s="156">
        <f t="shared" si="131"/>
        <v>0</v>
      </c>
      <c r="AW41" s="157">
        <f t="shared" si="150"/>
        <v>0</v>
      </c>
      <c r="AY41" s="157">
        <f t="shared" si="132"/>
        <v>0</v>
      </c>
      <c r="AZ41" s="152">
        <f t="shared" si="133"/>
        <v>0</v>
      </c>
      <c r="BA41" s="152">
        <f t="shared" si="134"/>
        <v>0</v>
      </c>
      <c r="BB41" s="158">
        <f t="shared" si="135"/>
        <v>0</v>
      </c>
      <c r="BC41" s="152">
        <f t="shared" si="136"/>
        <v>0</v>
      </c>
      <c r="BD41" s="154">
        <f t="shared" si="137"/>
        <v>0</v>
      </c>
      <c r="BE41" s="154">
        <f t="shared" si="154"/>
        <v>40</v>
      </c>
      <c r="BF41" s="159">
        <f t="shared" si="151"/>
        <v>0</v>
      </c>
      <c r="BG41" s="160"/>
      <c r="BH41" s="160">
        <f t="shared" ref="BH41:BH44" si="155">IF(AND(G41&gt;0,E41&gt;0),1,0)</f>
        <v>0</v>
      </c>
      <c r="BI41" s="161">
        <f t="shared" si="138"/>
        <v>40</v>
      </c>
      <c r="BJ41" s="161">
        <f t="shared" si="139"/>
        <v>0</v>
      </c>
      <c r="BK41" s="161">
        <f t="shared" si="140"/>
        <v>0</v>
      </c>
      <c r="BL41" s="161">
        <f>SUM(E38:E41)</f>
        <v>0</v>
      </c>
      <c r="BM41" s="160">
        <f t="shared" si="152"/>
        <v>0</v>
      </c>
      <c r="BN41" s="161">
        <f t="shared" ref="BN41:BN44" si="156">IF(AND(BM41=1,J41&gt;8),K41,(IF(AND(BM41=1,J41&gt;0),J41,0)))</f>
        <v>0</v>
      </c>
      <c r="BO41" s="161">
        <f t="shared" ref="BO41:BO44" si="157">IF(AND(BM41=1,40-BL40&gt;0,40-BL40&lt;8),40-BL40,IF(AND(J41&lt;K41),J41,K41))</f>
        <v>0</v>
      </c>
      <c r="BP41" s="161">
        <f t="shared" si="142"/>
        <v>0</v>
      </c>
      <c r="BQ41" s="160"/>
    </row>
    <row r="42" spans="1:69" ht="15" customHeight="1">
      <c r="A42" s="225" t="b">
        <f t="shared" si="143"/>
        <v>0</v>
      </c>
      <c r="B42" s="226"/>
      <c r="C42" s="227"/>
      <c r="D42" s="32" t="s">
        <v>27</v>
      </c>
      <c r="E42" s="52"/>
      <c r="F42" s="52"/>
      <c r="G42" s="77"/>
      <c r="H42" s="52"/>
      <c r="I42" s="52"/>
      <c r="J42" s="108"/>
      <c r="K42" s="108"/>
      <c r="L42" s="109"/>
      <c r="M42" s="52"/>
      <c r="N42" s="52"/>
      <c r="O42" s="110">
        <f t="shared" si="153"/>
        <v>0</v>
      </c>
      <c r="P42" s="50" t="str">
        <f t="shared" si="144"/>
        <v/>
      </c>
      <c r="Q42" s="52"/>
      <c r="R42" s="50" t="str">
        <f t="shared" si="145"/>
        <v/>
      </c>
      <c r="S42" s="52"/>
      <c r="T42" s="52"/>
      <c r="U42" s="149">
        <f t="shared" si="34"/>
        <v>0</v>
      </c>
      <c r="V42" s="150">
        <f t="shared" si="146"/>
        <v>0</v>
      </c>
      <c r="W42" s="50"/>
      <c r="X42" s="49" t="str">
        <f>IF(ISNA(INDEX('Conversion Factors'!$B$6:$B$370,MATCH('May 1 - May 15'!$Z$38:$Z$44,'Conversion Factors'!$A$6:$A$370,0))),"",INDEX('Conversion Factors'!$B$6:$B$370,MATCH('May 1 - May 15'!$Z$38:$Z$44,'Conversion Factors'!$A$6:$A$370,0)))</f>
        <v/>
      </c>
      <c r="Z42" s="17" t="b">
        <f t="shared" si="120"/>
        <v>0</v>
      </c>
      <c r="AA42" s="57" t="str">
        <f t="shared" si="121"/>
        <v/>
      </c>
      <c r="AB42" s="57" t="str">
        <f t="shared" si="122"/>
        <v/>
      </c>
      <c r="AH42" s="71">
        <f t="shared" si="123"/>
        <v>0</v>
      </c>
      <c r="AI42" s="68">
        <f>IF(AH42&gt;$AI$12,AH42-($AI$12+AI41+AI40+AI39+AI38+AI37),0)</f>
        <v>0</v>
      </c>
      <c r="AJ42" s="145" t="b">
        <f t="shared" si="124"/>
        <v>0</v>
      </c>
      <c r="AK42" s="151" t="b">
        <f t="shared" si="147"/>
        <v>0</v>
      </c>
      <c r="AM42" s="147">
        <f t="shared" si="125"/>
        <v>0</v>
      </c>
      <c r="AO42" s="162">
        <f t="shared" si="126"/>
        <v>0</v>
      </c>
      <c r="AP42" s="162">
        <f t="shared" si="127"/>
        <v>0</v>
      </c>
      <c r="AQ42" s="153">
        <f t="shared" si="128"/>
        <v>0</v>
      </c>
      <c r="AR42" s="162">
        <f t="shared" si="129"/>
        <v>0</v>
      </c>
      <c r="AS42" s="154">
        <f t="shared" si="130"/>
        <v>0</v>
      </c>
      <c r="AT42" s="154">
        <f>IF(AND(AH41&lt;=40),40-AH41,0)</f>
        <v>40</v>
      </c>
      <c r="AU42" s="155">
        <f t="shared" si="149"/>
        <v>0</v>
      </c>
      <c r="AV42" s="156">
        <f t="shared" si="131"/>
        <v>0</v>
      </c>
      <c r="AW42" s="157">
        <f t="shared" si="150"/>
        <v>0</v>
      </c>
      <c r="AY42" s="157">
        <f t="shared" si="132"/>
        <v>0</v>
      </c>
      <c r="AZ42" s="152">
        <f t="shared" si="133"/>
        <v>0</v>
      </c>
      <c r="BA42" s="152">
        <f t="shared" si="134"/>
        <v>0</v>
      </c>
      <c r="BB42" s="158">
        <f t="shared" si="135"/>
        <v>0</v>
      </c>
      <c r="BC42" s="152">
        <f t="shared" si="136"/>
        <v>0</v>
      </c>
      <c r="BD42" s="154">
        <f t="shared" si="137"/>
        <v>0</v>
      </c>
      <c r="BE42" s="154">
        <f t="shared" si="154"/>
        <v>40</v>
      </c>
      <c r="BF42" s="159">
        <f t="shared" si="151"/>
        <v>0</v>
      </c>
      <c r="BG42" s="160"/>
      <c r="BH42" s="160">
        <f t="shared" si="155"/>
        <v>0</v>
      </c>
      <c r="BI42" s="161">
        <f t="shared" si="138"/>
        <v>40</v>
      </c>
      <c r="BJ42" s="161">
        <f t="shared" si="139"/>
        <v>0</v>
      </c>
      <c r="BK42" s="161">
        <f t="shared" si="140"/>
        <v>0</v>
      </c>
      <c r="BL42" s="161">
        <f>SUM(E38:E42)</f>
        <v>0</v>
      </c>
      <c r="BM42" s="160">
        <f t="shared" si="152"/>
        <v>0</v>
      </c>
      <c r="BN42" s="161">
        <f t="shared" si="156"/>
        <v>0</v>
      </c>
      <c r="BO42" s="161">
        <f t="shared" si="157"/>
        <v>0</v>
      </c>
      <c r="BP42" s="161">
        <f t="shared" si="142"/>
        <v>0</v>
      </c>
      <c r="BQ42" s="160"/>
    </row>
    <row r="43" spans="1:69" ht="15" customHeight="1">
      <c r="A43" s="225" t="b">
        <f t="shared" si="143"/>
        <v>0</v>
      </c>
      <c r="B43" s="226"/>
      <c r="C43" s="227"/>
      <c r="D43" s="32" t="s">
        <v>28</v>
      </c>
      <c r="E43" s="52"/>
      <c r="F43" s="52"/>
      <c r="G43" s="77"/>
      <c r="H43" s="52"/>
      <c r="I43" s="52"/>
      <c r="J43" s="108"/>
      <c r="K43" s="108"/>
      <c r="L43" s="109"/>
      <c r="M43" s="52"/>
      <c r="N43" s="52"/>
      <c r="O43" s="110">
        <f t="shared" si="153"/>
        <v>0</v>
      </c>
      <c r="P43" s="50" t="str">
        <f t="shared" si="144"/>
        <v/>
      </c>
      <c r="Q43" s="52"/>
      <c r="R43" s="50" t="str">
        <f t="shared" si="145"/>
        <v/>
      </c>
      <c r="S43" s="52"/>
      <c r="T43" s="52"/>
      <c r="U43" s="149">
        <f t="shared" si="34"/>
        <v>0</v>
      </c>
      <c r="V43" s="150">
        <f t="shared" si="146"/>
        <v>0</v>
      </c>
      <c r="W43" s="50"/>
      <c r="X43" s="49" t="str">
        <f>IF(ISNA(INDEX('Conversion Factors'!$B$6:$B$370,MATCH('May 1 - May 15'!$Z$38:$Z$44,'Conversion Factors'!$A$6:$A$370,0))),"",INDEX('Conversion Factors'!$B$6:$B$370,MATCH('May 1 - May 15'!$Z$38:$Z$44,'Conversion Factors'!$A$6:$A$370,0)))</f>
        <v/>
      </c>
      <c r="Z43" s="17" t="b">
        <f t="shared" si="120"/>
        <v>0</v>
      </c>
      <c r="AA43" s="57" t="str">
        <f t="shared" si="121"/>
        <v/>
      </c>
      <c r="AB43" s="57" t="str">
        <f t="shared" si="122"/>
        <v/>
      </c>
      <c r="AH43" s="71">
        <f t="shared" si="123"/>
        <v>0</v>
      </c>
      <c r="AI43" s="68">
        <f>IF(AH43&gt;$AI$12,AH43-($AI$12+AI42+AI41+AI40+AI39+AI38+AI37),0)</f>
        <v>0</v>
      </c>
      <c r="AJ43" s="145" t="b">
        <f t="shared" si="124"/>
        <v>0</v>
      </c>
      <c r="AK43" s="151" t="b">
        <f t="shared" si="147"/>
        <v>0</v>
      </c>
      <c r="AM43" s="147">
        <f t="shared" si="125"/>
        <v>0</v>
      </c>
      <c r="AO43" s="162">
        <f t="shared" si="126"/>
        <v>0</v>
      </c>
      <c r="AP43" s="162">
        <f t="shared" si="127"/>
        <v>0</v>
      </c>
      <c r="AQ43" s="153">
        <f t="shared" si="128"/>
        <v>0</v>
      </c>
      <c r="AR43" s="162">
        <f t="shared" si="129"/>
        <v>0</v>
      </c>
      <c r="AS43" s="154">
        <f t="shared" si="130"/>
        <v>0</v>
      </c>
      <c r="AT43" s="154">
        <f t="shared" ref="AT43:AT44" si="158">IF(AND(AH42&lt;=40),40-AH42,0)</f>
        <v>40</v>
      </c>
      <c r="AU43" s="155">
        <f t="shared" si="149"/>
        <v>0</v>
      </c>
      <c r="AV43" s="156">
        <f t="shared" si="131"/>
        <v>0</v>
      </c>
      <c r="AW43" s="157">
        <f t="shared" si="150"/>
        <v>0</v>
      </c>
      <c r="AY43" s="157">
        <f t="shared" si="132"/>
        <v>0</v>
      </c>
      <c r="AZ43" s="152">
        <f t="shared" si="133"/>
        <v>0</v>
      </c>
      <c r="BA43" s="152">
        <f t="shared" si="134"/>
        <v>0</v>
      </c>
      <c r="BB43" s="158">
        <f t="shared" si="135"/>
        <v>0</v>
      </c>
      <c r="BC43" s="152">
        <f t="shared" si="136"/>
        <v>0</v>
      </c>
      <c r="BD43" s="154">
        <f t="shared" si="137"/>
        <v>0</v>
      </c>
      <c r="BE43" s="154">
        <f t="shared" si="154"/>
        <v>40</v>
      </c>
      <c r="BF43" s="159">
        <f t="shared" si="151"/>
        <v>0</v>
      </c>
      <c r="BG43" s="160"/>
      <c r="BH43" s="160">
        <f t="shared" si="155"/>
        <v>0</v>
      </c>
      <c r="BI43" s="161">
        <f t="shared" si="138"/>
        <v>40</v>
      </c>
      <c r="BJ43" s="161">
        <f t="shared" si="139"/>
        <v>0</v>
      </c>
      <c r="BK43" s="161">
        <f t="shared" si="140"/>
        <v>0</v>
      </c>
      <c r="BL43" s="161">
        <f>SUM(E38:E43)</f>
        <v>0</v>
      </c>
      <c r="BM43" s="160">
        <f t="shared" si="152"/>
        <v>0</v>
      </c>
      <c r="BN43" s="161">
        <f t="shared" si="156"/>
        <v>0</v>
      </c>
      <c r="BO43" s="161">
        <f t="shared" si="157"/>
        <v>0</v>
      </c>
      <c r="BP43" s="161">
        <f>IF(AND(BM43=1,BL43&gt;40,J43&lt;=K43),J43-BO43,IF(AND(BM43=1,BL43&gt;0,J43&gt;K43),K43-BO43,0))</f>
        <v>0</v>
      </c>
      <c r="BQ43" s="160"/>
    </row>
    <row r="44" spans="1:69" ht="15" customHeight="1" thickBot="1">
      <c r="A44" s="231" t="b">
        <f t="shared" si="143"/>
        <v>0</v>
      </c>
      <c r="B44" s="232"/>
      <c r="C44" s="233"/>
      <c r="D44" s="32" t="s">
        <v>29</v>
      </c>
      <c r="E44" s="52"/>
      <c r="F44" s="52"/>
      <c r="G44" s="77"/>
      <c r="H44" s="52"/>
      <c r="I44" s="52"/>
      <c r="J44" s="108"/>
      <c r="K44" s="108"/>
      <c r="L44" s="109"/>
      <c r="M44" s="52"/>
      <c r="N44" s="52"/>
      <c r="O44" s="110">
        <f>SUM(E44:N44)-J44</f>
        <v>0</v>
      </c>
      <c r="P44" s="50" t="str">
        <f t="shared" si="144"/>
        <v/>
      </c>
      <c r="Q44" s="52"/>
      <c r="R44" s="50" t="str">
        <f t="shared" si="145"/>
        <v/>
      </c>
      <c r="S44" s="52"/>
      <c r="T44" s="52"/>
      <c r="U44" s="149">
        <f t="shared" si="34"/>
        <v>0</v>
      </c>
      <c r="V44" s="150">
        <f t="shared" si="146"/>
        <v>0</v>
      </c>
      <c r="W44" s="50"/>
      <c r="X44" s="49" t="str">
        <f>IF(ISNA(INDEX('Conversion Factors'!$B$6:$B$370,MATCH('May 1 - May 15'!$Z$38:$Z$44,'Conversion Factors'!$A$6:$A$370,0))),"",INDEX('Conversion Factors'!$B$6:$B$370,MATCH('May 1 - May 15'!$Z$38:$Z$44,'Conversion Factors'!$A$6:$A$370,0)))</f>
        <v/>
      </c>
      <c r="Z44" s="17" t="b">
        <f t="shared" si="120"/>
        <v>0</v>
      </c>
      <c r="AA44" s="57" t="str">
        <f t="shared" si="121"/>
        <v/>
      </c>
      <c r="AB44" s="57" t="str">
        <f t="shared" si="122"/>
        <v/>
      </c>
      <c r="AH44" s="71">
        <f t="shared" si="123"/>
        <v>0</v>
      </c>
      <c r="AI44" s="68">
        <f>IF(AH44&gt;$AI$12,AH44-($AI$12+AI43+AI42+AI41+AI40+AI39+AI38+AI37),0)</f>
        <v>0</v>
      </c>
      <c r="AJ44" s="145" t="b">
        <f t="shared" si="124"/>
        <v>0</v>
      </c>
      <c r="AK44" s="151" t="b">
        <f t="shared" si="147"/>
        <v>0</v>
      </c>
      <c r="AM44" s="147">
        <f t="shared" si="125"/>
        <v>0</v>
      </c>
      <c r="AO44" s="163">
        <f t="shared" si="126"/>
        <v>0</v>
      </c>
      <c r="AP44" s="163">
        <f t="shared" si="127"/>
        <v>0</v>
      </c>
      <c r="AQ44" s="153">
        <f t="shared" si="128"/>
        <v>0</v>
      </c>
      <c r="AR44" s="163">
        <f t="shared" si="129"/>
        <v>0</v>
      </c>
      <c r="AS44" s="154">
        <f t="shared" si="130"/>
        <v>0</v>
      </c>
      <c r="AT44" s="154">
        <f t="shared" si="158"/>
        <v>40</v>
      </c>
      <c r="AU44" s="155">
        <f t="shared" si="149"/>
        <v>0</v>
      </c>
      <c r="AV44" s="156">
        <f t="shared" si="131"/>
        <v>0</v>
      </c>
      <c r="AW44" s="157">
        <f t="shared" si="150"/>
        <v>0</v>
      </c>
      <c r="AY44" s="157">
        <f t="shared" si="132"/>
        <v>0</v>
      </c>
      <c r="AZ44" s="152">
        <f t="shared" si="133"/>
        <v>0</v>
      </c>
      <c r="BA44" s="152">
        <f t="shared" si="134"/>
        <v>0</v>
      </c>
      <c r="BB44" s="158">
        <f t="shared" si="135"/>
        <v>0</v>
      </c>
      <c r="BC44" s="152">
        <f t="shared" si="136"/>
        <v>0</v>
      </c>
      <c r="BD44" s="154">
        <f t="shared" si="137"/>
        <v>0</v>
      </c>
      <c r="BE44" s="154">
        <f t="shared" si="154"/>
        <v>40</v>
      </c>
      <c r="BF44" s="159">
        <f t="shared" si="151"/>
        <v>0</v>
      </c>
      <c r="BG44" s="160"/>
      <c r="BH44" s="160">
        <f t="shared" si="155"/>
        <v>0</v>
      </c>
      <c r="BI44" s="161">
        <f t="shared" si="138"/>
        <v>40</v>
      </c>
      <c r="BJ44" s="161">
        <f t="shared" si="139"/>
        <v>0</v>
      </c>
      <c r="BK44" s="161">
        <f t="shared" si="140"/>
        <v>0</v>
      </c>
      <c r="BL44" s="161">
        <f>SUM(E38:E44)</f>
        <v>0</v>
      </c>
      <c r="BM44" s="160">
        <f t="shared" si="152"/>
        <v>0</v>
      </c>
      <c r="BN44" s="161">
        <f t="shared" si="156"/>
        <v>0</v>
      </c>
      <c r="BO44" s="161">
        <f t="shared" si="157"/>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59">SUM(F38:F44)</f>
        <v>0</v>
      </c>
      <c r="G45" s="76">
        <f t="shared" si="159"/>
        <v>0</v>
      </c>
      <c r="H45" s="34">
        <f t="shared" si="159"/>
        <v>0</v>
      </c>
      <c r="I45" s="34">
        <f t="shared" si="159"/>
        <v>0</v>
      </c>
      <c r="J45" s="74"/>
      <c r="K45" s="74">
        <f t="shared" si="159"/>
        <v>0</v>
      </c>
      <c r="L45" s="34">
        <f t="shared" si="159"/>
        <v>0</v>
      </c>
      <c r="M45" s="34">
        <f t="shared" si="159"/>
        <v>0</v>
      </c>
      <c r="N45" s="34">
        <f t="shared" si="159"/>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0">(P21+P29+P37+P45)-P13</f>
        <v>0</v>
      </c>
      <c r="Q46" s="34">
        <f t="shared" si="160"/>
        <v>0</v>
      </c>
      <c r="R46" s="78">
        <f t="shared" si="160"/>
        <v>0</v>
      </c>
      <c r="S46" s="34">
        <f t="shared" si="160"/>
        <v>0</v>
      </c>
      <c r="T46" s="34">
        <f t="shared" si="160"/>
        <v>0</v>
      </c>
      <c r="U46" s="164">
        <f t="shared" si="160"/>
        <v>0</v>
      </c>
      <c r="V46" s="165">
        <f t="shared" si="160"/>
        <v>0</v>
      </c>
      <c r="W46" s="78">
        <f t="shared" si="160"/>
        <v>0</v>
      </c>
      <c r="X46" s="34">
        <f t="shared" si="160"/>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85" priority="17" operator="equal">
      <formula>FALSE</formula>
    </cfRule>
  </conditionalFormatting>
  <conditionalFormatting sqref="A22:C22">
    <cfRule type="cellIs" dxfId="84" priority="16" operator="equal">
      <formula>FALSE</formula>
    </cfRule>
  </conditionalFormatting>
  <conditionalFormatting sqref="D22:D28">
    <cfRule type="cellIs" dxfId="83" priority="15" operator="equal">
      <formula>FALSE</formula>
    </cfRule>
  </conditionalFormatting>
  <conditionalFormatting sqref="Z22:Z28">
    <cfRule type="cellIs" dxfId="82" priority="14" operator="equal">
      <formula>FALSE</formula>
    </cfRule>
  </conditionalFormatting>
  <conditionalFormatting sqref="Z30:Z36">
    <cfRule type="cellIs" dxfId="81" priority="13" operator="equal">
      <formula>FALSE</formula>
    </cfRule>
  </conditionalFormatting>
  <conditionalFormatting sqref="X21 X29 X37">
    <cfRule type="containsErrors" dxfId="80" priority="12">
      <formula>ISERROR(X21)</formula>
    </cfRule>
  </conditionalFormatting>
  <conditionalFormatting sqref="Z39:Z44">
    <cfRule type="cellIs" dxfId="79" priority="10" operator="equal">
      <formula>FALSE</formula>
    </cfRule>
  </conditionalFormatting>
  <conditionalFormatting sqref="Z38">
    <cfRule type="cellIs" dxfId="78" priority="11" operator="equal">
      <formula>FALSE</formula>
    </cfRule>
  </conditionalFormatting>
  <conditionalFormatting sqref="W11:X11">
    <cfRule type="cellIs" dxfId="77" priority="9" operator="equal">
      <formula>"Please Select"</formula>
    </cfRule>
  </conditionalFormatting>
  <conditionalFormatting sqref="E11:F11">
    <cfRule type="containsBlanks" dxfId="76" priority="8">
      <formula>LEN(TRIM(E11))=0</formula>
    </cfRule>
  </conditionalFormatting>
  <conditionalFormatting sqref="U14:U46">
    <cfRule type="cellIs" dxfId="75" priority="7" operator="equal">
      <formula>FALSE</formula>
    </cfRule>
  </conditionalFormatting>
  <conditionalFormatting sqref="P26">
    <cfRule type="cellIs" dxfId="74" priority="6" operator="lessThan">
      <formula>$BQ$21</formula>
    </cfRule>
  </conditionalFormatting>
  <conditionalFormatting sqref="X14:X20">
    <cfRule type="containsErrors" dxfId="73" priority="5">
      <formula>ISERROR(X14)</formula>
    </cfRule>
  </conditionalFormatting>
  <conditionalFormatting sqref="X30:X36">
    <cfRule type="containsErrors" dxfId="72" priority="4">
      <formula>ISERROR(X30)</formula>
    </cfRule>
  </conditionalFormatting>
  <conditionalFormatting sqref="X38:X44">
    <cfRule type="containsErrors" dxfId="71" priority="3">
      <formula>ISERROR(X38)</formula>
    </cfRule>
  </conditionalFormatting>
  <conditionalFormatting sqref="X22">
    <cfRule type="containsErrors" dxfId="70" priority="2">
      <formula>ISERROR(X22)</formula>
    </cfRule>
  </conditionalFormatting>
  <conditionalFormatting sqref="X23:X28">
    <cfRule type="containsErrors" dxfId="69"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D25203ED-2B4D-438B-A98E-B1DBC016A595}">
      <formula1>$AD$6:$AD$8</formula1>
    </dataValidation>
    <dataValidation allowBlank="1" showInputMessage="1" showErrorMessage="1" promptTitle="Hours Per Week" prompt="Please enter the number of hours you are scheduled to work each week.  (Example:  40)_x000a_" sqref="E11:F11" xr:uid="{F72E9C47-22C8-42EF-9568-49386A7E8C18}"/>
    <dataValidation allowBlank="1" showInputMessage="1" showErrorMessage="1" prompt="Enter your MSU ID into this field and it will populate to all the other time re[prts in this workbook." sqref="C6:H6" xr:uid="{4E0EC327-BBBA-4C87-A882-5F8528CE5657}"/>
    <dataValidation allowBlank="1" showInputMessage="1" showErrorMessage="1" prompt="Enter your Name into this field and it will populate to all the other time reports in this workbook." sqref="C7:H7" xr:uid="{25608AB1-4411-4291-8B72-314100915264}"/>
    <dataValidation allowBlank="1" showInputMessage="1" showErrorMessage="1" prompt="Enter your Department Name into this field and it will populate to all the other time reports in this workbook." sqref="C8:H8" xr:uid="{2DF234FC-8218-4C58-BC70-02D731A053DB}"/>
  </dataValidations>
  <hyperlinks>
    <hyperlink ref="O49" r:id="rId1" xr:uid="{C262FA55-831A-4982-BB31-54D707C65ECB}"/>
    <hyperlink ref="O48:W48" r:id="rId2" display="Leave/Leave Without Pay Policy" xr:uid="{5F266261-D809-4290-BE8B-CF23128A8F70}"/>
    <hyperlink ref="O50:W50" r:id="rId3" display="Time Sheet Definitions/Policies" xr:uid="{CA2524A3-EC6D-4B55-BE6E-75E25B57E3BE}"/>
    <hyperlink ref="O49:T49" r:id="rId4" display="Overtime/Compensatory Time" xr:uid="{2D3CBED6-D84B-45D8-96DE-7EEBD7A329D0}"/>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96302-915E-4874-9EAF-D44F5D49BD5F}">
  <sheetPr codeName="Sheet29">
    <tabColor theme="4" tint="0.79998168889431442"/>
  </sheetPr>
  <dimension ref="A1:BQ57"/>
  <sheetViews>
    <sheetView showGridLines="0" showZeros="0" zoomScaleNormal="100" workbookViewId="0">
      <pane ySplit="13" topLeftCell="A20"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Notes'!$A$23</f>
        <v>44697</v>
      </c>
      <c r="P6" s="265"/>
      <c r="Q6" s="265"/>
      <c r="R6" s="265"/>
      <c r="S6" s="265"/>
      <c r="T6" s="265"/>
      <c r="U6" s="53"/>
      <c r="V6" s="53"/>
      <c r="W6" s="24"/>
      <c r="X6" s="30"/>
      <c r="Z6" s="4" t="str">
        <f>TEXT(O6,"dddd")</f>
        <v>Monday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Notes'!$B$23</f>
        <v>44712</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Notes'!$C$23</f>
        <v>10</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8</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(E14)</f>
        <v>0</v>
      </c>
      <c r="F13" s="86">
        <f t="shared" ref="F13:N13" si="0">(F14)</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'May 1 - May 15'!E30</f>
        <v>0</v>
      </c>
      <c r="F14" s="182">
        <f>'May 1 - May 15'!F30</f>
        <v>0</v>
      </c>
      <c r="G14" s="184">
        <f>'May 1 - May 15'!G30</f>
        <v>0</v>
      </c>
      <c r="H14" s="182">
        <f>'May 1 - May 15'!H30</f>
        <v>0</v>
      </c>
      <c r="I14" s="182">
        <f>'May 1 - May 15'!I30</f>
        <v>0</v>
      </c>
      <c r="J14" s="185">
        <f>'May 1 - May 15'!J30</f>
        <v>0</v>
      </c>
      <c r="K14" s="185">
        <f>'May 1 - May 15'!K30</f>
        <v>0</v>
      </c>
      <c r="L14" s="182">
        <f>'May 1 - May 15'!L30</f>
        <v>0</v>
      </c>
      <c r="M14" s="182">
        <f>'May 1 - May 15'!M30</f>
        <v>0</v>
      </c>
      <c r="N14" s="182">
        <f>'May 1 - May 15'!N30</f>
        <v>0</v>
      </c>
      <c r="O14" s="183">
        <f>SUM(E14:N14)-J14</f>
        <v>0</v>
      </c>
      <c r="P14" s="187" t="str">
        <f>IF(AND(ISNUMBER(AA14),ISNUMBER(X14)),AA14*X14,"")</f>
        <v/>
      </c>
      <c r="Q14" s="182"/>
      <c r="R14" s="50" t="str">
        <f>IF(AND(ISNUMBER(AB14),ISNUMBER(X14)),AB14*X14,"")</f>
        <v/>
      </c>
      <c r="S14" s="52"/>
      <c r="T14" s="52"/>
      <c r="U14" s="149">
        <f>IF(BJ14&gt;0,BJ14,BN14)</f>
        <v>0</v>
      </c>
      <c r="V14" s="150">
        <f>IF(BK14&gt;0,BK14,0)</f>
        <v>0</v>
      </c>
      <c r="W14" s="50"/>
      <c r="X14" s="49" t="str">
        <f>IF(ISNA(INDEX('Conversion Factors'!$B$6:$B$371,MATCH('May 16 - May 31'!$Z$14:$Z$20,'Conversion Factors'!$A$6:$A$371,0))),"",INDEX('Conversion Factors'!$B$6:$B$371,MATCH('May 16 - May 31'!$Z$14:$Z$20,'Conversion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f t="shared" ref="A15:A20" si="22">IF(EXACT(D15,$Z$6)=TRUE,$O$6,IF(A14=0,"",IF(A14&lt;$O$7,A14+1,IF(A14=$O$7,""))))</f>
        <v>44697</v>
      </c>
      <c r="B15" s="238"/>
      <c r="C15" s="239"/>
      <c r="D15" s="32" t="s">
        <v>24</v>
      </c>
      <c r="E15" s="176"/>
      <c r="F15" s="176"/>
      <c r="G15" s="177"/>
      <c r="H15" s="176"/>
      <c r="I15" s="176"/>
      <c r="J15" s="178"/>
      <c r="K15" s="178"/>
      <c r="L15" s="179"/>
      <c r="M15" s="176"/>
      <c r="N15" s="176"/>
      <c r="O15" s="110">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f>IF(ISNA(INDEX('Conversion Factors'!$B$6:$B$371,MATCH('May 16 - May 31'!$Z$14:$Z$20,'Conversion Factors'!$A$6:$A$371,0))),"",INDEX('Conversion Factors'!$B$6:$B$371,MATCH('May 16 - May 31'!$Z$14:$Z$20,'Conversion Factors'!$A$6:$A$371,0)))</f>
        <v>7.2229999999999999</v>
      </c>
      <c r="Z15" s="18">
        <f t="shared" si="1"/>
        <v>44697</v>
      </c>
      <c r="AA15" s="57" t="str">
        <f t="shared" si="2"/>
        <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f t="shared" si="22"/>
        <v>44698</v>
      </c>
      <c r="B16" s="238"/>
      <c r="C16" s="239"/>
      <c r="D16" s="32" t="s">
        <v>25</v>
      </c>
      <c r="E16" s="176"/>
      <c r="F16" s="176"/>
      <c r="G16" s="177"/>
      <c r="H16" s="176"/>
      <c r="I16" s="176"/>
      <c r="J16" s="178"/>
      <c r="K16" s="178"/>
      <c r="L16" s="179"/>
      <c r="M16" s="176"/>
      <c r="N16" s="176"/>
      <c r="O16" s="110">
        <f t="shared" ref="O16:O19" si="34">SUM(E16:N16)-J16</f>
        <v>0</v>
      </c>
      <c r="P16" s="187" t="str">
        <f t="shared" si="23"/>
        <v/>
      </c>
      <c r="Q16" s="182"/>
      <c r="R16" s="50" t="str">
        <f t="shared" si="24"/>
        <v/>
      </c>
      <c r="S16" s="52"/>
      <c r="T16" s="52"/>
      <c r="U16" s="149">
        <f t="shared" ref="U16:U44" si="35">IF(BJ16&gt;0,BJ16,BN16)</f>
        <v>0</v>
      </c>
      <c r="V16" s="150">
        <f t="shared" si="25"/>
        <v>0</v>
      </c>
      <c r="W16" s="50"/>
      <c r="X16" s="49">
        <f>IF(ISNA(INDEX('Conversion Factors'!$B$6:$B$371,MATCH('May 16 - May 31'!$Z$14:$Z$20,'Conversion Factors'!$A$6:$A$371,0))),"",INDEX('Conversion Factors'!$B$6:$B$371,MATCH('May 16 - May 31'!$Z$14:$Z$20,'Conversion Factors'!$A$6:$A$371,0)))</f>
        <v>7.2229999999999999</v>
      </c>
      <c r="Z16" s="18">
        <f t="shared" si="1"/>
        <v>44698</v>
      </c>
      <c r="AA16" s="57" t="str">
        <f t="shared" si="2"/>
        <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44699</v>
      </c>
      <c r="B17" s="238"/>
      <c r="C17" s="239"/>
      <c r="D17" s="32" t="s">
        <v>26</v>
      </c>
      <c r="E17" s="176"/>
      <c r="F17" s="176"/>
      <c r="G17" s="177"/>
      <c r="H17" s="176"/>
      <c r="I17" s="176"/>
      <c r="J17" s="178"/>
      <c r="K17" s="178"/>
      <c r="L17" s="179"/>
      <c r="M17" s="176"/>
      <c r="N17" s="176"/>
      <c r="O17" s="110">
        <f t="shared" si="34"/>
        <v>0</v>
      </c>
      <c r="P17" s="187" t="str">
        <f t="shared" si="23"/>
        <v/>
      </c>
      <c r="Q17" s="182"/>
      <c r="R17" s="50" t="str">
        <f t="shared" si="24"/>
        <v/>
      </c>
      <c r="S17" s="52"/>
      <c r="T17" s="52"/>
      <c r="U17" s="149">
        <f t="shared" si="35"/>
        <v>0</v>
      </c>
      <c r="V17" s="150">
        <f t="shared" si="25"/>
        <v>0</v>
      </c>
      <c r="W17" s="50"/>
      <c r="X17" s="49">
        <f>IF(ISNA(INDEX('Conversion Factors'!$B$6:$B$371,MATCH('May 16 - May 31'!$Z$14:$Z$20,'Conversion Factors'!$A$6:$A$371,0))),"",INDEX('Conversion Factors'!$B$6:$B$371,MATCH('May 16 - May 31'!$Z$14:$Z$20,'Conversion Factors'!$A$6:$A$371,0)))</f>
        <v>7.2229999999999999</v>
      </c>
      <c r="Z17" s="18">
        <f t="shared" si="1"/>
        <v>44699</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44700</v>
      </c>
      <c r="B18" s="238"/>
      <c r="C18" s="239"/>
      <c r="D18" s="32" t="s">
        <v>27</v>
      </c>
      <c r="E18" s="176"/>
      <c r="F18" s="176"/>
      <c r="G18" s="177"/>
      <c r="H18" s="176"/>
      <c r="I18" s="176"/>
      <c r="J18" s="178"/>
      <c r="K18" s="178"/>
      <c r="L18" s="179"/>
      <c r="M18" s="176"/>
      <c r="N18" s="176"/>
      <c r="O18" s="110">
        <f t="shared" si="34"/>
        <v>0</v>
      </c>
      <c r="P18" s="187" t="str">
        <f t="shared" si="23"/>
        <v/>
      </c>
      <c r="Q18" s="182"/>
      <c r="R18" s="50" t="str">
        <f t="shared" si="24"/>
        <v/>
      </c>
      <c r="S18" s="52"/>
      <c r="T18" s="52"/>
      <c r="U18" s="149">
        <f t="shared" si="35"/>
        <v>0</v>
      </c>
      <c r="V18" s="150">
        <f t="shared" si="25"/>
        <v>0</v>
      </c>
      <c r="W18" s="50"/>
      <c r="X18" s="49">
        <f>IF(ISNA(INDEX('Conversion Factors'!$B$6:$B$371,MATCH('May 16 - May 31'!$Z$14:$Z$20,'Conversion Factors'!$A$6:$A$371,0))),"",INDEX('Conversion Factors'!$B$6:$B$371,MATCH('May 16 - May 31'!$Z$14:$Z$20,'Conversion Factors'!$A$6:$A$371,0)))</f>
        <v>7.2229999999999999</v>
      </c>
      <c r="Z18" s="18">
        <f t="shared" si="1"/>
        <v>44700</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44701</v>
      </c>
      <c r="B19" s="238"/>
      <c r="C19" s="239"/>
      <c r="D19" s="32" t="s">
        <v>28</v>
      </c>
      <c r="E19" s="176"/>
      <c r="F19" s="176"/>
      <c r="G19" s="177"/>
      <c r="H19" s="176"/>
      <c r="I19" s="176"/>
      <c r="J19" s="178"/>
      <c r="K19" s="178"/>
      <c r="L19" s="179"/>
      <c r="M19" s="176"/>
      <c r="N19" s="176"/>
      <c r="O19" s="110">
        <f t="shared" si="34"/>
        <v>0</v>
      </c>
      <c r="P19" s="187" t="str">
        <f t="shared" si="23"/>
        <v/>
      </c>
      <c r="Q19" s="182"/>
      <c r="R19" s="50" t="str">
        <f t="shared" si="24"/>
        <v/>
      </c>
      <c r="S19" s="52"/>
      <c r="T19" s="52"/>
      <c r="U19" s="149">
        <f t="shared" si="35"/>
        <v>0</v>
      </c>
      <c r="V19" s="150">
        <f t="shared" si="25"/>
        <v>0</v>
      </c>
      <c r="W19" s="50"/>
      <c r="X19" s="49">
        <f>IF(ISNA(INDEX('Conversion Factors'!$B$6:$B$371,MATCH('May 16 - May 31'!$Z$14:$Z$20,'Conversion Factors'!$A$6:$A$371,0))),"",INDEX('Conversion Factors'!$B$6:$B$371,MATCH('May 16 - May 31'!$Z$14:$Z$20,'Conversion Factors'!$A$6:$A$371,0)))</f>
        <v>7.2229999999999999</v>
      </c>
      <c r="Z19" s="18">
        <f t="shared" si="1"/>
        <v>44701</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44702</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Factors'!$B$6:$B$371,MATCH('May 16 - May 31'!$Z$14:$Z$20,'Conversion Factors'!$A$6:$A$371,0))),"",INDEX('Conversion Factors'!$B$6:$B$371,MATCH('May 16 - May 31'!$Z$14:$Z$20,'Conversion Factors'!$A$6:$A$371,0)))</f>
        <v>7.2229999999999999</v>
      </c>
      <c r="Z20" s="18">
        <f t="shared" si="1"/>
        <v>44702</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8</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8</v>
      </c>
    </row>
    <row r="22" spans="1:69" ht="15" customHeight="1" thickTop="1">
      <c r="A22" s="237">
        <f>IF(A20=0,"",IF(A20&lt;$O$7,A20+1,IF(A20=$O$7,"")))</f>
        <v>44703</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Factors'!$B$6:$B$371,MATCH('May 16 - May 31'!$Z$22:$Z$28,'Conversion Factors'!$A$6:$A$371,0))),"",INDEX('Conversion Factors'!$B$6:$B$371,MATCH('May 16 - May 31'!$Z$22:$Z$28,'Conversion Factors'!$A$6:$A$371,0)))</f>
        <v>7.23</v>
      </c>
      <c r="Z22" s="17">
        <f t="shared" ref="Z22:Z28" si="42">A22</f>
        <v>44703</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44704</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Factors'!$B$6:$B$371,MATCH('May 16 - May 31'!$Z$22:$Z$28,'Conversion Factors'!$A$6:$A$371,0))),"",INDEX('Conversion Factors'!$B$6:$B$371,MATCH('May 16 - May 31'!$Z$22:$Z$28,'Conversion Factors'!$A$6:$A$371,0)))</f>
        <v>7.2229999999999999</v>
      </c>
      <c r="Z23" s="17">
        <f t="shared" si="42"/>
        <v>44704</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44705</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Factors'!$B$6:$B$371,MATCH('May 16 - May 31'!$Z$22:$Z$28,'Conversion Factors'!$A$6:$A$371,0))),"",INDEX('Conversion Factors'!$B$6:$B$371,MATCH('May 16 - May 31'!$Z$22:$Z$28,'Conversion Factors'!$A$6:$A$371,0)))</f>
        <v>7.2229999999999999</v>
      </c>
      <c r="Z24" s="17">
        <f t="shared" si="42"/>
        <v>44705</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44706</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Factors'!$B$6:$B$371,MATCH('May 16 - May 31'!$Z$22:$Z$28,'Conversion Factors'!$A$6:$A$371,0))),"",INDEX('Conversion Factors'!$B$6:$B$371,MATCH('May 16 - May 31'!$Z$22:$Z$28,'Conversion Factors'!$A$6:$A$371,0)))</f>
        <v>7.2229999999999999</v>
      </c>
      <c r="Z25" s="17">
        <f t="shared" si="42"/>
        <v>44706</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44707</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Factors'!$B$6:$B$371,MATCH('May 16 - May 31'!$Z$22:$Z$28,'Conversion Factors'!$A$6:$A$371,0))),"",INDEX('Conversion Factors'!$B$6:$B$371,MATCH('May 16 - May 31'!$Z$22:$Z$28,'Conversion Factors'!$A$6:$A$371,0)))</f>
        <v>7.2229999999999999</v>
      </c>
      <c r="Z26" s="17">
        <f t="shared" si="42"/>
        <v>44707</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44708</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Factors'!$B$6:$B$371,MATCH('May 16 - May 31'!$Z$22:$Z$28,'Conversion Factors'!$A$6:$A$371,0))),"",INDEX('Conversion Factors'!$B$6:$B$371,MATCH('May 16 - May 31'!$Z$22:$Z$28,'Conversion Factors'!$A$6:$A$371,0)))</f>
        <v>7.2229999999999999</v>
      </c>
      <c r="Z27" s="17">
        <f t="shared" si="42"/>
        <v>44708</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44709</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Factors'!$B$6:$B$371,MATCH('May 16 - May 31'!$Z$22:$Z$28,'Conversion Factors'!$A$6:$A$371,0))),"",INDEX('Conversion Factors'!$B$6:$B$371,MATCH('May 16 - May 31'!$Z$22:$Z$28,'Conversion Factors'!$A$6:$A$371,0)))</f>
        <v>7.2229999999999999</v>
      </c>
      <c r="Z28" s="17">
        <f t="shared" si="42"/>
        <v>44709</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8</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8</v>
      </c>
    </row>
    <row r="30" spans="1:69" ht="15" customHeight="1" thickTop="1">
      <c r="A30" s="225">
        <f>IF(A28&lt;$O$7,A28+1,IF(A28=$O$7,""))</f>
        <v>44710</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Factors'!$B$6:$B$370,MATCH('May 16 - May 31'!$Z$30:$Z$36,'Conversion Factors'!$A$6:$A$370,0))),"",INDEX('Conversion Factors'!$B$6:$B$370,MATCH('May 16 - May 31'!$Z$30:$Z$36,'Conversion Factors'!$A$6:$A$370,0)))</f>
        <v>7.2229999999999999</v>
      </c>
      <c r="Z30" s="17">
        <f t="shared" ref="Z30:Z36" si="81">A30</f>
        <v>44710</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44711</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Factors'!$B$6:$B$370,MATCH('May 16 - May 31'!$Z$30:$Z$36,'Conversion Factors'!$A$6:$A$370,0))),"",INDEX('Conversion Factors'!$B$6:$B$370,MATCH('May 16 - May 31'!$Z$30:$Z$36,'Conversion Factors'!$A$6:$A$370,0)))</f>
        <v>7.2229999999999999</v>
      </c>
      <c r="Z31" s="17">
        <f t="shared" si="81"/>
        <v>44711</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44712</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Factors'!$B$6:$B$370,MATCH('May 16 - May 31'!$Z$30:$Z$36,'Conversion Factors'!$A$6:$A$370,0))),"",INDEX('Conversion Factors'!$B$6:$B$370,MATCH('May 16 - May 31'!$Z$30:$Z$36,'Conversion Factors'!$A$6:$A$370,0)))</f>
        <v>7.2229999999999999</v>
      </c>
      <c r="Z32" s="17">
        <f t="shared" si="81"/>
        <v>44712</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t="str">
        <f t="shared" si="104"/>
        <v/>
      </c>
      <c r="B33" s="226"/>
      <c r="C33" s="227"/>
      <c r="D33" s="32" t="s">
        <v>26</v>
      </c>
      <c r="E33" s="52"/>
      <c r="F33" s="52"/>
      <c r="G33" s="77"/>
      <c r="H33" s="52"/>
      <c r="I33" s="52"/>
      <c r="J33" s="108"/>
      <c r="K33" s="108"/>
      <c r="L33" s="109"/>
      <c r="M33" s="52"/>
      <c r="N33" s="52"/>
      <c r="O33" s="110">
        <f t="shared" si="105"/>
        <v>0</v>
      </c>
      <c r="P33" s="50" t="str">
        <f t="shared" si="106"/>
        <v/>
      </c>
      <c r="Q33" s="51"/>
      <c r="R33" s="50" t="str">
        <f t="shared" si="107"/>
        <v/>
      </c>
      <c r="S33" s="52"/>
      <c r="T33" s="52"/>
      <c r="U33" s="149">
        <f t="shared" si="35"/>
        <v>0</v>
      </c>
      <c r="V33" s="150">
        <f t="shared" si="108"/>
        <v>0</v>
      </c>
      <c r="W33" s="50"/>
      <c r="X33" s="49" t="str">
        <f>IF(ISNA(INDEX('Conversion Factors'!$B$6:$B$370,MATCH('May 16 - May 31'!$Z$30:$Z$36,'Conversion Factors'!$A$6:$A$370,0))),"",INDEX('Conversion Factors'!$B$6:$B$370,MATCH('May 16 - May 31'!$Z$30:$Z$36,'Conversion Factors'!$A$6:$A$370,0)))</f>
        <v/>
      </c>
      <c r="Z33" s="17" t="str">
        <f t="shared" si="81"/>
        <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b">
        <f t="shared" si="104"/>
        <v>0</v>
      </c>
      <c r="B34" s="226"/>
      <c r="C34" s="227"/>
      <c r="D34" s="32" t="s">
        <v>27</v>
      </c>
      <c r="E34" s="52"/>
      <c r="F34" s="52"/>
      <c r="G34" s="77"/>
      <c r="H34" s="52"/>
      <c r="I34" s="52"/>
      <c r="J34" s="108"/>
      <c r="K34" s="108"/>
      <c r="L34" s="109"/>
      <c r="M34" s="52"/>
      <c r="N34" s="52"/>
      <c r="O34" s="110">
        <f t="shared" si="105"/>
        <v>0</v>
      </c>
      <c r="P34" s="50" t="str">
        <f t="shared" si="106"/>
        <v/>
      </c>
      <c r="Q34" s="51"/>
      <c r="R34" s="50" t="str">
        <f t="shared" si="107"/>
        <v/>
      </c>
      <c r="S34" s="52"/>
      <c r="T34" s="52"/>
      <c r="U34" s="149">
        <f t="shared" si="35"/>
        <v>0</v>
      </c>
      <c r="V34" s="150">
        <f t="shared" si="108"/>
        <v>0</v>
      </c>
      <c r="W34" s="50"/>
      <c r="X34" s="49" t="str">
        <f>IF(ISNA(INDEX('Conversion Factors'!$B$6:$B$370,MATCH('May 16 - May 31'!$Z$30:$Z$36,'Conversion Factors'!$A$6:$A$370,0))),"",INDEX('Conversion Factors'!$B$6:$B$370,MATCH('May 16 - May 31'!$Z$30:$Z$36,'Conversion Factors'!$A$6:$A$370,0)))</f>
        <v/>
      </c>
      <c r="Z34" s="17" t="b">
        <f t="shared" si="81"/>
        <v>0</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1"/>
      <c r="R35" s="50" t="str">
        <f t="shared" si="107"/>
        <v/>
      </c>
      <c r="S35" s="52"/>
      <c r="T35" s="52"/>
      <c r="U35" s="149">
        <f t="shared" si="35"/>
        <v>0</v>
      </c>
      <c r="V35" s="150">
        <f t="shared" si="108"/>
        <v>0</v>
      </c>
      <c r="W35" s="50"/>
      <c r="X35" s="49" t="str">
        <f>IF(ISNA(INDEX('Conversion Factors'!$B$6:$B$370,MATCH('May 16 - May 31'!$Z$30:$Z$36,'Conversion Factors'!$A$6:$A$370,0))),"",INDEX('Conversion Factors'!$B$6:$B$370,MATCH('May 16 - May 31'!$Z$30:$Z$36,'Conversion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Factors'!$B$6:$B$370,MATCH('May 16 - May 31'!$Z$30:$Z$36,'Conversion Factors'!$A$6:$A$370,0))),"",INDEX('Conversion Factors'!$B$6:$B$370,MATCH('May 16 - May 31'!$Z$30:$Z$36,'Conversion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8</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8</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Factors'!$B$6:$B$370,MATCH('May 16 - May 31'!$Z$38:$Z$44,'Conversion Factors'!$A$6:$A$370,0))),"",INDEX('Conversion Factors'!$B$6:$B$370,MATCH('May 16 - May 31'!$Z$38:$Z$44,'Conversion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Factors'!$B$6:$B$370,MATCH('May 16 - May 31'!$Z$38:$Z$44,'Conversion Factors'!$A$6:$A$370,0))),"",INDEX('Conversion Factors'!$B$6:$B$370,MATCH('May 16 - May 31'!$Z$38:$Z$44,'Conversion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Factors'!$B$6:$B$370,MATCH('May 16 - May 31'!$Z$38:$Z$44,'Conversion Factors'!$A$6:$A$370,0))),"",INDEX('Conversion Factors'!$B$6:$B$370,MATCH('May 16 - May 31'!$Z$38:$Z$44,'Conversion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Factors'!$B$6:$B$370,MATCH('May 16 - May 31'!$Z$38:$Z$44,'Conversion Factors'!$A$6:$A$370,0))),"",INDEX('Conversion Factors'!$B$6:$B$370,MATCH('May 16 - May 31'!$Z$38:$Z$44,'Conversion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Factors'!$B$6:$B$370,MATCH('May 16 - May 31'!$Z$38:$Z$44,'Conversion Factors'!$A$6:$A$370,0))),"",INDEX('Conversion Factors'!$B$6:$B$370,MATCH('May 16 - May 31'!$Z$38:$Z$44,'Conversion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Factors'!$B$6:$B$370,MATCH('May 16 - May 31'!$Z$38:$Z$44,'Conversion Factors'!$A$6:$A$370,0))),"",INDEX('Conversion Factors'!$B$6:$B$370,MATCH('May 16 - May 31'!$Z$38:$Z$44,'Conversion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Factors'!$B$6:$B$370,MATCH('May 16 - May 31'!$Z$38:$Z$44,'Conversion Factors'!$A$6:$A$370,0))),"",INDEX('Conversion Factors'!$B$6:$B$370,MATCH('May 16 - May 31'!$Z$38:$Z$44,'Conversion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8</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8</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68" priority="17" operator="equal">
      <formula>FALSE</formula>
    </cfRule>
  </conditionalFormatting>
  <conditionalFormatting sqref="A22:C22">
    <cfRule type="cellIs" dxfId="67" priority="16" operator="equal">
      <formula>FALSE</formula>
    </cfRule>
  </conditionalFormatting>
  <conditionalFormatting sqref="D22:D28">
    <cfRule type="cellIs" dxfId="66" priority="15" operator="equal">
      <formula>FALSE</formula>
    </cfRule>
  </conditionalFormatting>
  <conditionalFormatting sqref="Z22:Z28">
    <cfRule type="cellIs" dxfId="65" priority="14" operator="equal">
      <formula>FALSE</formula>
    </cfRule>
  </conditionalFormatting>
  <conditionalFormatting sqref="Z30:Z36">
    <cfRule type="cellIs" dxfId="64" priority="13" operator="equal">
      <formula>FALSE</formula>
    </cfRule>
  </conditionalFormatting>
  <conditionalFormatting sqref="X21 X29 X37">
    <cfRule type="containsErrors" dxfId="63" priority="12">
      <formula>ISERROR(X21)</formula>
    </cfRule>
  </conditionalFormatting>
  <conditionalFormatting sqref="Z39:Z44">
    <cfRule type="cellIs" dxfId="62" priority="10" operator="equal">
      <formula>FALSE</formula>
    </cfRule>
  </conditionalFormatting>
  <conditionalFormatting sqref="Z38">
    <cfRule type="cellIs" dxfId="61" priority="11" operator="equal">
      <formula>FALSE</formula>
    </cfRule>
  </conditionalFormatting>
  <conditionalFormatting sqref="W11:X11">
    <cfRule type="cellIs" dxfId="60" priority="9" operator="equal">
      <formula>"Please Select"</formula>
    </cfRule>
  </conditionalFormatting>
  <conditionalFormatting sqref="E11:F11">
    <cfRule type="containsBlanks" dxfId="59" priority="8">
      <formula>LEN(TRIM(E11))=0</formula>
    </cfRule>
  </conditionalFormatting>
  <conditionalFormatting sqref="U14:U46">
    <cfRule type="cellIs" dxfId="58" priority="7" operator="equal">
      <formula>FALSE</formula>
    </cfRule>
  </conditionalFormatting>
  <conditionalFormatting sqref="P26">
    <cfRule type="cellIs" dxfId="57" priority="6" operator="lessThan">
      <formula>$BQ$21</formula>
    </cfRule>
  </conditionalFormatting>
  <conditionalFormatting sqref="X14:X20">
    <cfRule type="containsErrors" dxfId="56" priority="5">
      <formula>ISERROR(X14)</formula>
    </cfRule>
  </conditionalFormatting>
  <conditionalFormatting sqref="X30:X36">
    <cfRule type="containsErrors" dxfId="55" priority="4">
      <formula>ISERROR(X30)</formula>
    </cfRule>
  </conditionalFormatting>
  <conditionalFormatting sqref="X38:X44">
    <cfRule type="containsErrors" dxfId="54" priority="3">
      <formula>ISERROR(X38)</formula>
    </cfRule>
  </conditionalFormatting>
  <conditionalFormatting sqref="X22">
    <cfRule type="containsErrors" dxfId="53" priority="2">
      <formula>ISERROR(X22)</formula>
    </cfRule>
  </conditionalFormatting>
  <conditionalFormatting sqref="X23:X28">
    <cfRule type="containsErrors" dxfId="52" priority="1">
      <formula>ISERROR(X23)</formula>
    </cfRule>
  </conditionalFormatting>
  <dataValidations count="5">
    <dataValidation allowBlank="1" showInputMessage="1" showErrorMessage="1" prompt="Enter your Department Name into this field and it will populate to all the other time reports in this workbook." sqref="C8:H8" xr:uid="{4E2E23F5-3EDA-44E8-A5B7-13AEF3AF7AA2}"/>
    <dataValidation allowBlank="1" showInputMessage="1" showErrorMessage="1" prompt="Enter your Name into this field and it will populate to all the other time reports in this workbook." sqref="C7:H7" xr:uid="{736DA858-8B26-46E4-903C-1DF0A6A6E6C2}"/>
    <dataValidation allowBlank="1" showInputMessage="1" showErrorMessage="1" prompt="Enter your MSU ID into this field and it will populate to all the other time re[prts in this workbook." sqref="C6:H6" xr:uid="{480858B8-1DDB-4F38-B4FD-F4BB9F07CAB5}"/>
    <dataValidation allowBlank="1" showInputMessage="1" showErrorMessage="1" promptTitle="Hours Per Week" prompt="Please enter the number of hours you are scheduled to work each week.  (Example:  40)_x000a_" sqref="E11:F11" xr:uid="{21C44331-FFED-46C2-BF05-4F9B63D79F67}"/>
    <dataValidation type="list" allowBlank="1" showInputMessage="1" showErrorMessage="1" promptTitle="Compensatory Time" prompt="Please select &quot;No&quot; if you are not receiving Compensatory time or &quot;Yes&quot; if you are receiving compensatory time." sqref="W11:X11" xr:uid="{287ED2BC-9C8D-43DD-A640-15F14A72EE48}">
      <formula1>$AD$6:$AD$8</formula1>
    </dataValidation>
  </dataValidations>
  <hyperlinks>
    <hyperlink ref="O49" r:id="rId1" xr:uid="{2A2F37DC-256C-4EA3-A0F2-32B73A548DF1}"/>
    <hyperlink ref="O48:W48" r:id="rId2" display="Leave/Leave Without Pay Policy" xr:uid="{8A9D9789-D790-43E6-9723-BE4FAABEEE3F}"/>
    <hyperlink ref="O50:W50" r:id="rId3" display="Time Sheet Definitions/Policies" xr:uid="{3509DE7C-7C37-45C8-9CDF-4340FC2DD28E}"/>
    <hyperlink ref="O49:T49" r:id="rId4" display="Overtime/Compensatory Time" xr:uid="{197A7886-846B-41DF-9B94-BC7BD9690095}"/>
  </hyperlinks>
  <printOptions horizontalCentered="1"/>
  <pageMargins left="0.5" right="0.5" top="0.5" bottom="0.5" header="0.5" footer="0"/>
  <pageSetup scale="75" orientation="portrait" r:id="rId5"/>
  <headerFooter alignWithMargins="0">
    <oddFooter>&amp;RRevised:  05/2019</oddFooter>
  </headerFooter>
  <drawing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5BD2-057C-4108-A9FA-D873395EEDDB}">
  <sheetPr codeName="Sheet30">
    <tabColor theme="4" tint="0.79998168889431442"/>
  </sheetPr>
  <dimension ref="A1:BQ57"/>
  <sheetViews>
    <sheetView showGridLines="0" showZeros="0" zoomScaleNormal="100" workbookViewId="0">
      <pane ySplit="13" topLeftCell="A14" activePane="bottomLeft" state="frozen"/>
      <selection activeCell="BS5" sqref="BS5:BS6"/>
      <selection pane="bottomLeft" activeCell="W29" sqref="W29"/>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Notes'!$A$24</f>
        <v>44713</v>
      </c>
      <c r="P6" s="265"/>
      <c r="Q6" s="265"/>
      <c r="R6" s="265"/>
      <c r="S6" s="265"/>
      <c r="T6" s="265"/>
      <c r="U6" s="53"/>
      <c r="V6" s="53"/>
      <c r="W6" s="24"/>
      <c r="X6" s="30"/>
      <c r="Z6" s="4" t="str">
        <f>TEXT(O6,"dddd")</f>
        <v>Wednesday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Notes'!$B$24</f>
        <v>44727</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Notes'!$C$24</f>
        <v>11</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v>40</v>
      </c>
      <c r="F11" s="253"/>
      <c r="G11" s="254" t="s">
        <v>69</v>
      </c>
      <c r="H11" s="255"/>
      <c r="I11" s="255"/>
      <c r="J11" s="255"/>
      <c r="K11" s="255"/>
      <c r="L11" s="255"/>
      <c r="M11" s="255"/>
      <c r="N11" s="255"/>
      <c r="O11" s="255"/>
      <c r="P11" s="255"/>
      <c r="Q11" s="255"/>
      <c r="R11" s="256"/>
      <c r="S11" s="257" t="s">
        <v>67</v>
      </c>
      <c r="T11" s="258"/>
      <c r="U11" s="258"/>
      <c r="V11" s="259"/>
      <c r="W11" s="260" t="s">
        <v>48</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SUM(E14:E16)</f>
        <v>0</v>
      </c>
      <c r="F13" s="86">
        <f t="shared" ref="F13:N13" si="0">SUM(F14:F16)</f>
        <v>0</v>
      </c>
      <c r="G13" s="86">
        <f t="shared" si="0"/>
        <v>0</v>
      </c>
      <c r="H13" s="86">
        <f t="shared" si="0"/>
        <v>0</v>
      </c>
      <c r="I13" s="86">
        <f t="shared" si="0"/>
        <v>0</v>
      </c>
      <c r="J13" s="86">
        <f t="shared" si="0"/>
        <v>0</v>
      </c>
      <c r="K13" s="86">
        <f t="shared" si="0"/>
        <v>0</v>
      </c>
      <c r="L13" s="86">
        <f t="shared" si="0"/>
        <v>0</v>
      </c>
      <c r="M13" s="86">
        <f t="shared" si="0"/>
        <v>0</v>
      </c>
      <c r="N13" s="86">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'May 16 - May 31'!E30</f>
        <v>0</v>
      </c>
      <c r="F14" s="182">
        <f>'May 16 - May 31'!F30</f>
        <v>0</v>
      </c>
      <c r="G14" s="184">
        <f>'May 16 - May 31'!G30</f>
        <v>0</v>
      </c>
      <c r="H14" s="182">
        <f>'May 16 - May 31'!H30</f>
        <v>0</v>
      </c>
      <c r="I14" s="182">
        <f>'May 16 - May 31'!I30</f>
        <v>0</v>
      </c>
      <c r="J14" s="185">
        <f>'May 16 - May 31'!J30</f>
        <v>0</v>
      </c>
      <c r="K14" s="185">
        <f>'May 16 - May 31'!K30</f>
        <v>0</v>
      </c>
      <c r="L14" s="186">
        <f>'May 16 - May 31'!L30</f>
        <v>0</v>
      </c>
      <c r="M14" s="182">
        <f>'May 16 - May 31'!M30</f>
        <v>0</v>
      </c>
      <c r="N14" s="182">
        <f>'May 16 - May 31'!N30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Factors'!$B$6:$B$371,MATCH('June 1 - June 15'!$Z$14:$Z$20,'Conversion Factors'!$A$6:$A$371,0))),"",INDEX('Conversion Factors'!$B$6:$B$371,MATCH('June 1 - June 15'!$Z$14:$Z$20,'Conversion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'May 16 - May 31'!E31</f>
        <v>0</v>
      </c>
      <c r="F15" s="182">
        <f>'May 16 - May 31'!F31</f>
        <v>0</v>
      </c>
      <c r="G15" s="184">
        <f>'May 16 - May 31'!G31</f>
        <v>0</v>
      </c>
      <c r="H15" s="182">
        <f>'May 16 - May 31'!H31</f>
        <v>0</v>
      </c>
      <c r="I15" s="182">
        <f>'May 16 - May 31'!I31</f>
        <v>0</v>
      </c>
      <c r="J15" s="185">
        <f>'May 16 - May 31'!J31</f>
        <v>0</v>
      </c>
      <c r="K15" s="185">
        <f>'May 16 - May 31'!K31</f>
        <v>0</v>
      </c>
      <c r="L15" s="186">
        <f>'May 16 - May 31'!L31</f>
        <v>0</v>
      </c>
      <c r="M15" s="182">
        <f>'May 16 - May 31'!M31</f>
        <v>0</v>
      </c>
      <c r="N15" s="182">
        <f>'May 16 - May 31'!N31</f>
        <v>0</v>
      </c>
      <c r="O15" s="183">
        <f>SUM(E15:N15)-J15</f>
        <v>0</v>
      </c>
      <c r="P15" s="50" t="str">
        <f t="shared" ref="P15:P20" si="23">IF(AND(ISNUMBER(AA15),ISNUMBER(X15)),AA15*X15,"")</f>
        <v/>
      </c>
      <c r="Q15" s="51"/>
      <c r="R15" s="50" t="str">
        <f t="shared" ref="R15:R20" si="24">IF(AND(ISNUMBER(AB15),ISNUMBER(X15)),AB15*X15,"")</f>
        <v/>
      </c>
      <c r="S15" s="52"/>
      <c r="T15" s="52"/>
      <c r="U15" s="149">
        <f>IF(BJ15&gt;0,BJ15,BN15)</f>
        <v>0</v>
      </c>
      <c r="V15" s="150">
        <f t="shared" ref="V15:V20" si="25">IF(BK15&gt;0,BK15,0)</f>
        <v>0</v>
      </c>
      <c r="W15" s="50"/>
      <c r="X15" s="49" t="str">
        <f>IF(ISNA(INDEX('Conversion Factors'!$B$6:$B$371,MATCH('June 1 - June 15'!$Z$14:$Z$20,'Conversion Factors'!$A$6:$A$371,0))),"",INDEX('Conversion Factors'!$B$6:$B$371,MATCH('June 1 - June 15'!$Z$14:$Z$20,'Conversion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'May 16 - May 31'!E32</f>
        <v>0</v>
      </c>
      <c r="F16" s="182">
        <f>'May 16 - May 31'!F32</f>
        <v>0</v>
      </c>
      <c r="G16" s="184">
        <f>'May 16 - May 31'!G32</f>
        <v>0</v>
      </c>
      <c r="H16" s="182">
        <f>'May 16 - May 31'!H32</f>
        <v>0</v>
      </c>
      <c r="I16" s="182">
        <f>'May 16 - May 31'!I32</f>
        <v>0</v>
      </c>
      <c r="J16" s="185">
        <f>'May 16 - May 31'!J32</f>
        <v>0</v>
      </c>
      <c r="K16" s="185">
        <f>'May 16 - May 31'!K32</f>
        <v>0</v>
      </c>
      <c r="L16" s="186">
        <f>'May 16 - May 31'!L32</f>
        <v>0</v>
      </c>
      <c r="M16" s="182">
        <f>'May 16 - May 31'!M32</f>
        <v>0</v>
      </c>
      <c r="N16" s="182">
        <f>'May 16 - May 31'!N32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Factors'!$B$6:$B$371,MATCH('June 1 - June 15'!$Z$14:$Z$20,'Conversion Factors'!$A$6:$A$371,0))),"",INDEX('Conversion Factors'!$B$6:$B$371,MATCH('June 1 - June 15'!$Z$14:$Z$20,'Conversion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f t="shared" si="22"/>
        <v>44713</v>
      </c>
      <c r="B17" s="238"/>
      <c r="C17" s="239"/>
      <c r="D17" s="32" t="s">
        <v>26</v>
      </c>
      <c r="E17" s="176"/>
      <c r="F17" s="176"/>
      <c r="G17" s="177"/>
      <c r="H17" s="176"/>
      <c r="I17" s="176"/>
      <c r="J17" s="178"/>
      <c r="K17" s="178"/>
      <c r="L17" s="179"/>
      <c r="M17" s="176"/>
      <c r="N17" s="176"/>
      <c r="O17" s="110">
        <f t="shared" si="34"/>
        <v>0</v>
      </c>
      <c r="P17" s="50" t="str">
        <f t="shared" si="23"/>
        <v/>
      </c>
      <c r="Q17" s="51"/>
      <c r="R17" s="50" t="str">
        <f t="shared" si="24"/>
        <v/>
      </c>
      <c r="S17" s="52"/>
      <c r="T17" s="52"/>
      <c r="U17" s="149">
        <f t="shared" si="35"/>
        <v>0</v>
      </c>
      <c r="V17" s="150">
        <f t="shared" si="25"/>
        <v>0</v>
      </c>
      <c r="W17" s="50"/>
      <c r="X17" s="49">
        <f>IF(ISNA(INDEX('Conversion Factors'!$B$6:$B$371,MATCH('June 1 - June 15'!$Z$14:$Z$20,'Conversion Factors'!$A$6:$A$371,0))),"",INDEX('Conversion Factors'!$B$6:$B$371,MATCH('June 1 - June 15'!$Z$14:$Z$20,'Conversion Factors'!$A$6:$A$371,0)))</f>
        <v>7.8789999999999996</v>
      </c>
      <c r="Z17" s="18">
        <f t="shared" si="1"/>
        <v>44713</v>
      </c>
      <c r="AA17" s="57" t="str">
        <f t="shared" si="2"/>
        <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IF(AND(BH17=1,BL17&gt;40,E17&lt;G17),E17-BJ17,(IF(AND(BH17=1,BL17&gt;0,E17&gt;=G17),G17-BJ17,0)))</f>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44714</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Factors'!$B$6:$B$371,MATCH('June 1 - June 15'!$Z$14:$Z$20,'Conversion Factors'!$A$6:$A$371,0))),"",INDEX('Conversion Factors'!$B$6:$B$371,MATCH('June 1 - June 15'!$Z$14:$Z$20,'Conversion Factors'!$A$6:$A$371,0)))</f>
        <v>7.8789999999999996</v>
      </c>
      <c r="Z18" s="18">
        <f t="shared" si="1"/>
        <v>44714</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44715</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Factors'!$B$6:$B$371,MATCH('June 1 - June 15'!$Z$14:$Z$20,'Conversion Factors'!$A$6:$A$371,0))),"",INDEX('Conversion Factors'!$B$6:$B$371,MATCH('June 1 - June 15'!$Z$14:$Z$20,'Conversion Factors'!$A$6:$A$371,0)))</f>
        <v>7.8789999999999996</v>
      </c>
      <c r="Z19" s="18">
        <f t="shared" si="1"/>
        <v>44715</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44716</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Factors'!$B$6:$B$371,MATCH('June 1 - June 15'!$Z$14:$Z$20,'Conversion Factors'!$A$6:$A$371,0))),"",INDEX('Conversion Factors'!$B$6:$B$371,MATCH('June 1 - June 15'!$Z$14:$Z$20,'Conversion Factors'!$A$6:$A$371,0)))</f>
        <v>7.8789999999999996</v>
      </c>
      <c r="Z20" s="18">
        <f t="shared" si="1"/>
        <v>44716</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44717</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Factors'!$B$6:$B$371,MATCH('June 1 - June 15'!$Z$22:$Z$28,'Conversion Factors'!$A$6:$A$371,0))),"",INDEX('Conversion Factors'!$B$6:$B$371,MATCH('June 1 - June 15'!$Z$22:$Z$28,'Conversion Factors'!$A$6:$A$371,0)))</f>
        <v>7.8789999999999996</v>
      </c>
      <c r="Z22" s="17">
        <f t="shared" ref="Z22:Z28" si="42">A22</f>
        <v>44717</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44718</v>
      </c>
      <c r="B23" s="226"/>
      <c r="C23" s="227"/>
      <c r="D23" s="32" t="s">
        <v>24</v>
      </c>
      <c r="E23" s="176">
        <v>10</v>
      </c>
      <c r="F23" s="176"/>
      <c r="G23" s="177"/>
      <c r="H23" s="176"/>
      <c r="I23" s="176"/>
      <c r="J23" s="178"/>
      <c r="K23" s="178"/>
      <c r="L23" s="179"/>
      <c r="M23" s="176"/>
      <c r="N23" s="176"/>
      <c r="O23" s="110">
        <f>SUM(E23:N23)-J23</f>
        <v>10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Factors'!$B$6:$B$371,MATCH('June 1 - June 15'!$Z$22:$Z$28,'Conversion Factors'!$A$6:$A$371,0))),"",INDEX('Conversion Factors'!$B$6:$B$371,MATCH('June 1 - June 15'!$Z$22:$Z$28,'Conversion Factors'!$A$6:$A$371,0)))</f>
        <v>7.8789999999999996</v>
      </c>
      <c r="Z23" s="17">
        <f t="shared" si="42"/>
        <v>44718</v>
      </c>
      <c r="AA23" s="57" t="str">
        <f t="shared" si="43"/>
        <v/>
      </c>
      <c r="AB23" s="57" t="str">
        <f t="shared" si="44"/>
        <v/>
      </c>
      <c r="AH23" s="71">
        <f t="shared" si="45"/>
        <v>10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30</v>
      </c>
      <c r="BJ23" s="161">
        <f t="shared" si="60"/>
        <v>0</v>
      </c>
      <c r="BK23" s="161">
        <f t="shared" si="61"/>
        <v>0</v>
      </c>
      <c r="BL23" s="161">
        <f>SUM(E22:E23)</f>
        <v>10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44719</v>
      </c>
      <c r="B24" s="226"/>
      <c r="C24" s="227"/>
      <c r="D24" s="32" t="s">
        <v>25</v>
      </c>
      <c r="E24" s="176">
        <v>10</v>
      </c>
      <c r="F24" s="176"/>
      <c r="G24" s="177"/>
      <c r="H24" s="176"/>
      <c r="I24" s="176"/>
      <c r="J24" s="178"/>
      <c r="K24" s="178"/>
      <c r="L24" s="179"/>
      <c r="M24" s="176"/>
      <c r="N24" s="176"/>
      <c r="O24" s="110">
        <f t="shared" ref="O24:O27" si="74">SUM(E24:N24)-J24</f>
        <v>10</v>
      </c>
      <c r="P24" s="50" t="str">
        <f t="shared" si="65"/>
        <v/>
      </c>
      <c r="Q24" s="51"/>
      <c r="R24" s="50" t="str">
        <f t="shared" si="66"/>
        <v/>
      </c>
      <c r="S24" s="52"/>
      <c r="T24" s="52"/>
      <c r="U24" s="149">
        <f t="shared" si="35"/>
        <v>0</v>
      </c>
      <c r="V24" s="150">
        <f t="shared" si="67"/>
        <v>0</v>
      </c>
      <c r="W24" s="50"/>
      <c r="X24" s="49">
        <f>IF(ISNA(INDEX('Conversion Factors'!$B$6:$B$371,MATCH('June 1 - June 15'!$Z$22:$Z$28,'Conversion Factors'!$A$6:$A$371,0))),"",INDEX('Conversion Factors'!$B$6:$B$371,MATCH('June 1 - June 15'!$Z$22:$Z$28,'Conversion Factors'!$A$6:$A$371,0)))</f>
        <v>7.8789999999999996</v>
      </c>
      <c r="Z24" s="17">
        <f t="shared" si="42"/>
        <v>44719</v>
      </c>
      <c r="AA24" s="57" t="str">
        <f t="shared" si="43"/>
        <v/>
      </c>
      <c r="AB24" s="57" t="str">
        <f t="shared" si="44"/>
        <v/>
      </c>
      <c r="AG24" s="1"/>
      <c r="AH24" s="71">
        <f t="shared" si="45"/>
        <v>20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30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30</v>
      </c>
      <c r="BF24" s="159">
        <f t="shared" si="72"/>
        <v>0</v>
      </c>
      <c r="BG24" s="160"/>
      <c r="BH24" s="160">
        <f t="shared" ref="BH24:BH28" si="76">IF(AND(G24&gt;0,E24&gt;0),1,0)</f>
        <v>0</v>
      </c>
      <c r="BI24" s="161">
        <f t="shared" si="59"/>
        <v>20</v>
      </c>
      <c r="BJ24" s="161">
        <f t="shared" si="60"/>
        <v>0</v>
      </c>
      <c r="BK24" s="161">
        <f t="shared" si="61"/>
        <v>0</v>
      </c>
      <c r="BL24" s="161">
        <f>SUM(E22:E24)</f>
        <v>20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44720</v>
      </c>
      <c r="B25" s="226"/>
      <c r="C25" s="227"/>
      <c r="D25" s="32" t="s">
        <v>26</v>
      </c>
      <c r="E25" s="176">
        <v>10</v>
      </c>
      <c r="F25" s="176"/>
      <c r="G25" s="177"/>
      <c r="H25" s="176"/>
      <c r="I25" s="176"/>
      <c r="J25" s="178"/>
      <c r="K25" s="178"/>
      <c r="L25" s="179"/>
      <c r="M25" s="176"/>
      <c r="N25" s="176"/>
      <c r="O25" s="110">
        <f t="shared" si="74"/>
        <v>10</v>
      </c>
      <c r="P25" s="50" t="str">
        <f t="shared" si="65"/>
        <v/>
      </c>
      <c r="Q25" s="51"/>
      <c r="R25" s="50" t="str">
        <f t="shared" si="66"/>
        <v/>
      </c>
      <c r="S25" s="52"/>
      <c r="T25" s="52"/>
      <c r="U25" s="149">
        <f t="shared" si="35"/>
        <v>0</v>
      </c>
      <c r="V25" s="150">
        <f t="shared" si="67"/>
        <v>0</v>
      </c>
      <c r="W25" s="50"/>
      <c r="X25" s="49">
        <f>IF(ISNA(INDEX('Conversion Factors'!$B$6:$B$371,MATCH('June 1 - June 15'!$Z$22:$Z$28,'Conversion Factors'!$A$6:$A$371,0))),"",INDEX('Conversion Factors'!$B$6:$B$371,MATCH('June 1 - June 15'!$Z$22:$Z$28,'Conversion Factors'!$A$6:$A$371,0)))</f>
        <v>7.8789999999999996</v>
      </c>
      <c r="Z25" s="17">
        <f t="shared" si="42"/>
        <v>44720</v>
      </c>
      <c r="AA25" s="57" t="str">
        <f t="shared" si="43"/>
        <v/>
      </c>
      <c r="AB25" s="57" t="str">
        <f t="shared" si="44"/>
        <v/>
      </c>
      <c r="AG25" s="1"/>
      <c r="AH25" s="71">
        <f t="shared" si="45"/>
        <v>30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20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20</v>
      </c>
      <c r="BF25" s="159">
        <f t="shared" si="72"/>
        <v>0</v>
      </c>
      <c r="BG25" s="160"/>
      <c r="BH25" s="160">
        <f t="shared" si="76"/>
        <v>0</v>
      </c>
      <c r="BI25" s="161">
        <f t="shared" si="59"/>
        <v>10</v>
      </c>
      <c r="BJ25" s="161">
        <f t="shared" si="60"/>
        <v>0</v>
      </c>
      <c r="BK25" s="161">
        <f t="shared" si="61"/>
        <v>0</v>
      </c>
      <c r="BL25" s="161">
        <f>SUM(E22:E25)</f>
        <v>30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44721</v>
      </c>
      <c r="B26" s="226"/>
      <c r="C26" s="227"/>
      <c r="D26" s="32" t="s">
        <v>27</v>
      </c>
      <c r="E26" s="176">
        <v>9</v>
      </c>
      <c r="F26" s="176"/>
      <c r="G26" s="177"/>
      <c r="H26" s="176"/>
      <c r="I26" s="176"/>
      <c r="J26" s="178"/>
      <c r="K26" s="178"/>
      <c r="L26" s="179"/>
      <c r="M26" s="176"/>
      <c r="N26" s="176"/>
      <c r="O26" s="110">
        <f t="shared" si="74"/>
        <v>9</v>
      </c>
      <c r="P26" s="50" t="str">
        <f t="shared" si="65"/>
        <v/>
      </c>
      <c r="Q26" s="51"/>
      <c r="R26" s="50" t="str">
        <f t="shared" si="66"/>
        <v/>
      </c>
      <c r="S26" s="52"/>
      <c r="T26" s="52"/>
      <c r="U26" s="149">
        <f t="shared" si="35"/>
        <v>0</v>
      </c>
      <c r="V26" s="150">
        <f t="shared" si="67"/>
        <v>0</v>
      </c>
      <c r="W26" s="50"/>
      <c r="X26" s="49">
        <f>IF(ISNA(INDEX('Conversion Factors'!$B$6:$B$371,MATCH('June 1 - June 15'!$Z$22:$Z$28,'Conversion Factors'!$A$6:$A$371,0))),"",INDEX('Conversion Factors'!$B$6:$B$371,MATCH('June 1 - June 15'!$Z$22:$Z$28,'Conversion Factors'!$A$6:$A$371,0)))</f>
        <v>7.8789999999999996</v>
      </c>
      <c r="Z26" s="17">
        <f t="shared" si="42"/>
        <v>44721</v>
      </c>
      <c r="AA26" s="57" t="str">
        <f t="shared" si="43"/>
        <v/>
      </c>
      <c r="AB26" s="57" t="str">
        <f t="shared" si="44"/>
        <v/>
      </c>
      <c r="AH26" s="71">
        <f t="shared" si="45"/>
        <v>39</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10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10</v>
      </c>
      <c r="BF26" s="159">
        <f t="shared" si="72"/>
        <v>0</v>
      </c>
      <c r="BG26" s="160"/>
      <c r="BH26" s="160">
        <f t="shared" si="76"/>
        <v>0</v>
      </c>
      <c r="BI26" s="161">
        <f t="shared" si="59"/>
        <v>1</v>
      </c>
      <c r="BJ26" s="161">
        <f t="shared" si="60"/>
        <v>0</v>
      </c>
      <c r="BK26" s="161">
        <f t="shared" si="61"/>
        <v>0</v>
      </c>
      <c r="BL26" s="161">
        <f>SUM(E22:E26)</f>
        <v>39</v>
      </c>
      <c r="BM26" s="160" t="b">
        <f>BI8=IF(AND(K26&gt;0,E26&gt;0),1,0)</f>
        <v>1</v>
      </c>
      <c r="BN26" s="161">
        <f t="shared" si="77"/>
        <v>0</v>
      </c>
      <c r="BO26" s="161">
        <f t="shared" si="78"/>
        <v>0</v>
      </c>
      <c r="BP26" s="161">
        <f t="shared" si="63"/>
        <v>0</v>
      </c>
      <c r="BQ26" s="160"/>
    </row>
    <row r="27" spans="1:69" ht="15" customHeight="1">
      <c r="A27" s="225">
        <f t="shared" si="64"/>
        <v>44722</v>
      </c>
      <c r="B27" s="226"/>
      <c r="C27" s="227"/>
      <c r="D27" s="32" t="s">
        <v>28</v>
      </c>
      <c r="E27" s="176">
        <v>3</v>
      </c>
      <c r="F27" s="176"/>
      <c r="G27" s="177">
        <v>8</v>
      </c>
      <c r="H27" s="176"/>
      <c r="I27" s="176"/>
      <c r="J27" s="178"/>
      <c r="K27" s="178"/>
      <c r="L27" s="179"/>
      <c r="M27" s="176"/>
      <c r="N27" s="176"/>
      <c r="O27" s="110">
        <f t="shared" si="74"/>
        <v>11</v>
      </c>
      <c r="P27" s="50" t="str">
        <f t="shared" si="65"/>
        <v/>
      </c>
      <c r="Q27" s="51"/>
      <c r="R27" s="50" t="str">
        <f t="shared" si="66"/>
        <v/>
      </c>
      <c r="S27" s="52"/>
      <c r="T27" s="52"/>
      <c r="U27" s="149">
        <f t="shared" si="35"/>
        <v>1</v>
      </c>
      <c r="V27" s="150">
        <f t="shared" si="67"/>
        <v>2</v>
      </c>
      <c r="W27" s="50"/>
      <c r="X27" s="49">
        <f>IF(ISNA(INDEX('Conversion Factors'!$B$6:$B$371,MATCH('June 1 - June 15'!$Z$22:$Z$28,'Conversion Factors'!$A$6:$A$371,0))),"",INDEX('Conversion Factors'!$B$6:$B$371,MATCH('June 1 - June 15'!$Z$22:$Z$28,'Conversion Factors'!$A$6:$A$371,0)))</f>
        <v>7.8789999999999996</v>
      </c>
      <c r="Z27" s="17">
        <f t="shared" si="42"/>
        <v>44722</v>
      </c>
      <c r="AA27" s="57" t="str">
        <f t="shared" si="43"/>
        <v/>
      </c>
      <c r="AB27" s="57" t="str">
        <f t="shared" si="44"/>
        <v/>
      </c>
      <c r="AH27" s="71">
        <f t="shared" si="45"/>
        <v>42</v>
      </c>
      <c r="AI27" s="68">
        <f>IF(AH27&gt;$AI$12,AH27-($AI$12+AI26+AI25+AI24+AI23+AI22+AI21),0)</f>
        <v>2</v>
      </c>
      <c r="AJ27" s="145" t="b">
        <f t="shared" si="46"/>
        <v>0</v>
      </c>
      <c r="AK27" s="151">
        <f t="shared" si="68"/>
        <v>1</v>
      </c>
      <c r="AM27" s="147">
        <f t="shared" si="47"/>
        <v>0</v>
      </c>
      <c r="AO27" s="162" t="str">
        <f t="shared" si="48"/>
        <v/>
      </c>
      <c r="AP27" s="162">
        <f t="shared" si="49"/>
        <v>0</v>
      </c>
      <c r="AQ27" s="170">
        <f t="shared" si="50"/>
        <v>0</v>
      </c>
      <c r="AR27" s="162">
        <f t="shared" si="51"/>
        <v>0</v>
      </c>
      <c r="AS27" s="154">
        <f t="shared" si="52"/>
        <v>1</v>
      </c>
      <c r="AT27" s="154">
        <f t="shared" ref="AT27:AT28" si="79">IF(AND(AH26&lt;=40),40-AH26,0)</f>
        <v>1</v>
      </c>
      <c r="AU27" s="155">
        <f t="shared" si="70"/>
        <v>1</v>
      </c>
      <c r="AV27" s="156">
        <f t="shared" si="53"/>
        <v>1</v>
      </c>
      <c r="AW27" s="157">
        <f t="shared" si="71"/>
        <v>1</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1</v>
      </c>
      <c r="BF27" s="159">
        <f t="shared" si="72"/>
        <v>0</v>
      </c>
      <c r="BG27" s="160"/>
      <c r="BH27" s="160">
        <f t="shared" si="76"/>
        <v>1</v>
      </c>
      <c r="BI27" s="161">
        <f t="shared" si="59"/>
        <v>-2</v>
      </c>
      <c r="BJ27" s="161">
        <f>IF(AND(BH27=1,40-BL26&gt;0,40-BL26&lt;8),40-BL26,IF(AND(E27&lt;G27),E27,G27))</f>
        <v>1</v>
      </c>
      <c r="BK27" s="161">
        <f>IF(AND(BH27=1,BL27&gt;40,E27&lt;G27),E27-BJ27,(IF(AND(BH27=1,BL27&gt;0,E27&gt;=G27),G27-BJ27,0)))</f>
        <v>2</v>
      </c>
      <c r="BL27" s="161">
        <f>SUM(E22:E27)</f>
        <v>42</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44723</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Factors'!$B$6:$B$371,MATCH('June 1 - June 15'!$Z$22:$Z$28,'Conversion Factors'!$A$6:$A$371,0))),"",INDEX('Conversion Factors'!$B$6:$B$371,MATCH('June 1 - June 15'!$Z$22:$Z$28,'Conversion Factors'!$A$6:$A$371,0)))</f>
        <v>7.8789999999999996</v>
      </c>
      <c r="Z28" s="17">
        <f t="shared" si="42"/>
        <v>44723</v>
      </c>
      <c r="AA28" s="57" t="str">
        <f t="shared" si="43"/>
        <v/>
      </c>
      <c r="AB28" s="57" t="str">
        <f t="shared" si="44"/>
        <v/>
      </c>
      <c r="AH28" s="71">
        <f t="shared" si="45"/>
        <v>42</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0</v>
      </c>
      <c r="BF28" s="159">
        <f t="shared" si="72"/>
        <v>0</v>
      </c>
      <c r="BG28" s="160"/>
      <c r="BH28" s="160">
        <f t="shared" si="76"/>
        <v>0</v>
      </c>
      <c r="BI28" s="161">
        <f t="shared" si="59"/>
        <v>-2</v>
      </c>
      <c r="BJ28" s="161">
        <f t="shared" si="60"/>
        <v>0</v>
      </c>
      <c r="BK28" s="161">
        <f t="shared" si="61"/>
        <v>0</v>
      </c>
      <c r="BL28" s="161">
        <f>SUM(E22:E28)</f>
        <v>42</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42</v>
      </c>
      <c r="F29" s="34">
        <f t="shared" si="80"/>
        <v>0</v>
      </c>
      <c r="G29" s="76">
        <f t="shared" si="80"/>
        <v>8</v>
      </c>
      <c r="H29" s="34">
        <f t="shared" si="80"/>
        <v>0</v>
      </c>
      <c r="I29" s="34">
        <f t="shared" si="80"/>
        <v>0</v>
      </c>
      <c r="J29" s="74"/>
      <c r="K29" s="74">
        <f t="shared" si="80"/>
        <v>0</v>
      </c>
      <c r="L29" s="34">
        <f t="shared" si="80"/>
        <v>0</v>
      </c>
      <c r="M29" s="34">
        <f t="shared" si="80"/>
        <v>0</v>
      </c>
      <c r="N29" s="34">
        <f t="shared" si="80"/>
        <v>0</v>
      </c>
      <c r="O29" s="34">
        <f>SUM(O22:O28)</f>
        <v>50</v>
      </c>
      <c r="P29" s="89">
        <f>-SUM(P22:P28)</f>
        <v>0</v>
      </c>
      <c r="Q29" s="34">
        <f>SUM(Q22:Q28)</f>
        <v>0</v>
      </c>
      <c r="R29" s="46">
        <f>SUM(R22:R28)</f>
        <v>0</v>
      </c>
      <c r="S29" s="34">
        <f>IF(E29&gt;40,(E29-40)-V29,0)</f>
        <v>0</v>
      </c>
      <c r="T29" s="34">
        <f>MROUND(AL29,0.25)</f>
        <v>0</v>
      </c>
      <c r="U29" s="164">
        <f>SUM(U22:U28)</f>
        <v>1</v>
      </c>
      <c r="V29" s="165">
        <f>SUM(V22:V28)</f>
        <v>2</v>
      </c>
      <c r="W29" s="44">
        <f>IF(E29-(E11-(G29+K29+F29+H29+I29+L29+M29))-(S29+U29+V29)&gt;0,E29-(E11-(G29+K29+F29+H29+I29+L29+M29))-(S29+U29+V29),0)</f>
        <v>7</v>
      </c>
      <c r="X29" s="34"/>
      <c r="Z29" s="85"/>
      <c r="AA29" s="85"/>
      <c r="AB29" s="85"/>
      <c r="AC29" s="80">
        <f>SUM(F29:N29)</f>
        <v>8</v>
      </c>
      <c r="AD29" s="81">
        <f>IF(AND(AG29&lt;40,O29&gt;=AG29),O29-(AG29+S29),IF(AND(O29&lt;AG29,E29=O29),O29-E29,IF(AND(E29&gt;AG29,E29&lt;40),E29-AG29,IF(AND(O29&gt;AG29,E29&lt;AG29),E29-(AG29-AC29),IF(AND(O29&gt;AG29,E29&gt;40),E29-(AG29-AC29+S29),IF(AND(O29&gt;AG29,O29&gt;40),O29-(S29+AG29),0))))))</f>
        <v>10</v>
      </c>
      <c r="AE29" s="166">
        <f>AD29-U29-V29</f>
        <v>7</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41</v>
      </c>
    </row>
    <row r="30" spans="1:69" ht="15" customHeight="1" thickTop="1">
      <c r="A30" s="225">
        <f>IF(A28&lt;$O$7,A28+1,IF(A28=$O$7,""))</f>
        <v>44724</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Factors'!$B$6:$B$370,MATCH('June 1 - June 15'!$Z$30:$Z$36,'Conversion Factors'!$A$6:$A$370,0))),"",INDEX('Conversion Factors'!$B$6:$B$370,MATCH('June 1 - June 15'!$Z$30:$Z$36,'Conversion Factors'!$A$6:$A$370,0)))</f>
        <v>7.8789999999999996</v>
      </c>
      <c r="Z30" s="17">
        <f t="shared" ref="Z30:Z36" si="81">A30</f>
        <v>44724</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44725</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Factors'!$B$6:$B$370,MATCH('June 1 - June 15'!$Z$30:$Z$36,'Conversion Factors'!$A$6:$A$370,0))),"",INDEX('Conversion Factors'!$B$6:$B$370,MATCH('June 1 - June 15'!$Z$30:$Z$36,'Conversion Factors'!$A$6:$A$370,0)))</f>
        <v>7.8789999999999996</v>
      </c>
      <c r="Z31" s="17">
        <f t="shared" si="81"/>
        <v>44725</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44726</v>
      </c>
      <c r="B32" s="226"/>
      <c r="C32" s="227"/>
      <c r="D32" s="32" t="s">
        <v>25</v>
      </c>
      <c r="E32" s="176"/>
      <c r="F32" s="176"/>
      <c r="G32" s="177"/>
      <c r="H32" s="176"/>
      <c r="I32" s="176"/>
      <c r="J32" s="178"/>
      <c r="K32" s="178"/>
      <c r="L32" s="179"/>
      <c r="M32" s="176"/>
      <c r="N32" s="176"/>
      <c r="O32" s="110">
        <f t="shared" si="105"/>
        <v>0</v>
      </c>
      <c r="P32" s="50" t="str">
        <f t="shared" si="106"/>
        <v/>
      </c>
      <c r="Q32" s="52"/>
      <c r="R32" s="50" t="str">
        <f t="shared" si="107"/>
        <v/>
      </c>
      <c r="S32" s="52"/>
      <c r="T32" s="52"/>
      <c r="U32" s="149">
        <f t="shared" si="35"/>
        <v>0</v>
      </c>
      <c r="V32" s="150">
        <f t="shared" si="108"/>
        <v>0</v>
      </c>
      <c r="W32" s="50"/>
      <c r="X32" s="49">
        <f>IF(ISNA(INDEX('Conversion Factors'!$B$6:$B$370,MATCH('June 1 - June 15'!$Z$30:$Z$36,'Conversion Factors'!$A$6:$A$370,0))),"",INDEX('Conversion Factors'!$B$6:$B$370,MATCH('June 1 - June 15'!$Z$30:$Z$36,'Conversion Factors'!$A$6:$A$370,0)))</f>
        <v>7.8789999999999996</v>
      </c>
      <c r="Z32" s="17">
        <f t="shared" si="81"/>
        <v>44726</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44727</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Factors'!$B$6:$B$370,MATCH('June 1 - June 15'!$Z$30:$Z$36,'Conversion Factors'!$A$6:$A$370,0))),"",INDEX('Conversion Factors'!$B$6:$B$370,MATCH('June 1 - June 15'!$Z$30:$Z$36,'Conversion Factors'!$A$6:$A$370,0)))</f>
        <v>7.8789999999999996</v>
      </c>
      <c r="Z33" s="17">
        <f t="shared" si="81"/>
        <v>44727</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t="str">
        <f t="shared" si="104"/>
        <v/>
      </c>
      <c r="B34" s="226"/>
      <c r="C34" s="227"/>
      <c r="D34" s="32" t="s">
        <v>27</v>
      </c>
      <c r="E34" s="52"/>
      <c r="F34" s="52"/>
      <c r="G34" s="77"/>
      <c r="H34" s="52"/>
      <c r="I34" s="52"/>
      <c r="J34" s="108"/>
      <c r="K34" s="108"/>
      <c r="L34" s="109"/>
      <c r="M34" s="52"/>
      <c r="N34" s="52"/>
      <c r="O34" s="110">
        <f t="shared" si="105"/>
        <v>0</v>
      </c>
      <c r="P34" s="50" t="str">
        <f t="shared" si="106"/>
        <v/>
      </c>
      <c r="Q34" s="52"/>
      <c r="R34" s="50" t="str">
        <f t="shared" si="107"/>
        <v/>
      </c>
      <c r="S34" s="52"/>
      <c r="T34" s="52"/>
      <c r="U34" s="149">
        <f t="shared" si="35"/>
        <v>0</v>
      </c>
      <c r="V34" s="150">
        <f t="shared" si="108"/>
        <v>0</v>
      </c>
      <c r="W34" s="50"/>
      <c r="X34" s="49" t="str">
        <f>IF(ISNA(INDEX('Conversion Factors'!$B$6:$B$370,MATCH('June 1 - June 15'!$Z$30:$Z$36,'Conversion Factors'!$A$6:$A$370,0))),"",INDEX('Conversion Factors'!$B$6:$B$370,MATCH('June 1 - June 15'!$Z$30:$Z$36,'Conversion Factors'!$A$6:$A$370,0)))</f>
        <v/>
      </c>
      <c r="Z34" s="17" t="str">
        <f t="shared" si="81"/>
        <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b">
        <f t="shared" si="104"/>
        <v>0</v>
      </c>
      <c r="B35" s="226"/>
      <c r="C35" s="227"/>
      <c r="D35" s="32" t="s">
        <v>28</v>
      </c>
      <c r="E35" s="52"/>
      <c r="F35" s="52"/>
      <c r="G35" s="77"/>
      <c r="H35" s="52"/>
      <c r="I35" s="52"/>
      <c r="J35" s="108"/>
      <c r="K35" s="108"/>
      <c r="L35" s="109"/>
      <c r="M35" s="52"/>
      <c r="N35" s="52"/>
      <c r="O35" s="110">
        <f t="shared" si="105"/>
        <v>0</v>
      </c>
      <c r="P35" s="50" t="str">
        <f t="shared" si="106"/>
        <v/>
      </c>
      <c r="Q35" s="52"/>
      <c r="R35" s="50" t="str">
        <f t="shared" si="107"/>
        <v/>
      </c>
      <c r="S35" s="52"/>
      <c r="T35" s="52"/>
      <c r="U35" s="149">
        <f t="shared" si="35"/>
        <v>0</v>
      </c>
      <c r="V35" s="150">
        <f t="shared" si="108"/>
        <v>0</v>
      </c>
      <c r="W35" s="50"/>
      <c r="X35" s="49" t="str">
        <f>IF(ISNA(INDEX('Conversion Factors'!$B$6:$B$370,MATCH('June 1 - June 15'!$Z$30:$Z$36,'Conversion Factors'!$A$6:$A$370,0))),"",INDEX('Conversion Factors'!$B$6:$B$370,MATCH('June 1 - June 15'!$Z$30:$Z$36,'Conversion Factors'!$A$6:$A$370,0)))</f>
        <v/>
      </c>
      <c r="Z35" s="17" t="b">
        <f t="shared" si="81"/>
        <v>0</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Factors'!$B$6:$B$370,MATCH('June 1 - June 15'!$Z$30:$Z$36,'Conversion Factors'!$A$6:$A$370,0))),"",INDEX('Conversion Factors'!$B$6:$B$370,MATCH('June 1 - June 15'!$Z$30:$Z$36,'Conversion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Factors'!$B$6:$B$370,MATCH('June 1 - June 15'!$Z$38:$Z$44,'Conversion Factors'!$A$6:$A$370,0))),"",INDEX('Conversion Factors'!$B$6:$B$370,MATCH('June 1 - June 15'!$Z$38:$Z$44,'Conversion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Factors'!$B$6:$B$370,MATCH('June 1 - June 15'!$Z$38:$Z$44,'Conversion Factors'!$A$6:$A$370,0))),"",INDEX('Conversion Factors'!$B$6:$B$370,MATCH('June 1 - June 15'!$Z$38:$Z$44,'Conversion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Factors'!$B$6:$B$370,MATCH('June 1 - June 15'!$Z$38:$Z$44,'Conversion Factors'!$A$6:$A$370,0))),"",INDEX('Conversion Factors'!$B$6:$B$370,MATCH('June 1 - June 15'!$Z$38:$Z$44,'Conversion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Factors'!$B$6:$B$370,MATCH('June 1 - June 15'!$Z$38:$Z$44,'Conversion Factors'!$A$6:$A$370,0))),"",INDEX('Conversion Factors'!$B$6:$B$370,MATCH('June 1 - June 15'!$Z$38:$Z$44,'Conversion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Factors'!$B$6:$B$370,MATCH('June 1 - June 15'!$Z$38:$Z$44,'Conversion Factors'!$A$6:$A$370,0))),"",INDEX('Conversion Factors'!$B$6:$B$370,MATCH('June 1 - June 15'!$Z$38:$Z$44,'Conversion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Factors'!$B$6:$B$370,MATCH('June 1 - June 15'!$Z$38:$Z$44,'Conversion Factors'!$A$6:$A$370,0))),"",INDEX('Conversion Factors'!$B$6:$B$370,MATCH('June 1 - June 15'!$Z$38:$Z$44,'Conversion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Factors'!$B$6:$B$370,MATCH('June 1 - June 15'!$Z$38:$Z$44,'Conversion Factors'!$A$6:$A$370,0))),"",INDEX('Conversion Factors'!$B$6:$B$370,MATCH('June 1 - June 15'!$Z$38:$Z$44,'Conversion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50</v>
      </c>
      <c r="P46" s="90">
        <f t="shared" ref="P46:X46" si="161">(P21+P29+P37+P45)-P13</f>
        <v>0</v>
      </c>
      <c r="Q46" s="34">
        <f t="shared" si="161"/>
        <v>0</v>
      </c>
      <c r="R46" s="78">
        <f t="shared" si="161"/>
        <v>0</v>
      </c>
      <c r="S46" s="34">
        <f t="shared" si="161"/>
        <v>0</v>
      </c>
      <c r="T46" s="34">
        <f t="shared" si="161"/>
        <v>0</v>
      </c>
      <c r="U46" s="164">
        <f t="shared" si="161"/>
        <v>1</v>
      </c>
      <c r="V46" s="165">
        <f t="shared" si="161"/>
        <v>2</v>
      </c>
      <c r="W46" s="78">
        <f t="shared" si="161"/>
        <v>7</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51" priority="17" operator="equal">
      <formula>FALSE</formula>
    </cfRule>
  </conditionalFormatting>
  <conditionalFormatting sqref="A22:C22">
    <cfRule type="cellIs" dxfId="50" priority="16" operator="equal">
      <formula>FALSE</formula>
    </cfRule>
  </conditionalFormatting>
  <conditionalFormatting sqref="D22:D28">
    <cfRule type="cellIs" dxfId="49" priority="15" operator="equal">
      <formula>FALSE</formula>
    </cfRule>
  </conditionalFormatting>
  <conditionalFormatting sqref="Z22:Z28">
    <cfRule type="cellIs" dxfId="48" priority="14" operator="equal">
      <formula>FALSE</formula>
    </cfRule>
  </conditionalFormatting>
  <conditionalFormatting sqref="Z30:Z36">
    <cfRule type="cellIs" dxfId="47" priority="13" operator="equal">
      <formula>FALSE</formula>
    </cfRule>
  </conditionalFormatting>
  <conditionalFormatting sqref="X21 X29 X37">
    <cfRule type="containsErrors" dxfId="46" priority="12">
      <formula>ISERROR(X21)</formula>
    </cfRule>
  </conditionalFormatting>
  <conditionalFormatting sqref="Z39:Z44">
    <cfRule type="cellIs" dxfId="45" priority="10" operator="equal">
      <formula>FALSE</formula>
    </cfRule>
  </conditionalFormatting>
  <conditionalFormatting sqref="Z38">
    <cfRule type="cellIs" dxfId="44" priority="11" operator="equal">
      <formula>FALSE</formula>
    </cfRule>
  </conditionalFormatting>
  <conditionalFormatting sqref="W11:X11">
    <cfRule type="cellIs" dxfId="43" priority="9" operator="equal">
      <formula>"Please Select"</formula>
    </cfRule>
  </conditionalFormatting>
  <conditionalFormatting sqref="E11:F11">
    <cfRule type="containsBlanks" dxfId="42" priority="8">
      <formula>LEN(TRIM(E11))=0</formula>
    </cfRule>
  </conditionalFormatting>
  <conditionalFormatting sqref="U14:U46">
    <cfRule type="cellIs" dxfId="41" priority="7" operator="equal">
      <formula>FALSE</formula>
    </cfRule>
  </conditionalFormatting>
  <conditionalFormatting sqref="P26">
    <cfRule type="cellIs" dxfId="40" priority="6" operator="lessThan">
      <formula>$BQ$21</formula>
    </cfRule>
  </conditionalFormatting>
  <conditionalFormatting sqref="X14:X20">
    <cfRule type="containsErrors" dxfId="39" priority="5">
      <formula>ISERROR(X14)</formula>
    </cfRule>
  </conditionalFormatting>
  <conditionalFormatting sqref="X30:X36">
    <cfRule type="containsErrors" dxfId="38" priority="4">
      <formula>ISERROR(X30)</formula>
    </cfRule>
  </conditionalFormatting>
  <conditionalFormatting sqref="X38:X44">
    <cfRule type="containsErrors" dxfId="37" priority="3">
      <formula>ISERROR(X38)</formula>
    </cfRule>
  </conditionalFormatting>
  <conditionalFormatting sqref="X22">
    <cfRule type="containsErrors" dxfId="36" priority="2">
      <formula>ISERROR(X22)</formula>
    </cfRule>
  </conditionalFormatting>
  <conditionalFormatting sqref="X23:X28">
    <cfRule type="containsErrors" dxfId="35" priority="1">
      <formula>ISERROR(X23)</formula>
    </cfRule>
  </conditionalFormatting>
  <dataValidations count="5">
    <dataValidation type="list" allowBlank="1" showInputMessage="1" showErrorMessage="1" promptTitle="Compensatory Time" prompt="Please select &quot;No&quot; if you are not receiving Compensatory time or &quot;Yes&quot; if you are receiving compensatory time." sqref="W11:X11" xr:uid="{31F36508-CAAF-4EE3-9690-4F16ED0F5CCC}">
      <formula1>$AD$6:$AD$8</formula1>
    </dataValidation>
    <dataValidation allowBlank="1" showInputMessage="1" showErrorMessage="1" promptTitle="Hours Per Week" prompt="Please enter the number of hours you are scheduled to work each week.  (Example:  40)_x000a_" sqref="E11:F11" xr:uid="{E02BB52E-1FEA-4E30-85F7-E3B06E67926F}"/>
    <dataValidation allowBlank="1" showInputMessage="1" showErrorMessage="1" prompt="Enter your MSU ID into this field and it will populate to all the other time re[prts in this workbook." sqref="C6:H6" xr:uid="{2995C05D-EFFD-4B2C-B049-2624FC91D68B}"/>
    <dataValidation allowBlank="1" showInputMessage="1" showErrorMessage="1" prompt="Enter your Name into this field and it will populate to all the other time reports in this workbook." sqref="C7:H7" xr:uid="{6C2E8147-83DD-419B-818A-77EA75678140}"/>
    <dataValidation allowBlank="1" showInputMessage="1" showErrorMessage="1" prompt="Enter your Department Name into this field and it will populate to all the other time reports in this workbook." sqref="C8:H8" xr:uid="{25550888-3D10-4C0B-A89F-9C7D5E0A917B}"/>
  </dataValidations>
  <hyperlinks>
    <hyperlink ref="O49" r:id="rId1" xr:uid="{78EF488B-990C-49D3-9613-CF7392663DE9}"/>
    <hyperlink ref="O48:W48" r:id="rId2" display="Leave/Leave Without Pay Policy" xr:uid="{84144F5D-A615-4447-AE7A-BE6E6F763E8A}"/>
    <hyperlink ref="O50:W50" r:id="rId3" display="Time Sheet Definitions/Policies" xr:uid="{11641163-313E-4D22-8F83-20388D687ABA}"/>
    <hyperlink ref="O49:T49" r:id="rId4" display="Overtime/Compensatory Time" xr:uid="{7F9F5DA3-8212-4166-A0BB-C1F1CB230A22}"/>
  </hyperlinks>
  <printOptions horizontalCentered="1"/>
  <pageMargins left="0.5" right="0.5" top="0.5" bottom="0.5" header="0.5" footer="0"/>
  <pageSetup scale="75" orientation="portrait" r:id="rId5"/>
  <headerFooter alignWithMargins="0">
    <oddFooter>&amp;RRevised:  05/2019</oddFooter>
  </headerFooter>
  <ignoredErrors>
    <ignoredError sqref="E15:N15" unlockedFormula="1"/>
  </ignoredErrors>
  <drawing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FA0C5-6D1C-44E4-9D70-379796A1BE4D}">
  <sheetPr codeName="Sheet31">
    <tabColor theme="4" tint="0.79998168889431442"/>
  </sheetPr>
  <dimension ref="A1:BQ57"/>
  <sheetViews>
    <sheetView showGridLines="0" showZeros="0" zoomScaleNormal="100" workbookViewId="0">
      <pane ySplit="13" topLeftCell="A23" activePane="bottomLeft" state="frozen"/>
      <selection activeCell="BS5" sqref="BS5:BS6"/>
      <selection pane="bottomLeft" activeCell="Y1" sqref="Y1:BR1048576"/>
    </sheetView>
  </sheetViews>
  <sheetFormatPr defaultColWidth="10.6640625" defaultRowHeight="12.75"/>
  <cols>
    <col min="1" max="1" width="12.6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customWidth="1"/>
    <col min="27" max="27" width="7.6640625" style="1" customWidth="1"/>
    <col min="28" max="28" width="7.5" style="1" customWidth="1"/>
    <col min="29" max="29" width="6.33203125" style="1" customWidth="1"/>
    <col min="30" max="30" width="10.6640625" style="2" customWidth="1"/>
    <col min="31" max="31" width="10.6640625" style="1" customWidth="1"/>
    <col min="32" max="32" width="4.33203125" style="1" customWidth="1"/>
    <col min="33" max="33" width="6.33203125" style="61" customWidth="1"/>
    <col min="34" max="34" width="9.1640625" style="1" customWidth="1"/>
    <col min="35" max="35" width="10.6640625" style="66" customWidth="1"/>
    <col min="36" max="36" width="8" style="1" customWidth="1"/>
    <col min="37" max="37" width="10.6640625" style="1" customWidth="1"/>
    <col min="38" max="38" width="5" style="1" customWidth="1"/>
    <col min="39" max="41" width="10.6640625" style="1" customWidth="1"/>
    <col min="42" max="42" width="7.33203125" style="1" customWidth="1"/>
    <col min="43" max="43" width="7" style="1" customWidth="1"/>
    <col min="44" max="44" width="7.1640625" style="1" customWidth="1"/>
    <col min="45" max="45" width="6.33203125" style="1" customWidth="1"/>
    <col min="46" max="46" width="5.5" style="1" customWidth="1"/>
    <col min="47" max="48" width="6.33203125" style="1" customWidth="1"/>
    <col min="49" max="49" width="8" style="1" customWidth="1"/>
    <col min="50" max="50" width="1.83203125" style="1" customWidth="1"/>
    <col min="51" max="51" width="8.6640625" style="1" customWidth="1"/>
    <col min="52" max="52" width="9.5" style="1" customWidth="1"/>
    <col min="53" max="53" width="5.5" style="1" customWidth="1"/>
    <col min="54" max="54" width="4.83203125" style="1" customWidth="1"/>
    <col min="55" max="55" width="5.5" style="1" customWidth="1"/>
    <col min="56" max="56" width="5.1640625" style="1" customWidth="1"/>
    <col min="57" max="57" width="7.5" style="1" customWidth="1"/>
    <col min="58" max="58" width="7.1640625" style="1" customWidth="1"/>
    <col min="59" max="70" width="10.6640625" style="1" customWidth="1"/>
    <col min="71" max="16384" width="10.6640625" style="1"/>
  </cols>
  <sheetData>
    <row r="1" spans="1:69"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69"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row>
    <row r="3" spans="1:69" ht="4.9000000000000004" customHeight="1" thickBot="1">
      <c r="A3" s="3"/>
      <c r="B3" s="3"/>
      <c r="C3" s="3"/>
      <c r="D3" s="3"/>
      <c r="E3" s="3"/>
      <c r="F3" s="3"/>
      <c r="G3" s="3"/>
      <c r="H3" s="3"/>
      <c r="I3" s="3"/>
      <c r="J3" s="3"/>
      <c r="K3" s="3"/>
      <c r="L3" s="3"/>
      <c r="M3" s="3"/>
      <c r="N3" s="3"/>
      <c r="O3" s="3"/>
      <c r="P3" s="3"/>
      <c r="Q3" s="3"/>
      <c r="R3" s="3"/>
      <c r="S3" s="3"/>
      <c r="T3" s="3"/>
      <c r="U3" s="3"/>
      <c r="V3" s="132"/>
      <c r="W3" s="3"/>
    </row>
    <row r="4" spans="1:69"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69"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69" s="4" customFormat="1" ht="17.100000000000001" customHeight="1" thickBot="1">
      <c r="A6" s="30" t="s">
        <v>2</v>
      </c>
      <c r="B6" s="24"/>
      <c r="C6" s="273">
        <f>'July 1 - July 15'!C6</f>
        <v>0</v>
      </c>
      <c r="D6" s="273"/>
      <c r="E6" s="273"/>
      <c r="F6" s="273"/>
      <c r="G6" s="273"/>
      <c r="H6" s="273"/>
      <c r="I6" s="247" t="s">
        <v>3</v>
      </c>
      <c r="J6" s="247"/>
      <c r="K6" s="247"/>
      <c r="L6" s="247"/>
      <c r="M6" s="247"/>
      <c r="N6" s="247"/>
      <c r="O6" s="265">
        <f>'Dates &amp; Notes'!$A$25</f>
        <v>44728</v>
      </c>
      <c r="P6" s="265"/>
      <c r="Q6" s="265"/>
      <c r="R6" s="265"/>
      <c r="S6" s="265"/>
      <c r="T6" s="265"/>
      <c r="U6" s="53"/>
      <c r="V6" s="53"/>
      <c r="W6" s="24"/>
      <c r="X6" s="30"/>
      <c r="Z6" s="4" t="str">
        <f>TEXT(O6,"dddd")</f>
        <v>Thursday</v>
      </c>
      <c r="AD6" s="5" t="s">
        <v>49</v>
      </c>
      <c r="AF6" s="5"/>
      <c r="AG6" s="62"/>
      <c r="AI6" s="67"/>
    </row>
    <row r="7" spans="1:69" s="4" customFormat="1" ht="17.100000000000001" customHeight="1" thickBot="1">
      <c r="A7" s="30" t="s">
        <v>4</v>
      </c>
      <c r="B7" s="30"/>
      <c r="C7" s="272">
        <f>'July 1 - July 15'!$C$7</f>
        <v>0</v>
      </c>
      <c r="D7" s="272"/>
      <c r="E7" s="272"/>
      <c r="F7" s="272"/>
      <c r="G7" s="272"/>
      <c r="H7" s="272"/>
      <c r="I7" s="247" t="s">
        <v>5</v>
      </c>
      <c r="J7" s="247"/>
      <c r="K7" s="247"/>
      <c r="L7" s="247"/>
      <c r="M7" s="247"/>
      <c r="N7" s="247"/>
      <c r="O7" s="248">
        <f>'Dates &amp; Notes'!$B$25</f>
        <v>44742</v>
      </c>
      <c r="P7" s="248"/>
      <c r="Q7" s="248"/>
      <c r="R7" s="248"/>
      <c r="S7" s="248"/>
      <c r="T7" s="248"/>
      <c r="U7" s="54"/>
      <c r="V7" s="54"/>
      <c r="W7" s="24"/>
      <c r="X7" s="30"/>
      <c r="AD7" s="5" t="s">
        <v>47</v>
      </c>
      <c r="AG7" s="62"/>
      <c r="AI7" s="67"/>
    </row>
    <row r="8" spans="1:69" s="4" customFormat="1" ht="17.100000000000001" customHeight="1" thickBot="1">
      <c r="A8" s="30" t="s">
        <v>6</v>
      </c>
      <c r="B8" s="24"/>
      <c r="C8" s="272">
        <f>'July 1 - July 15'!$C$8</f>
        <v>0</v>
      </c>
      <c r="D8" s="272"/>
      <c r="E8" s="272"/>
      <c r="F8" s="272"/>
      <c r="G8" s="272"/>
      <c r="H8" s="272"/>
      <c r="I8" s="247" t="s">
        <v>7</v>
      </c>
      <c r="J8" s="247"/>
      <c r="K8" s="247"/>
      <c r="L8" s="247"/>
      <c r="M8" s="247"/>
      <c r="N8" s="247"/>
      <c r="O8" s="249">
        <f>'Dates &amp; Notes'!$C$25</f>
        <v>12</v>
      </c>
      <c r="P8" s="249"/>
      <c r="Q8" s="249"/>
      <c r="R8" s="249"/>
      <c r="S8" s="249"/>
      <c r="T8" s="249"/>
      <c r="U8" s="55"/>
      <c r="V8" s="55"/>
      <c r="W8" s="24"/>
      <c r="X8" s="30"/>
      <c r="AD8" s="5" t="s">
        <v>48</v>
      </c>
      <c r="AG8" s="62"/>
      <c r="AI8" s="67"/>
    </row>
    <row r="9" spans="1:69"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69"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69" ht="18.600000000000001" customHeight="1" thickTop="1" thickBot="1">
      <c r="A11" s="250" t="s">
        <v>75</v>
      </c>
      <c r="B11" s="251"/>
      <c r="C11" s="251"/>
      <c r="D11" s="251"/>
      <c r="E11" s="252">
        <f>'July 1 - July 15'!$E$11</f>
        <v>40</v>
      </c>
      <c r="F11" s="253"/>
      <c r="G11" s="254" t="s">
        <v>69</v>
      </c>
      <c r="H11" s="255"/>
      <c r="I11" s="255"/>
      <c r="J11" s="255"/>
      <c r="K11" s="255"/>
      <c r="L11" s="255"/>
      <c r="M11" s="255"/>
      <c r="N11" s="255"/>
      <c r="O11" s="255"/>
      <c r="P11" s="255"/>
      <c r="Q11" s="255"/>
      <c r="R11" s="256"/>
      <c r="S11" s="257" t="s">
        <v>67</v>
      </c>
      <c r="T11" s="258"/>
      <c r="U11" s="258"/>
      <c r="V11" s="259"/>
      <c r="W11" s="260" t="str">
        <f>'July 1 - July 15'!$W$11</f>
        <v>Yes</v>
      </c>
      <c r="X11" s="261"/>
      <c r="AH11" s="69"/>
      <c r="AI11" s="69" t="s">
        <v>56</v>
      </c>
      <c r="AO11" s="245" t="s">
        <v>88</v>
      </c>
      <c r="AP11" s="245"/>
      <c r="AQ11" s="245"/>
      <c r="AR11" s="245"/>
      <c r="AS11" s="245"/>
      <c r="AT11" s="245"/>
      <c r="AU11" s="245"/>
      <c r="AV11" s="133"/>
    </row>
    <row r="12" spans="1:69" s="24" customFormat="1" ht="95.25" customHeight="1" thickTop="1" thickBot="1">
      <c r="A12" s="240" t="s">
        <v>8</v>
      </c>
      <c r="B12" s="241"/>
      <c r="C12" s="242"/>
      <c r="D12" s="129" t="s">
        <v>9</v>
      </c>
      <c r="E12" s="23" t="s">
        <v>10</v>
      </c>
      <c r="F12" s="23" t="s">
        <v>11</v>
      </c>
      <c r="G12" s="75" t="s">
        <v>12</v>
      </c>
      <c r="H12" s="23" t="s">
        <v>13</v>
      </c>
      <c r="I12" s="23" t="s">
        <v>14</v>
      </c>
      <c r="J12" s="128" t="s">
        <v>89</v>
      </c>
      <c r="K12" s="73" t="s">
        <v>90</v>
      </c>
      <c r="L12" s="23" t="s">
        <v>57</v>
      </c>
      <c r="M12" s="23" t="s">
        <v>15</v>
      </c>
      <c r="N12" s="23" t="s">
        <v>16</v>
      </c>
      <c r="O12" s="23" t="s">
        <v>17</v>
      </c>
      <c r="P12" s="45" t="s">
        <v>51</v>
      </c>
      <c r="Q12" s="23" t="s">
        <v>19</v>
      </c>
      <c r="R12" s="45" t="s">
        <v>50</v>
      </c>
      <c r="S12" s="23" t="s">
        <v>20</v>
      </c>
      <c r="T12" s="23" t="s">
        <v>21</v>
      </c>
      <c r="U12" s="134" t="s">
        <v>91</v>
      </c>
      <c r="V12" s="135" t="s">
        <v>53</v>
      </c>
      <c r="W12" s="45" t="s">
        <v>52</v>
      </c>
      <c r="X12" s="23" t="s">
        <v>42</v>
      </c>
      <c r="Y12" s="1"/>
      <c r="Z12" s="42">
        <v>8</v>
      </c>
      <c r="AA12" s="24" t="s">
        <v>18</v>
      </c>
      <c r="AB12" s="24" t="s">
        <v>19</v>
      </c>
      <c r="AD12" s="243" t="s">
        <v>22</v>
      </c>
      <c r="AE12" s="243"/>
      <c r="AG12" s="63"/>
      <c r="AH12" s="72" t="s">
        <v>55</v>
      </c>
      <c r="AI12" s="70">
        <v>40</v>
      </c>
      <c r="AJ12" s="72" t="s">
        <v>58</v>
      </c>
      <c r="AK12" s="43" t="s">
        <v>54</v>
      </c>
      <c r="AL12" s="72" t="s">
        <v>68</v>
      </c>
      <c r="AM12" s="72" t="s">
        <v>87</v>
      </c>
      <c r="AO12" s="136" t="s">
        <v>92</v>
      </c>
      <c r="AP12" s="137">
        <v>2</v>
      </c>
      <c r="AQ12" s="137">
        <v>3</v>
      </c>
      <c r="AR12" s="137">
        <v>4</v>
      </c>
      <c r="AS12" s="137"/>
      <c r="AT12" s="136" t="s">
        <v>93</v>
      </c>
      <c r="AU12" s="137"/>
      <c r="AV12" s="75" t="s">
        <v>94</v>
      </c>
      <c r="AW12" s="75" t="s">
        <v>95</v>
      </c>
      <c r="AY12" s="73" t="s">
        <v>96</v>
      </c>
      <c r="AZ12" s="138" t="s">
        <v>97</v>
      </c>
      <c r="BA12" s="139">
        <v>2</v>
      </c>
      <c r="BB12" s="139">
        <v>3</v>
      </c>
      <c r="BC12" s="139">
        <v>4</v>
      </c>
      <c r="BD12" s="139"/>
      <c r="BE12" s="140" t="s">
        <v>93</v>
      </c>
      <c r="BF12" s="141"/>
      <c r="BG12" s="142"/>
      <c r="BH12" s="142" t="s">
        <v>98</v>
      </c>
      <c r="BI12" s="142" t="s">
        <v>99</v>
      </c>
      <c r="BJ12" s="142" t="s">
        <v>100</v>
      </c>
      <c r="BK12" s="142" t="s">
        <v>101</v>
      </c>
      <c r="BL12" s="143" t="s">
        <v>10</v>
      </c>
      <c r="BM12" s="142" t="s">
        <v>102</v>
      </c>
      <c r="BN12" s="142" t="s">
        <v>103</v>
      </c>
      <c r="BO12" s="142" t="s">
        <v>104</v>
      </c>
      <c r="BP12" s="142" t="s">
        <v>105</v>
      </c>
      <c r="BQ12" s="142"/>
    </row>
    <row r="13" spans="1:69" s="47" customFormat="1" ht="15" customHeight="1" thickTop="1">
      <c r="A13" s="244" t="s">
        <v>43</v>
      </c>
      <c r="B13" s="244"/>
      <c r="C13" s="244"/>
      <c r="D13" s="244"/>
      <c r="E13" s="86">
        <f>SUM(E14:E17)</f>
        <v>0</v>
      </c>
      <c r="F13" s="86">
        <f t="shared" ref="F13:N13" si="0">SUM(F14:F17)</f>
        <v>0</v>
      </c>
      <c r="G13" s="207">
        <f>SUM(G14:G17)</f>
        <v>0</v>
      </c>
      <c r="H13" s="207">
        <f t="shared" si="0"/>
        <v>0</v>
      </c>
      <c r="I13" s="207">
        <f t="shared" si="0"/>
        <v>0</v>
      </c>
      <c r="J13" s="207">
        <f t="shared" si="0"/>
        <v>0</v>
      </c>
      <c r="K13" s="207">
        <f t="shared" si="0"/>
        <v>0</v>
      </c>
      <c r="L13" s="207">
        <f t="shared" si="0"/>
        <v>0</v>
      </c>
      <c r="M13" s="207">
        <f t="shared" si="0"/>
        <v>0</v>
      </c>
      <c r="N13" s="207">
        <f t="shared" si="0"/>
        <v>0</v>
      </c>
      <c r="O13" s="86">
        <f>SUM(E13:N13)-J13</f>
        <v>0</v>
      </c>
      <c r="P13" s="103"/>
      <c r="Q13" s="102"/>
      <c r="R13" s="103"/>
      <c r="S13" s="102"/>
      <c r="T13" s="102"/>
      <c r="U13" s="102"/>
      <c r="V13" s="144"/>
      <c r="W13" s="103"/>
      <c r="X13" s="86"/>
      <c r="AD13" s="22"/>
      <c r="AH13" s="71"/>
      <c r="AI13" s="68"/>
      <c r="AJ13" s="145">
        <f>IF(AND(AM13=0,J13=0),AM13,IF(AND(E13&gt;AM13,J13=0),J13,IF(AND(J13&lt;AM13,AI13=0),J13,IF(AND(AM13=J13,AI13&lt;AM13),AM13-AI13,IF(AND(J13=AM13,AI13=AM13),AI13,IF(AND(J13&lt;AM13,AI13&gt;0),AM13-J13,IF(AND(AM13&gt;J13,AI13&lt;E13),E13-AI13,IF(AND(E13&gt;AM13,AI13=E13),O13-AI13,0))))))))</f>
        <v>0</v>
      </c>
      <c r="AK13" s="146">
        <f>IF(AND(G13=0,E13&gt;G13),G13,IF(AND(E13&gt;G13,AI13=0),G13,IF(AND(E13&lt;G13,AI13=0),E13,IF(AND(E13=G13,AI13&lt;G13),G13-AI13,IF(AND(E13=G13,AI13=G13),AI13,IF(AND(E13&lt;G13,AI13&gt;0),G13-E13,IF(AND(E13&gt;G13,AI13&lt;E13),E13-AI13,IF(AND(E13&gt;G13,AI13=E13),O13-AI13,0))))))))</f>
        <v>0</v>
      </c>
      <c r="AM13" s="147">
        <f>K13</f>
        <v>0</v>
      </c>
      <c r="BG13" s="148"/>
      <c r="BH13" s="148"/>
      <c r="BI13" s="148"/>
      <c r="BJ13" s="148"/>
      <c r="BK13" s="148"/>
      <c r="BL13" s="148"/>
      <c r="BM13" s="148"/>
      <c r="BN13" s="148"/>
      <c r="BO13" s="148"/>
      <c r="BP13" s="148"/>
      <c r="BQ13" s="148"/>
    </row>
    <row r="14" spans="1:69" ht="15" customHeight="1">
      <c r="A14" s="237" t="b">
        <f>IF(EXACT(D14,$Z$6)=TRUE,$O$6,IF(A12=0,"",IF(A12&lt;$O$7,A12+1,IF(A12=$O$7,""))))</f>
        <v>0</v>
      </c>
      <c r="B14" s="238"/>
      <c r="C14" s="239"/>
      <c r="D14" s="32" t="s">
        <v>23</v>
      </c>
      <c r="E14" s="182">
        <f>'June 1 - June 15'!E30</f>
        <v>0</v>
      </c>
      <c r="F14" s="182">
        <f>'June 1 - June 15'!F30</f>
        <v>0</v>
      </c>
      <c r="G14" s="198">
        <f>'June 1 - June 15'!G30</f>
        <v>0</v>
      </c>
      <c r="H14" s="182">
        <f>'June 1 - June 15'!H30</f>
        <v>0</v>
      </c>
      <c r="I14" s="182">
        <f>'June 1 - June 15'!I30</f>
        <v>0</v>
      </c>
      <c r="J14" s="185">
        <f>'June 1 - June 15'!J30</f>
        <v>0</v>
      </c>
      <c r="K14" s="185">
        <f>'June 1 - June 15'!K30</f>
        <v>0</v>
      </c>
      <c r="L14" s="186">
        <f>'June 1 - June 15'!L30</f>
        <v>0</v>
      </c>
      <c r="M14" s="182">
        <f>'June 1 - June 15'!M30</f>
        <v>0</v>
      </c>
      <c r="N14" s="182">
        <f>'June 1 - June 15'!N30</f>
        <v>0</v>
      </c>
      <c r="O14" s="183">
        <f>SUM(E14:N14)-J14</f>
        <v>0</v>
      </c>
      <c r="P14" s="187" t="str">
        <f>IF(AND(ISNUMBER(AA14),ISNUMBER(X14)),AA14*X14,"")</f>
        <v/>
      </c>
      <c r="Q14" s="182"/>
      <c r="R14" s="50" t="str">
        <f>IF(AND(ISNUMBER(AB14),ISNUMBER(X14)),AB14*X14,"")</f>
        <v/>
      </c>
      <c r="S14" s="52"/>
      <c r="T14" s="52"/>
      <c r="U14" s="206">
        <f>IF(BJ14&gt;0,BJ14,BN14)</f>
        <v>0</v>
      </c>
      <c r="V14" s="150">
        <f>IF(BK14&gt;0,BK14,0)</f>
        <v>0</v>
      </c>
      <c r="W14" s="50"/>
      <c r="X14" s="49" t="str">
        <f>IF(ISNA(INDEX('Conversion Factors'!$B$6:$B$371,MATCH('June 16 - June 30'!$Z$14:$Z$20,'Conversion Factors'!$A$6:$A$371,0))),"",INDEX('Conversion Factors'!$B$6:$B$371,MATCH('June 16 - June 30'!$Z$14:$Z$20,'Conversion Factors'!$A$6:$A$371,0)))</f>
        <v/>
      </c>
      <c r="Z14" s="18" t="b">
        <f t="shared" ref="Z14:Z20" si="1">A14</f>
        <v>0</v>
      </c>
      <c r="AA14" s="57">
        <f t="shared" ref="AA14:AA20" si="2">IF(AND(ISNUMBER(N14),ISNUMBER($Z$12)),N14/$Z$12,"")</f>
        <v>0</v>
      </c>
      <c r="AB14" s="57" t="str">
        <f t="shared" ref="AB14:AB20" si="3">IF(AND(ISNUMBER(Q14),ISNUMBER($Z$12)),Q14/$Z$12,"")</f>
        <v/>
      </c>
      <c r="AC14" s="58"/>
      <c r="AD14" s="59"/>
      <c r="AE14" s="58"/>
      <c r="AF14" s="58"/>
      <c r="AG14" s="64"/>
      <c r="AH14" s="71">
        <f>E14</f>
        <v>0</v>
      </c>
      <c r="AI14" s="68">
        <f>IF(AH14&gt;$AI$12,AH14-$AI$12,0)</f>
        <v>0</v>
      </c>
      <c r="AJ14" s="145" t="b">
        <f>IF(AND(AZ14&gt;0,AZ14),IF(BA14&gt;0,BA14,IF(BB14&gt;0,BB14,IF(BC14&gt;0,BC14,IF(BF14&gt;0,BF14,"")))))</f>
        <v>0</v>
      </c>
      <c r="AK14" s="151" t="b">
        <f>IF(AND(AO14&gt;0,AO14),IF(AP14&gt;0,AP14,IF(AQ14&gt;0,AQ14,IF(AR14&gt;0,AR14,IF(AU14&gt;0,AU14,"")))))</f>
        <v>0</v>
      </c>
      <c r="AM14" s="147">
        <f t="shared" ref="AM14:AM20" si="4">J14</f>
        <v>0</v>
      </c>
      <c r="AO14" s="152">
        <f t="shared" ref="AO14:AO20" si="5">IF(G14=0,0,"")</f>
        <v>0</v>
      </c>
      <c r="AP14" s="152">
        <f t="shared" ref="AP14:AP20" si="6">IF(AND(AH14&lt;=40,E14=G14),G14,0)</f>
        <v>0</v>
      </c>
      <c r="AQ14" s="153">
        <f t="shared" ref="AQ14:AQ20" si="7">IF(AND(AH14&lt;=40,E14&gt;=G14,G14&gt;0),O14-E14,0)</f>
        <v>0</v>
      </c>
      <c r="AR14" s="152">
        <f t="shared" ref="AR14:AR20" si="8">IF(AND(AH14&lt;=40,E14&lt;G14),O14-G14,0)</f>
        <v>0</v>
      </c>
      <c r="AS14" s="154">
        <f t="shared" ref="AS14:AS20" si="9">IF(AND(G14=0),G14,IF(AND(G14&gt;0,AI14&gt;0,G14=AT14),AT14,IF(AND(G14&gt;0,AI14&gt;0,G14-AT14),AT14,0)))</f>
        <v>0</v>
      </c>
      <c r="AT14" s="154"/>
      <c r="AU14" s="155">
        <f>AS14</f>
        <v>0</v>
      </c>
      <c r="AV14" s="156">
        <f t="shared" ref="AV14:AV20" si="10">IF(AND(AH13+AU14=40,AI14&gt;0,AI14&gt;AU14),AI14-AU14,IF(AND(AH13+AU14=40,AI14&gt;0,AI14&lt;AU14,AU14+AI14=G14),AI14,IF(AND(AH13&gt;40,AH14&gt;40,G14=AI14),AI14,0)))</f>
        <v>0</v>
      </c>
      <c r="AW14" s="157">
        <f>AV14</f>
        <v>0</v>
      </c>
      <c r="AY14" s="157">
        <f t="shared" ref="AY14:AY20" si="11">IF(AND(J14&gt;0,AI14&gt;=J14,BB14=0),O14-AI14,IF(AND(J14&gt;0,AI14&gt;0,BB14&lt;=AI14),AI14-BB14,IF(AND(J14&gt;0,AI14&gt;0,BB14&gt;AI14),J14-BB14,0)))</f>
        <v>0</v>
      </c>
      <c r="AZ14" s="152">
        <f t="shared" ref="AZ14:AZ20" si="12">IF(J14=0,0,"")</f>
        <v>0</v>
      </c>
      <c r="BA14" s="152">
        <f t="shared" ref="BA14:BA20" si="13">IF(AND(AH14&lt;=40,E14=J14),J14,0)</f>
        <v>0</v>
      </c>
      <c r="BB14" s="158">
        <f t="shared" ref="BB14:BB20" si="14">IF(AND(AZ14=0),AZ14,IF(AND(AH14&gt;40,E14&gt;=J14),BE14,IF(AND(AH14&lt;=40,E14&gt;J14),J14,0)))</f>
        <v>0</v>
      </c>
      <c r="BC14" s="152">
        <f t="shared" ref="BC14:BC20" si="15">IF(AND(AH14&lt;=40,E14&lt;J14),O14-J14,0)</f>
        <v>0</v>
      </c>
      <c r="BD14" s="154">
        <f t="shared" ref="BD14:BD20" si="16">IF(AND(J14=0),J14,IF(AND(J14&gt;0,AI14&gt;0,J14=BC14),BC14,IF(AND(J14&gt;0,AI14&gt;0,J14-BC14),BC14,0)))</f>
        <v>0</v>
      </c>
      <c r="BE14" s="154"/>
      <c r="BF14" s="159">
        <f>BD14</f>
        <v>0</v>
      </c>
      <c r="BG14" s="160"/>
      <c r="BH14" s="160">
        <f>IF(AND(G14&gt;0,E14&gt;0),1,0)</f>
        <v>0</v>
      </c>
      <c r="BI14" s="161">
        <f t="shared" ref="BI14:BI20" si="17">40-AH14</f>
        <v>40</v>
      </c>
      <c r="BJ14" s="161">
        <f t="shared" ref="BJ14:BJ20" si="18">IF(AND(BH14=1,40-BL13&gt;0,40-BL13&lt;8),40-BL13,IF(AND(E14&lt;G14),E14,G14))</f>
        <v>0</v>
      </c>
      <c r="BK14" s="161">
        <f t="shared" ref="BK14:BK20" si="19">IF(AND(BH14=1,BL14&gt;40,E14&lt;G14),E14-BJ14,(IF(AND(BH14=1,BL14&gt;0,E14&gt;=G14),G14-BJ14,0)))</f>
        <v>0</v>
      </c>
      <c r="BL14" s="161">
        <f>E14</f>
        <v>0</v>
      </c>
      <c r="BM14" s="160">
        <f>IF(AND(K14&gt;0,E14&gt;0),1,0)</f>
        <v>0</v>
      </c>
      <c r="BN14" s="161">
        <f>IF(AND(BM14=1,J14&gt;8),K14,(IF(AND(BM14=1,J14&gt;0),J14,0)))</f>
        <v>0</v>
      </c>
      <c r="BO14" s="161">
        <f t="shared" ref="BO14:BO15" si="20">IF(AND(BM14=1,40-BL13&gt;0,40-BL13&lt;8),40-BL13,IF(AND(J14&lt;K14),J14,K14))</f>
        <v>0</v>
      </c>
      <c r="BP14" s="161">
        <f t="shared" ref="BP14:BP18" si="21">IF(AND(BM14=1,BL14&gt;40,J14&lt;=K14),J14-BO14,IF(AND(BM14=1,BL14&gt;0,J14&gt;K14),K14-BO14,0))</f>
        <v>0</v>
      </c>
      <c r="BQ14" s="160"/>
    </row>
    <row r="15" spans="1:69" ht="15" customHeight="1">
      <c r="A15" s="237" t="b">
        <f t="shared" ref="A15:A20" si="22">IF(EXACT(D15,$Z$6)=TRUE,$O$6,IF(A14=0,"",IF(A14&lt;$O$7,A14+1,IF(A14=$O$7,""))))</f>
        <v>0</v>
      </c>
      <c r="B15" s="238"/>
      <c r="C15" s="239"/>
      <c r="D15" s="32" t="s">
        <v>24</v>
      </c>
      <c r="E15" s="182">
        <f>'June 1 - June 15'!E31</f>
        <v>0</v>
      </c>
      <c r="F15" s="182">
        <f>'June 1 - June 15'!F31</f>
        <v>0</v>
      </c>
      <c r="G15" s="184">
        <f>'June 1 - June 15'!G31</f>
        <v>0</v>
      </c>
      <c r="H15" s="182">
        <f>'June 1 - June 15'!H31</f>
        <v>0</v>
      </c>
      <c r="I15" s="182">
        <f>'June 1 - June 15'!I31</f>
        <v>0</v>
      </c>
      <c r="J15" s="185">
        <f>'June 1 - June 15'!J31</f>
        <v>0</v>
      </c>
      <c r="K15" s="185">
        <f>'June 1 - June 15'!K31</f>
        <v>0</v>
      </c>
      <c r="L15" s="186">
        <f>'June 1 - June 15'!L31</f>
        <v>0</v>
      </c>
      <c r="M15" s="182">
        <f>'June 1 - June 15'!M31</f>
        <v>0</v>
      </c>
      <c r="N15" s="182">
        <f>'June 1 - June 15'!N31</f>
        <v>0</v>
      </c>
      <c r="O15" s="183">
        <f>SUM(E15:N15)-J15</f>
        <v>0</v>
      </c>
      <c r="P15" s="187" t="str">
        <f t="shared" ref="P15:P20" si="23">IF(AND(ISNUMBER(AA15),ISNUMBER(X15)),AA15*X15,"")</f>
        <v/>
      </c>
      <c r="Q15" s="182"/>
      <c r="R15" s="50" t="str">
        <f t="shared" ref="R15:R20" si="24">IF(AND(ISNUMBER(AB15),ISNUMBER(X15)),AB15*X15,"")</f>
        <v/>
      </c>
      <c r="S15" s="52"/>
      <c r="T15" s="52"/>
      <c r="U15" s="149">
        <f>IF(BJ15&gt;0,BJ15,BN15)</f>
        <v>0</v>
      </c>
      <c r="V15" s="150">
        <f t="shared" ref="V15:V20" si="25">IF(BK15&gt;0,BK15,0)</f>
        <v>0</v>
      </c>
      <c r="W15" s="50"/>
      <c r="X15" s="49" t="str">
        <f>IF(ISNA(INDEX('Conversion Factors'!$B$6:$B$371,MATCH('June 16 - June 30'!$Z$14:$Z$20,'Conversion Factors'!$A$6:$A$371,0))),"",INDEX('Conversion Factors'!$B$6:$B$371,MATCH('June 16 - June 30'!$Z$14:$Z$20,'Conversion Factors'!$A$6:$A$371,0)))</f>
        <v/>
      </c>
      <c r="Z15" s="18" t="b">
        <f t="shared" si="1"/>
        <v>0</v>
      </c>
      <c r="AA15" s="57">
        <f t="shared" si="2"/>
        <v>0</v>
      </c>
      <c r="AB15" s="57" t="str">
        <f t="shared" si="3"/>
        <v/>
      </c>
      <c r="AH15" s="71">
        <f t="shared" ref="AH15:AH20" si="26">E15+AH14</f>
        <v>0</v>
      </c>
      <c r="AI15" s="68">
        <f>IF(AH15&gt;$AI$12,AH15-($AI$12+AI14),0)</f>
        <v>0</v>
      </c>
      <c r="AJ15" s="145" t="b">
        <f t="shared" ref="AJ15:AJ20" si="27">IF(AND(AZ15&gt;0,AZ15),IF(BA15&gt;0,BA15,IF(BB15&gt;0,BB15,IF(BC15&gt;0,BC15,IF(BF15&gt;0,BF15,"")))))</f>
        <v>0</v>
      </c>
      <c r="AK15" s="151" t="b">
        <f t="shared" ref="AK15:AK20" si="28">IF(AND(AO15&gt;0,AO15),IF(AP15&gt;0,AP15,IF(AQ15&gt;0,AQ15,IF(AR15&gt;0,AR15,IF(AU15&gt;0,AU15,0)))))</f>
        <v>0</v>
      </c>
      <c r="AM15" s="147">
        <f t="shared" si="4"/>
        <v>0</v>
      </c>
      <c r="AO15" s="162">
        <f t="shared" si="5"/>
        <v>0</v>
      </c>
      <c r="AP15" s="162">
        <f t="shared" si="6"/>
        <v>0</v>
      </c>
      <c r="AQ15" s="153">
        <f t="shared" si="7"/>
        <v>0</v>
      </c>
      <c r="AR15" s="162">
        <f t="shared" si="8"/>
        <v>0</v>
      </c>
      <c r="AS15" s="154">
        <f t="shared" si="9"/>
        <v>0</v>
      </c>
      <c r="AT15" s="154">
        <f t="shared" ref="AT15:AT17" si="29">IF(AND(AH14&lt;=40),40-AH14,0)</f>
        <v>40</v>
      </c>
      <c r="AU15" s="155">
        <f t="shared" ref="AU15:AU20" si="30">AS15</f>
        <v>0</v>
      </c>
      <c r="AV15" s="156">
        <f t="shared" si="10"/>
        <v>0</v>
      </c>
      <c r="AW15" s="157">
        <f t="shared" ref="AW15:AW20" si="31">AV15</f>
        <v>0</v>
      </c>
      <c r="AY15" s="157">
        <f t="shared" si="11"/>
        <v>0</v>
      </c>
      <c r="AZ15" s="152">
        <f t="shared" si="12"/>
        <v>0</v>
      </c>
      <c r="BA15" s="152">
        <f t="shared" si="13"/>
        <v>0</v>
      </c>
      <c r="BB15" s="158">
        <f t="shared" si="14"/>
        <v>0</v>
      </c>
      <c r="BC15" s="152">
        <f t="shared" si="15"/>
        <v>0</v>
      </c>
      <c r="BD15" s="154">
        <f t="shared" si="16"/>
        <v>0</v>
      </c>
      <c r="BE15" s="154">
        <f>IF(AND(AH14&lt;=40),40-AH14,0)</f>
        <v>40</v>
      </c>
      <c r="BF15" s="159">
        <f t="shared" ref="BF15:BF20" si="32">BD15</f>
        <v>0</v>
      </c>
      <c r="BG15" s="160"/>
      <c r="BH15" s="160">
        <f>IF(AND(G15&gt;0,E15&gt;0),1,0)</f>
        <v>0</v>
      </c>
      <c r="BI15" s="161">
        <f t="shared" si="17"/>
        <v>40</v>
      </c>
      <c r="BJ15" s="161">
        <f t="shared" si="18"/>
        <v>0</v>
      </c>
      <c r="BK15" s="161">
        <f t="shared" si="19"/>
        <v>0</v>
      </c>
      <c r="BL15" s="161">
        <f>SUM(E14:E15)</f>
        <v>0</v>
      </c>
      <c r="BM15" s="160">
        <f t="shared" ref="BM15:BM20" si="33">IF(AND(K15&gt;0,E15&gt;0),1,0)</f>
        <v>0</v>
      </c>
      <c r="BN15" s="161">
        <f>IF(AND(BM15=1,J15&gt;8),K15,(IF(AND(BM15=1,J15&gt;0),J15,0)))</f>
        <v>0</v>
      </c>
      <c r="BO15" s="161">
        <f t="shared" si="20"/>
        <v>0</v>
      </c>
      <c r="BP15" s="161">
        <f t="shared" si="21"/>
        <v>0</v>
      </c>
      <c r="BQ15" s="160"/>
    </row>
    <row r="16" spans="1:69" ht="15" customHeight="1">
      <c r="A16" s="237" t="b">
        <f t="shared" si="22"/>
        <v>0</v>
      </c>
      <c r="B16" s="238"/>
      <c r="C16" s="239"/>
      <c r="D16" s="32" t="s">
        <v>25</v>
      </c>
      <c r="E16" s="182">
        <f>'June 1 - June 15'!E32</f>
        <v>0</v>
      </c>
      <c r="F16" s="182">
        <f>'June 1 - June 15'!F32</f>
        <v>0</v>
      </c>
      <c r="G16" s="184">
        <f>'June 1 - June 15'!G32</f>
        <v>0</v>
      </c>
      <c r="H16" s="182">
        <f>'June 1 - June 15'!H32</f>
        <v>0</v>
      </c>
      <c r="I16" s="182">
        <f>'June 1 - June 15'!I32</f>
        <v>0</v>
      </c>
      <c r="J16" s="185">
        <f>'June 1 - June 15'!J32</f>
        <v>0</v>
      </c>
      <c r="K16" s="185">
        <f>'June 1 - June 15'!K32</f>
        <v>0</v>
      </c>
      <c r="L16" s="186">
        <f>'June 1 - June 15'!L32</f>
        <v>0</v>
      </c>
      <c r="M16" s="182">
        <f>'June 1 - June 15'!M32</f>
        <v>0</v>
      </c>
      <c r="N16" s="182">
        <f>'June 1 - June 15'!N32</f>
        <v>0</v>
      </c>
      <c r="O16" s="183">
        <f t="shared" ref="O16:O19" si="34">SUM(E16:N16)-J16</f>
        <v>0</v>
      </c>
      <c r="P16" s="50" t="str">
        <f t="shared" si="23"/>
        <v/>
      </c>
      <c r="Q16" s="51"/>
      <c r="R16" s="50" t="str">
        <f t="shared" si="24"/>
        <v/>
      </c>
      <c r="S16" s="52"/>
      <c r="T16" s="52"/>
      <c r="U16" s="149">
        <f t="shared" ref="U16:U44" si="35">IF(BJ16&gt;0,BJ16,BN16)</f>
        <v>0</v>
      </c>
      <c r="V16" s="150">
        <f t="shared" si="25"/>
        <v>0</v>
      </c>
      <c r="W16" s="50"/>
      <c r="X16" s="49" t="str">
        <f>IF(ISNA(INDEX('Conversion Factors'!$B$6:$B$371,MATCH('June 16 - June 30'!$Z$14:$Z$20,'Conversion Factors'!$A$6:$A$371,0))),"",INDEX('Conversion Factors'!$B$6:$B$371,MATCH('June 16 - June 30'!$Z$14:$Z$20,'Conversion Factors'!$A$6:$A$371,0)))</f>
        <v/>
      </c>
      <c r="Z16" s="18" t="b">
        <f t="shared" si="1"/>
        <v>0</v>
      </c>
      <c r="AA16" s="57">
        <f t="shared" si="2"/>
        <v>0</v>
      </c>
      <c r="AB16" s="57" t="str">
        <f t="shared" si="3"/>
        <v/>
      </c>
      <c r="AG16" s="1"/>
      <c r="AH16" s="71">
        <f t="shared" si="26"/>
        <v>0</v>
      </c>
      <c r="AI16" s="68">
        <f>IF(AH16&gt;$AI$12,AH16-($AI$12+AI15+AI14),0)</f>
        <v>0</v>
      </c>
      <c r="AJ16" s="145" t="b">
        <f t="shared" si="27"/>
        <v>0</v>
      </c>
      <c r="AK16" s="151" t="b">
        <f t="shared" si="28"/>
        <v>0</v>
      </c>
      <c r="AM16" s="147">
        <f t="shared" si="4"/>
        <v>0</v>
      </c>
      <c r="AO16" s="162">
        <f t="shared" si="5"/>
        <v>0</v>
      </c>
      <c r="AP16" s="162">
        <f t="shared" si="6"/>
        <v>0</v>
      </c>
      <c r="AQ16" s="153">
        <f t="shared" si="7"/>
        <v>0</v>
      </c>
      <c r="AR16" s="162">
        <f t="shared" si="8"/>
        <v>0</v>
      </c>
      <c r="AS16" s="154">
        <f t="shared" si="9"/>
        <v>0</v>
      </c>
      <c r="AT16" s="154">
        <f t="shared" si="29"/>
        <v>40</v>
      </c>
      <c r="AU16" s="155">
        <f t="shared" si="30"/>
        <v>0</v>
      </c>
      <c r="AV16" s="156">
        <f t="shared" si="10"/>
        <v>0</v>
      </c>
      <c r="AW16" s="157">
        <f t="shared" si="31"/>
        <v>0</v>
      </c>
      <c r="AY16" s="157">
        <f t="shared" si="11"/>
        <v>0</v>
      </c>
      <c r="AZ16" s="152">
        <f t="shared" si="12"/>
        <v>0</v>
      </c>
      <c r="BA16" s="152">
        <f t="shared" si="13"/>
        <v>0</v>
      </c>
      <c r="BB16" s="158">
        <f t="shared" si="14"/>
        <v>0</v>
      </c>
      <c r="BC16" s="152">
        <f t="shared" si="15"/>
        <v>0</v>
      </c>
      <c r="BD16" s="154">
        <f t="shared" si="16"/>
        <v>0</v>
      </c>
      <c r="BE16" s="154">
        <f t="shared" ref="BE16:BE20" si="36">IF(AND(AH15&lt;=40),40-AH15,0)</f>
        <v>40</v>
      </c>
      <c r="BF16" s="159">
        <f t="shared" si="32"/>
        <v>0</v>
      </c>
      <c r="BG16" s="160"/>
      <c r="BH16" s="160">
        <f t="shared" ref="BH16:BH20" si="37">IF(AND(G16&gt;0,E16&gt;0),1,0)</f>
        <v>0</v>
      </c>
      <c r="BI16" s="161">
        <f t="shared" si="17"/>
        <v>40</v>
      </c>
      <c r="BJ16" s="161">
        <f t="shared" si="18"/>
        <v>0</v>
      </c>
      <c r="BK16" s="161">
        <f t="shared" si="19"/>
        <v>0</v>
      </c>
      <c r="BL16" s="161">
        <f>SUM(E14:E16)</f>
        <v>0</v>
      </c>
      <c r="BM16" s="160">
        <f t="shared" si="33"/>
        <v>0</v>
      </c>
      <c r="BN16" s="161">
        <f>IF(AND(BM16=1,J16&gt;8),K16,(IF(AND(BM16=1,J16&gt;0),J16,0)))</f>
        <v>0</v>
      </c>
      <c r="BO16" s="161">
        <f>IF(AND(BM16=1,40-BL15&gt;0,40-BL15&lt;8),40-BL15,IF(AND(J16&lt;K16),J16,K16))</f>
        <v>0</v>
      </c>
      <c r="BP16" s="161">
        <f t="shared" si="21"/>
        <v>0</v>
      </c>
      <c r="BQ16" s="160"/>
    </row>
    <row r="17" spans="1:69" ht="15" customHeight="1">
      <c r="A17" s="237" t="b">
        <f t="shared" si="22"/>
        <v>0</v>
      </c>
      <c r="B17" s="238"/>
      <c r="C17" s="239"/>
      <c r="D17" s="32" t="s">
        <v>26</v>
      </c>
      <c r="E17" s="182">
        <f>'June 1 - June 15'!E33</f>
        <v>0</v>
      </c>
      <c r="F17" s="182">
        <f>'June 1 - June 15'!F33</f>
        <v>0</v>
      </c>
      <c r="G17" s="184">
        <f>'June 1 - June 15'!G33</f>
        <v>0</v>
      </c>
      <c r="H17" s="182">
        <f>'June 1 - June 15'!H33</f>
        <v>0</v>
      </c>
      <c r="I17" s="182">
        <f>'June 1 - June 15'!I33</f>
        <v>0</v>
      </c>
      <c r="J17" s="185">
        <f>'June 1 - June 15'!J33</f>
        <v>0</v>
      </c>
      <c r="K17" s="185">
        <f>'June 1 - June 15'!K33</f>
        <v>0</v>
      </c>
      <c r="L17" s="186">
        <f>'June 1 - June 15'!L33</f>
        <v>0</v>
      </c>
      <c r="M17" s="182">
        <f>'June 1 - June 15'!M33</f>
        <v>0</v>
      </c>
      <c r="N17" s="182">
        <f>'June 1 - June 15'!N33</f>
        <v>0</v>
      </c>
      <c r="O17" s="183">
        <f t="shared" si="34"/>
        <v>0</v>
      </c>
      <c r="P17" s="50" t="str">
        <f t="shared" si="23"/>
        <v/>
      </c>
      <c r="Q17" s="51"/>
      <c r="R17" s="50" t="str">
        <f t="shared" si="24"/>
        <v/>
      </c>
      <c r="S17" s="52"/>
      <c r="T17" s="52"/>
      <c r="U17" s="149">
        <f t="shared" si="35"/>
        <v>0</v>
      </c>
      <c r="V17" s="150">
        <f t="shared" si="25"/>
        <v>0</v>
      </c>
      <c r="W17" s="50"/>
      <c r="X17" s="49" t="str">
        <f>IF(ISNA(INDEX('Conversion Factors'!$B$6:$B$371,MATCH('June 16 - June 30'!$Z$14:$Z$20,'Conversion Factors'!$A$6:$A$371,0))),"",INDEX('Conversion Factors'!$B$6:$B$371,MATCH('June 16 - June 30'!$Z$14:$Z$20,'Conversion Factors'!$A$6:$A$371,0)))</f>
        <v/>
      </c>
      <c r="Z17" s="18" t="b">
        <f t="shared" si="1"/>
        <v>0</v>
      </c>
      <c r="AA17" s="57">
        <f t="shared" si="2"/>
        <v>0</v>
      </c>
      <c r="AB17" s="57" t="str">
        <f t="shared" si="3"/>
        <v/>
      </c>
      <c r="AG17" s="1"/>
      <c r="AH17" s="71">
        <f t="shared" si="26"/>
        <v>0</v>
      </c>
      <c r="AI17" s="68">
        <f>IF(AH17&gt;$AI$12,AH17-($AI$12+AI16+AI15+AI14),0)</f>
        <v>0</v>
      </c>
      <c r="AJ17" s="145" t="b">
        <f t="shared" si="27"/>
        <v>0</v>
      </c>
      <c r="AK17" s="151" t="b">
        <f t="shared" si="28"/>
        <v>0</v>
      </c>
      <c r="AM17" s="147">
        <f t="shared" si="4"/>
        <v>0</v>
      </c>
      <c r="AO17" s="162">
        <f t="shared" si="5"/>
        <v>0</v>
      </c>
      <c r="AP17" s="162">
        <f t="shared" si="6"/>
        <v>0</v>
      </c>
      <c r="AQ17" s="153">
        <f t="shared" si="7"/>
        <v>0</v>
      </c>
      <c r="AR17" s="162">
        <f t="shared" si="8"/>
        <v>0</v>
      </c>
      <c r="AS17" s="154">
        <f t="shared" si="9"/>
        <v>0</v>
      </c>
      <c r="AT17" s="154">
        <f t="shared" si="29"/>
        <v>40</v>
      </c>
      <c r="AU17" s="155">
        <f t="shared" si="30"/>
        <v>0</v>
      </c>
      <c r="AV17" s="156">
        <f t="shared" si="10"/>
        <v>0</v>
      </c>
      <c r="AW17" s="157">
        <f t="shared" si="31"/>
        <v>0</v>
      </c>
      <c r="AY17" s="157">
        <f t="shared" si="11"/>
        <v>0</v>
      </c>
      <c r="AZ17" s="152">
        <f t="shared" si="12"/>
        <v>0</v>
      </c>
      <c r="BA17" s="152">
        <f t="shared" si="13"/>
        <v>0</v>
      </c>
      <c r="BB17" s="158">
        <f t="shared" si="14"/>
        <v>0</v>
      </c>
      <c r="BC17" s="152">
        <f t="shared" si="15"/>
        <v>0</v>
      </c>
      <c r="BD17" s="154">
        <f t="shared" si="16"/>
        <v>0</v>
      </c>
      <c r="BE17" s="154">
        <f t="shared" si="36"/>
        <v>40</v>
      </c>
      <c r="BF17" s="159">
        <f t="shared" si="32"/>
        <v>0</v>
      </c>
      <c r="BG17" s="160"/>
      <c r="BH17" s="160">
        <f t="shared" si="37"/>
        <v>0</v>
      </c>
      <c r="BI17" s="161">
        <f t="shared" si="17"/>
        <v>40</v>
      </c>
      <c r="BJ17" s="161">
        <f t="shared" si="18"/>
        <v>0</v>
      </c>
      <c r="BK17" s="161">
        <f t="shared" si="19"/>
        <v>0</v>
      </c>
      <c r="BL17" s="161">
        <f>SUM(E14:E17)</f>
        <v>0</v>
      </c>
      <c r="BM17" s="160">
        <f t="shared" si="33"/>
        <v>0</v>
      </c>
      <c r="BN17" s="161">
        <f t="shared" ref="BN17:BN20" si="38">IF(AND(BM17=1,J17&gt;8),K17,(IF(AND(BM17=1,J17&gt;0),J17,0)))</f>
        <v>0</v>
      </c>
      <c r="BO17" s="161">
        <f t="shared" ref="BO17:BO20" si="39">IF(AND(BM17=1,40-BL16&gt;0,40-BL16&lt;8),40-BL16,IF(AND(J17&lt;K17),J17,K17))</f>
        <v>0</v>
      </c>
      <c r="BP17" s="161">
        <f t="shared" si="21"/>
        <v>0</v>
      </c>
      <c r="BQ17" s="160"/>
    </row>
    <row r="18" spans="1:69" ht="15" customHeight="1">
      <c r="A18" s="237">
        <f t="shared" si="22"/>
        <v>44728</v>
      </c>
      <c r="B18" s="238"/>
      <c r="C18" s="239"/>
      <c r="D18" s="32" t="s">
        <v>27</v>
      </c>
      <c r="E18" s="176"/>
      <c r="F18" s="176"/>
      <c r="G18" s="177"/>
      <c r="H18" s="176"/>
      <c r="I18" s="176"/>
      <c r="J18" s="178"/>
      <c r="K18" s="178"/>
      <c r="L18" s="179"/>
      <c r="M18" s="176"/>
      <c r="N18" s="176"/>
      <c r="O18" s="110">
        <f t="shared" si="34"/>
        <v>0</v>
      </c>
      <c r="P18" s="50" t="str">
        <f t="shared" si="23"/>
        <v/>
      </c>
      <c r="Q18" s="51"/>
      <c r="R18" s="50" t="str">
        <f t="shared" si="24"/>
        <v/>
      </c>
      <c r="S18" s="52"/>
      <c r="T18" s="52"/>
      <c r="U18" s="149">
        <f t="shared" si="35"/>
        <v>0</v>
      </c>
      <c r="V18" s="150">
        <f t="shared" si="25"/>
        <v>0</v>
      </c>
      <c r="W18" s="50"/>
      <c r="X18" s="49">
        <f>IF(ISNA(INDEX('Conversion Factors'!$B$6:$B$371,MATCH('June 16 - June 30'!$Z$14:$Z$20,'Conversion Factors'!$A$6:$A$371,0))),"",INDEX('Conversion Factors'!$B$6:$B$371,MATCH('June 16 - June 30'!$Z$14:$Z$20,'Conversion Factors'!$A$6:$A$371,0)))</f>
        <v>7.8789999999999996</v>
      </c>
      <c r="Z18" s="18">
        <f t="shared" si="1"/>
        <v>44728</v>
      </c>
      <c r="AA18" s="57" t="str">
        <f t="shared" si="2"/>
        <v/>
      </c>
      <c r="AB18" s="57" t="str">
        <f t="shared" si="3"/>
        <v/>
      </c>
      <c r="AH18" s="71">
        <f t="shared" si="26"/>
        <v>0</v>
      </c>
      <c r="AI18" s="68">
        <f>IF(AH18&gt;$AI$12,AH18-($AI$12+AI17+AI16+AI15+AI14),0)</f>
        <v>0</v>
      </c>
      <c r="AJ18" s="145" t="b">
        <f t="shared" si="27"/>
        <v>0</v>
      </c>
      <c r="AK18" s="151" t="b">
        <f t="shared" si="28"/>
        <v>0</v>
      </c>
      <c r="AM18" s="147">
        <f t="shared" si="4"/>
        <v>0</v>
      </c>
      <c r="AO18" s="162">
        <f t="shared" si="5"/>
        <v>0</v>
      </c>
      <c r="AP18" s="162">
        <f t="shared" si="6"/>
        <v>0</v>
      </c>
      <c r="AQ18" s="153">
        <f t="shared" si="7"/>
        <v>0</v>
      </c>
      <c r="AR18" s="162">
        <f t="shared" si="8"/>
        <v>0</v>
      </c>
      <c r="AS18" s="154">
        <f t="shared" si="9"/>
        <v>0</v>
      </c>
      <c r="AT18" s="154">
        <f>IF(AND(AH17&lt;=40),40-AH17,0)</f>
        <v>40</v>
      </c>
      <c r="AU18" s="155">
        <f t="shared" si="30"/>
        <v>0</v>
      </c>
      <c r="AV18" s="156">
        <f t="shared" si="10"/>
        <v>0</v>
      </c>
      <c r="AW18" s="157">
        <f t="shared" si="31"/>
        <v>0</v>
      </c>
      <c r="AY18" s="157">
        <f t="shared" si="11"/>
        <v>0</v>
      </c>
      <c r="AZ18" s="152">
        <f t="shared" si="12"/>
        <v>0</v>
      </c>
      <c r="BA18" s="152">
        <f t="shared" si="13"/>
        <v>0</v>
      </c>
      <c r="BB18" s="158">
        <f t="shared" si="14"/>
        <v>0</v>
      </c>
      <c r="BC18" s="152">
        <f t="shared" si="15"/>
        <v>0</v>
      </c>
      <c r="BD18" s="154">
        <f t="shared" si="16"/>
        <v>0</v>
      </c>
      <c r="BE18" s="154">
        <f t="shared" si="36"/>
        <v>40</v>
      </c>
      <c r="BF18" s="159">
        <f t="shared" si="32"/>
        <v>0</v>
      </c>
      <c r="BG18" s="160"/>
      <c r="BH18" s="160">
        <f t="shared" si="37"/>
        <v>0</v>
      </c>
      <c r="BI18" s="161">
        <f t="shared" si="17"/>
        <v>40</v>
      </c>
      <c r="BJ18" s="161">
        <f t="shared" si="18"/>
        <v>0</v>
      </c>
      <c r="BK18" s="161">
        <f t="shared" si="19"/>
        <v>0</v>
      </c>
      <c r="BL18" s="161">
        <f>SUM(E14:E18)</f>
        <v>0</v>
      </c>
      <c r="BM18" s="160">
        <f t="shared" si="33"/>
        <v>0</v>
      </c>
      <c r="BN18" s="161">
        <f t="shared" si="38"/>
        <v>0</v>
      </c>
      <c r="BO18" s="161">
        <f t="shared" si="39"/>
        <v>0</v>
      </c>
      <c r="BP18" s="161">
        <f t="shared" si="21"/>
        <v>0</v>
      </c>
      <c r="BQ18" s="160"/>
    </row>
    <row r="19" spans="1:69" ht="15" customHeight="1">
      <c r="A19" s="237">
        <f t="shared" si="22"/>
        <v>44729</v>
      </c>
      <c r="B19" s="238"/>
      <c r="C19" s="239"/>
      <c r="D19" s="32" t="s">
        <v>28</v>
      </c>
      <c r="E19" s="176"/>
      <c r="F19" s="176"/>
      <c r="G19" s="177"/>
      <c r="H19" s="176"/>
      <c r="I19" s="176"/>
      <c r="J19" s="178"/>
      <c r="K19" s="178"/>
      <c r="L19" s="179"/>
      <c r="M19" s="176"/>
      <c r="N19" s="176"/>
      <c r="O19" s="110">
        <f t="shared" si="34"/>
        <v>0</v>
      </c>
      <c r="P19" s="50" t="str">
        <f t="shared" si="23"/>
        <v/>
      </c>
      <c r="Q19" s="51"/>
      <c r="R19" s="50" t="str">
        <f t="shared" si="24"/>
        <v/>
      </c>
      <c r="S19" s="52"/>
      <c r="T19" s="52"/>
      <c r="U19" s="149">
        <f t="shared" si="35"/>
        <v>0</v>
      </c>
      <c r="V19" s="150">
        <f t="shared" si="25"/>
        <v>0</v>
      </c>
      <c r="W19" s="50"/>
      <c r="X19" s="49">
        <f>IF(ISNA(INDEX('Conversion Factors'!$B$6:$B$371,MATCH('June 16 - June 30'!$Z$14:$Z$20,'Conversion Factors'!$A$6:$A$371,0))),"",INDEX('Conversion Factors'!$B$6:$B$371,MATCH('June 16 - June 30'!$Z$14:$Z$20,'Conversion Factors'!$A$6:$A$371,0)))</f>
        <v>7.8789999999999996</v>
      </c>
      <c r="Z19" s="18">
        <f t="shared" si="1"/>
        <v>44729</v>
      </c>
      <c r="AA19" s="57" t="str">
        <f t="shared" si="2"/>
        <v/>
      </c>
      <c r="AB19" s="57" t="str">
        <f t="shared" si="3"/>
        <v/>
      </c>
      <c r="AH19" s="71">
        <f t="shared" si="26"/>
        <v>0</v>
      </c>
      <c r="AI19" s="68">
        <f>IF(AH19&gt;$AI$12,AH19-($AI$12+AI18+AI17+AI16+AI15+AI14),0)</f>
        <v>0</v>
      </c>
      <c r="AJ19" s="145" t="b">
        <f t="shared" si="27"/>
        <v>0</v>
      </c>
      <c r="AK19" s="151" t="b">
        <f t="shared" si="28"/>
        <v>0</v>
      </c>
      <c r="AM19" s="147">
        <f t="shared" si="4"/>
        <v>0</v>
      </c>
      <c r="AO19" s="162">
        <f t="shared" si="5"/>
        <v>0</v>
      </c>
      <c r="AP19" s="162">
        <f t="shared" si="6"/>
        <v>0</v>
      </c>
      <c r="AQ19" s="153">
        <f t="shared" si="7"/>
        <v>0</v>
      </c>
      <c r="AR19" s="162">
        <f t="shared" si="8"/>
        <v>0</v>
      </c>
      <c r="AS19" s="154">
        <f t="shared" si="9"/>
        <v>0</v>
      </c>
      <c r="AT19" s="154">
        <f t="shared" ref="AT19:AT20" si="40">IF(AND(AH18&lt;=40),40-AH18,0)</f>
        <v>40</v>
      </c>
      <c r="AU19" s="155">
        <f t="shared" si="30"/>
        <v>0</v>
      </c>
      <c r="AV19" s="156">
        <f t="shared" si="10"/>
        <v>0</v>
      </c>
      <c r="AW19" s="157">
        <f t="shared" si="31"/>
        <v>0</v>
      </c>
      <c r="AY19" s="157">
        <f t="shared" si="11"/>
        <v>0</v>
      </c>
      <c r="AZ19" s="152">
        <f t="shared" si="12"/>
        <v>0</v>
      </c>
      <c r="BA19" s="152">
        <f t="shared" si="13"/>
        <v>0</v>
      </c>
      <c r="BB19" s="158">
        <f t="shared" si="14"/>
        <v>0</v>
      </c>
      <c r="BC19" s="152">
        <f t="shared" si="15"/>
        <v>0</v>
      </c>
      <c r="BD19" s="154">
        <f t="shared" si="16"/>
        <v>0</v>
      </c>
      <c r="BE19" s="154">
        <f t="shared" si="36"/>
        <v>40</v>
      </c>
      <c r="BF19" s="159">
        <f t="shared" si="32"/>
        <v>0</v>
      </c>
      <c r="BG19" s="160"/>
      <c r="BH19" s="160">
        <f t="shared" si="37"/>
        <v>0</v>
      </c>
      <c r="BI19" s="161">
        <f t="shared" si="17"/>
        <v>40</v>
      </c>
      <c r="BJ19" s="161">
        <f t="shared" si="18"/>
        <v>0</v>
      </c>
      <c r="BK19" s="161">
        <f t="shared" si="19"/>
        <v>0</v>
      </c>
      <c r="BL19" s="161">
        <f>SUM(E14:E19)</f>
        <v>0</v>
      </c>
      <c r="BM19" s="160">
        <f t="shared" si="33"/>
        <v>0</v>
      </c>
      <c r="BN19" s="161">
        <f t="shared" si="38"/>
        <v>0</v>
      </c>
      <c r="BO19" s="161">
        <f t="shared" si="39"/>
        <v>0</v>
      </c>
      <c r="BP19" s="161">
        <f>IF(AND(BM19=1,BL19&gt;40,J19&lt;=K19),J19-BO19,IF(AND(BM19=1,BL19&gt;0,J19&gt;K19),K19-BO19,0))</f>
        <v>0</v>
      </c>
      <c r="BQ19" s="160"/>
    </row>
    <row r="20" spans="1:69" ht="15" customHeight="1" thickBot="1">
      <c r="A20" s="237">
        <f t="shared" si="22"/>
        <v>44730</v>
      </c>
      <c r="B20" s="238"/>
      <c r="C20" s="239"/>
      <c r="D20" s="32" t="s">
        <v>29</v>
      </c>
      <c r="E20" s="176"/>
      <c r="F20" s="176"/>
      <c r="G20" s="177"/>
      <c r="H20" s="176"/>
      <c r="I20" s="176"/>
      <c r="J20" s="178"/>
      <c r="K20" s="178"/>
      <c r="L20" s="179"/>
      <c r="M20" s="176"/>
      <c r="N20" s="176"/>
      <c r="O20" s="110">
        <f>SUM(E20:N20)-J20</f>
        <v>0</v>
      </c>
      <c r="P20" s="50" t="str">
        <f t="shared" si="23"/>
        <v/>
      </c>
      <c r="Q20" s="52"/>
      <c r="R20" s="50" t="str">
        <f t="shared" si="24"/>
        <v/>
      </c>
      <c r="S20" s="52"/>
      <c r="T20" s="52"/>
      <c r="U20" s="149">
        <f t="shared" si="35"/>
        <v>0</v>
      </c>
      <c r="V20" s="150">
        <f t="shared" si="25"/>
        <v>0</v>
      </c>
      <c r="W20" s="50"/>
      <c r="X20" s="49">
        <f>IF(ISNA(INDEX('Conversion Factors'!$B$6:$B$371,MATCH('June 16 - June 30'!$Z$14:$Z$20,'Conversion Factors'!$A$6:$A$371,0))),"",INDEX('Conversion Factors'!$B$6:$B$371,MATCH('June 16 - June 30'!$Z$14:$Z$20,'Conversion Factors'!$A$6:$A$371,0)))</f>
        <v>7.8789999999999996</v>
      </c>
      <c r="Z20" s="18">
        <f t="shared" si="1"/>
        <v>44730</v>
      </c>
      <c r="AA20" s="57" t="str">
        <f t="shared" si="2"/>
        <v/>
      </c>
      <c r="AB20" s="57" t="str">
        <f t="shared" si="3"/>
        <v/>
      </c>
      <c r="AH20" s="71">
        <f t="shared" si="26"/>
        <v>0</v>
      </c>
      <c r="AI20" s="68">
        <f>IF(AH20&gt;$AI$12,AH20-($AI$12+AI19+AI18+AI17+AI16+AI15+AI14),0)</f>
        <v>0</v>
      </c>
      <c r="AJ20" s="145" t="b">
        <f t="shared" si="27"/>
        <v>0</v>
      </c>
      <c r="AK20" s="151" t="b">
        <f t="shared" si="28"/>
        <v>0</v>
      </c>
      <c r="AM20" s="147">
        <f t="shared" si="4"/>
        <v>0</v>
      </c>
      <c r="AO20" s="163">
        <f t="shared" si="5"/>
        <v>0</v>
      </c>
      <c r="AP20" s="163">
        <f t="shared" si="6"/>
        <v>0</v>
      </c>
      <c r="AQ20" s="153">
        <f t="shared" si="7"/>
        <v>0</v>
      </c>
      <c r="AR20" s="163">
        <f t="shared" si="8"/>
        <v>0</v>
      </c>
      <c r="AS20" s="154">
        <f t="shared" si="9"/>
        <v>0</v>
      </c>
      <c r="AT20" s="154">
        <f t="shared" si="40"/>
        <v>40</v>
      </c>
      <c r="AU20" s="155">
        <f t="shared" si="30"/>
        <v>0</v>
      </c>
      <c r="AV20" s="156">
        <f t="shared" si="10"/>
        <v>0</v>
      </c>
      <c r="AW20" s="157">
        <f t="shared" si="31"/>
        <v>0</v>
      </c>
      <c r="AY20" s="157">
        <f t="shared" si="11"/>
        <v>0</v>
      </c>
      <c r="AZ20" s="152">
        <f t="shared" si="12"/>
        <v>0</v>
      </c>
      <c r="BA20" s="152">
        <f t="shared" si="13"/>
        <v>0</v>
      </c>
      <c r="BB20" s="158">
        <f t="shared" si="14"/>
        <v>0</v>
      </c>
      <c r="BC20" s="152">
        <f t="shared" si="15"/>
        <v>0</v>
      </c>
      <c r="BD20" s="154">
        <f t="shared" si="16"/>
        <v>0</v>
      </c>
      <c r="BE20" s="154">
        <f t="shared" si="36"/>
        <v>40</v>
      </c>
      <c r="BF20" s="159">
        <f t="shared" si="32"/>
        <v>0</v>
      </c>
      <c r="BG20" s="160"/>
      <c r="BH20" s="160">
        <f t="shared" si="37"/>
        <v>0</v>
      </c>
      <c r="BI20" s="161">
        <f t="shared" si="17"/>
        <v>40</v>
      </c>
      <c r="BJ20" s="161">
        <f t="shared" si="18"/>
        <v>0</v>
      </c>
      <c r="BK20" s="161">
        <f t="shared" si="19"/>
        <v>0</v>
      </c>
      <c r="BL20" s="161">
        <f>SUM(E14:E20)</f>
        <v>0</v>
      </c>
      <c r="BM20" s="160">
        <f t="shared" si="33"/>
        <v>0</v>
      </c>
      <c r="BN20" s="161">
        <f t="shared" si="38"/>
        <v>0</v>
      </c>
      <c r="BO20" s="161">
        <f t="shared" si="39"/>
        <v>0</v>
      </c>
      <c r="BP20" s="161">
        <f>IF(AND(BM20=1,BL20&gt;40,J20&lt;=K20),J20-BO20,IF(AND(BM20=1,BL20&gt;0,J20&gt;K20),K20-BO20,0))</f>
        <v>0</v>
      </c>
      <c r="BQ20" s="160"/>
    </row>
    <row r="21" spans="1:69" s="6" customFormat="1" ht="15" customHeight="1" thickTop="1" thickBot="1">
      <c r="A21" s="228" t="s">
        <v>79</v>
      </c>
      <c r="B21" s="229"/>
      <c r="C21" s="230"/>
      <c r="D21" s="33"/>
      <c r="E21" s="34">
        <f>SUM(E14:E20)</f>
        <v>0</v>
      </c>
      <c r="F21" s="34">
        <f t="shared" ref="F21:N21" si="41">SUM(F14:F20)</f>
        <v>0</v>
      </c>
      <c r="G21" s="76">
        <f t="shared" si="41"/>
        <v>0</v>
      </c>
      <c r="H21" s="34">
        <f t="shared" si="41"/>
        <v>0</v>
      </c>
      <c r="I21" s="34">
        <f t="shared" si="41"/>
        <v>0</v>
      </c>
      <c r="J21" s="74"/>
      <c r="K21" s="74">
        <f t="shared" si="41"/>
        <v>0</v>
      </c>
      <c r="L21" s="34">
        <f t="shared" si="41"/>
        <v>0</v>
      </c>
      <c r="M21" s="34">
        <f t="shared" si="41"/>
        <v>0</v>
      </c>
      <c r="N21" s="34">
        <f t="shared" si="41"/>
        <v>0</v>
      </c>
      <c r="O21" s="34">
        <f>SUM(O14:O20)</f>
        <v>0</v>
      </c>
      <c r="P21" s="89">
        <f>-SUM(P14:P20)</f>
        <v>0</v>
      </c>
      <c r="Q21" s="34">
        <f>SUM(Q14:Q20)</f>
        <v>0</v>
      </c>
      <c r="R21" s="46">
        <f>SUM(R14:R20)</f>
        <v>0</v>
      </c>
      <c r="S21" s="34">
        <f>IF(E21&gt;40,(E21-40)-V21-BP21,0)</f>
        <v>0</v>
      </c>
      <c r="T21" s="34">
        <f>MROUND(AL21,0.25)</f>
        <v>0</v>
      </c>
      <c r="U21" s="164">
        <f>SUM(U14:U20)</f>
        <v>0</v>
      </c>
      <c r="V21" s="165">
        <f>SUM(V14:V20)</f>
        <v>0</v>
      </c>
      <c r="W21" s="44">
        <f>IF(E21-(E11-(G21+K21+F21+H21+I21+L21+M21))-(S21+U21+V21)&gt;0,E21-(E11-(G21+K21+F21+H21+I21+L21+M21))-(S21+U21+V21),0)</f>
        <v>0</v>
      </c>
      <c r="X21" s="34"/>
      <c r="Z21" s="79"/>
      <c r="AA21" s="79"/>
      <c r="AB21" s="79"/>
      <c r="AC21" s="80">
        <f>SUM(F21:N21)</f>
        <v>0</v>
      </c>
      <c r="AD21" s="81">
        <f>IF(AND(AG21&lt;40,O21&gt;=AG21),O21-(AG21+S21),IF(AND(O21&lt;AG21,E21=O21),O21-E21,IF(AND(E21&gt;AG21,E21&lt;40),E21-AG21,IF(AND(O21&gt;AG21,E21&lt;AG21),E21-(AG21-AC21),IF(AND(O21&gt;AG21,E21&gt;40),E21-(AG21-AC21+S21),IF(AND(O21&gt;AG21,O21&gt;40),O21-(S21+AG21),0))))))</f>
        <v>0</v>
      </c>
      <c r="AE21" s="166">
        <f>AD21-U21-V21</f>
        <v>0</v>
      </c>
      <c r="AF21" s="79" t="str">
        <f>$W$11</f>
        <v>Yes</v>
      </c>
      <c r="AG21" s="82">
        <f>$E$11</f>
        <v>40</v>
      </c>
      <c r="AH21" s="83"/>
      <c r="AI21" s="84">
        <f>IF(AH21&gt;$AI$12,-$AI$12,0)</f>
        <v>0</v>
      </c>
      <c r="AJ21" s="80"/>
      <c r="AK21" s="79"/>
      <c r="AL21" s="34">
        <f>IF(AF21="Yes",S21*1.5,0)</f>
        <v>0</v>
      </c>
      <c r="BG21" s="167"/>
      <c r="BH21" s="167"/>
      <c r="BI21" s="167"/>
      <c r="BJ21" s="167"/>
      <c r="BK21" s="167"/>
      <c r="BL21" s="167"/>
      <c r="BM21" s="167"/>
      <c r="BN21" s="167"/>
      <c r="BO21" s="167"/>
      <c r="BP21" s="168">
        <f>SUM(BP14:BP20)</f>
        <v>0</v>
      </c>
      <c r="BQ21" s="168">
        <f>E11+U21</f>
        <v>40</v>
      </c>
    </row>
    <row r="22" spans="1:69" ht="15" customHeight="1" thickTop="1">
      <c r="A22" s="237">
        <f>IF(A20=0,"",IF(A20&lt;$O$7,A20+1,IF(A20=$O$7,"")))</f>
        <v>44731</v>
      </c>
      <c r="B22" s="238"/>
      <c r="C22" s="239"/>
      <c r="D22" s="32" t="s">
        <v>23</v>
      </c>
      <c r="E22" s="176"/>
      <c r="F22" s="176"/>
      <c r="G22" s="177"/>
      <c r="H22" s="176"/>
      <c r="I22" s="176"/>
      <c r="J22" s="178"/>
      <c r="K22" s="178"/>
      <c r="L22" s="179"/>
      <c r="M22" s="176"/>
      <c r="N22" s="176"/>
      <c r="O22" s="110">
        <f>SUM(E22:N22)-J22</f>
        <v>0</v>
      </c>
      <c r="P22" s="50" t="str">
        <f>IF(AND(ISNUMBER(AA22),ISNUMBER(X22)),AA22*X22,"")</f>
        <v/>
      </c>
      <c r="Q22" s="52"/>
      <c r="R22" s="50" t="str">
        <f>IF(AND(ISNUMBER(AB22),ISNUMBER(X22)),AB22*X22,"")</f>
        <v/>
      </c>
      <c r="S22" s="52"/>
      <c r="T22" s="52"/>
      <c r="U22" s="149">
        <f t="shared" si="35"/>
        <v>0</v>
      </c>
      <c r="V22" s="150">
        <f>IF(BK22&gt;0,BK22,0)</f>
        <v>0</v>
      </c>
      <c r="W22" s="50"/>
      <c r="X22" s="49">
        <f>IF(ISNA(INDEX('Conversion Factors'!$B$6:$B$371,MATCH('June 16 - June 30'!$Z$22:$Z$28,'Conversion Factors'!$A$6:$A$371,0))),"",INDEX('Conversion Factors'!$B$6:$B$371,MATCH('June 16 - June 30'!$Z$22:$Z$28,'Conversion Factors'!$A$6:$A$371,0)))</f>
        <v>7.8789999999999996</v>
      </c>
      <c r="Z22" s="17">
        <f t="shared" ref="Z22:Z28" si="42">A22</f>
        <v>44731</v>
      </c>
      <c r="AA22" s="57" t="str">
        <f t="shared" ref="AA22:AA28" si="43">IF(AND(ISNUMBER(N22),ISNUMBER($Z$12)),N22/$Z$12,"")</f>
        <v/>
      </c>
      <c r="AB22" s="57" t="str">
        <f t="shared" ref="AB22:AB28" si="44">IF(AND(ISNUMBER(Q22),ISNUMBER($Z$12)),Q22/$Z$12,"")</f>
        <v/>
      </c>
      <c r="AC22" s="58"/>
      <c r="AD22" s="59"/>
      <c r="AE22" s="58"/>
      <c r="AF22" s="58"/>
      <c r="AG22" s="64"/>
      <c r="AH22" s="71">
        <f t="shared" ref="AH22:AH28" si="45">E22+AH21</f>
        <v>0</v>
      </c>
      <c r="AI22" s="68">
        <f>IF(AH22&gt;$AI$12,AH22-($AI$12+AI21),0)</f>
        <v>0</v>
      </c>
      <c r="AJ22" s="145" t="b">
        <f t="shared" ref="AJ22:AJ28" si="46">IF(AND(AZ22&gt;0,AZ22),IF(BA22&gt;0,BA22,IF(BB22&gt;0,BB22,IF(BC22&gt;0,BC22,IF(BF22&gt;0,BF22,"")))))</f>
        <v>0</v>
      </c>
      <c r="AK22" s="151" t="b">
        <f>IF(AND(AO22&gt;0,AO22),IF(AP22&gt;0,AP22,IF(AQ22&gt;0,AQ22,IF(AR22&gt;0,AR22,IF(AU22&gt;0,AU22,"")))))</f>
        <v>0</v>
      </c>
      <c r="AM22" s="147">
        <f t="shared" ref="AM22:AM28" si="47">J22</f>
        <v>0</v>
      </c>
      <c r="AO22" s="152">
        <f t="shared" ref="AO22:AO28" si="48">IF(G22=0,0,"")</f>
        <v>0</v>
      </c>
      <c r="AP22" s="152">
        <f t="shared" ref="AP22:AP28" si="49">IF(AND(AH22&lt;=40,E22=G22),G22,0)</f>
        <v>0</v>
      </c>
      <c r="AQ22" s="153">
        <f t="shared" ref="AQ22:AQ28" si="50">IF(AND(AH22&lt;=40,E22&gt;=G22,G22&gt;0),O22-E22,0)</f>
        <v>0</v>
      </c>
      <c r="AR22" s="152">
        <f t="shared" ref="AR22:AR28" si="51">IF(AND(AH22&lt;=40,E22&lt;G22),O22-G22,0)</f>
        <v>0</v>
      </c>
      <c r="AS22" s="154">
        <f t="shared" ref="AS22:AS28" si="52">IF(AND(G22=0),G22,IF(AND(G22&gt;0,AI22&gt;0,G22=AT22),AT22,IF(AND(G22&gt;0,AI22&gt;0,G22-AT22),AT22,0)))</f>
        <v>0</v>
      </c>
      <c r="AT22" s="154"/>
      <c r="AU22" s="155">
        <f>AS22</f>
        <v>0</v>
      </c>
      <c r="AV22" s="156">
        <f t="shared" ref="AV22:AV28" si="53">IF(AND(AH21+AU22=40,AI22&gt;0,AI22&gt;AU22),AI22-AU22,IF(AND(AH21+AU22=40,AI22&gt;0,AI22&lt;AU22,AU22+AI22=G22),AI22,IF(AND(AH21&gt;40,AH22&gt;40,G22=AI22),AI22,0)))</f>
        <v>0</v>
      </c>
      <c r="AW22" s="157">
        <f>AV22</f>
        <v>0</v>
      </c>
      <c r="AY22" s="169">
        <f>IF(AND(J22&gt;0,AI22&gt;0,BB22&lt;=AI22),AI22-BB22,IF(AND(J22&gt;0,AI22&gt;0,BB22&gt;AI22),J22-BB22,0))</f>
        <v>0</v>
      </c>
      <c r="AZ22" s="152">
        <f t="shared" ref="AZ22:AZ28" si="54">IF(J22=0,0,"")</f>
        <v>0</v>
      </c>
      <c r="BA22" s="152">
        <f t="shared" ref="BA22:BA28" si="55">IF(AND(AH22&lt;=40,E22=J22),J22,0)</f>
        <v>0</v>
      </c>
      <c r="BB22" s="158">
        <f t="shared" ref="BB22:BB28" si="56">IF(AND(AZ22=0),AZ22,IF(AND(AH22&gt;40,E22&gt;=J22),BE22,IF(AND(AH22&lt;=40,E22&gt;J22),J22,0)))</f>
        <v>0</v>
      </c>
      <c r="BC22" s="152">
        <f t="shared" ref="BC22:BC28" si="57">IF(AND(AH22&lt;=40,E22&lt;J22),O22-J22,0)</f>
        <v>0</v>
      </c>
      <c r="BD22" s="154">
        <f t="shared" ref="BD22:BD28" si="58">IF(AND(J22=0),J22,IF(AND(J22&gt;0,AI22&gt;0,J22=BC22),BC22,IF(AND(J22&gt;0,AI22&gt;0,J22-BC22),BC22,0)))</f>
        <v>0</v>
      </c>
      <c r="BE22" s="154"/>
      <c r="BF22" s="159">
        <f>BD22</f>
        <v>0</v>
      </c>
      <c r="BG22" s="160"/>
      <c r="BH22" s="160">
        <f>IF(AND(G22&gt;0,E22&gt;0),1,0)</f>
        <v>0</v>
      </c>
      <c r="BI22" s="161">
        <f t="shared" ref="BI22:BI28" si="59">40-AH22</f>
        <v>40</v>
      </c>
      <c r="BJ22" s="161">
        <f t="shared" ref="BJ22:BJ28" si="60">IF(AND(BH22=1,40-BL21&gt;0,40-BL21&lt;8),40-BL21,IF(AND(E22&lt;G22),E22,G22))</f>
        <v>0</v>
      </c>
      <c r="BK22" s="161">
        <f t="shared" ref="BK22:BK28" si="61">IF(AND(BH22=1,BL22&gt;40,E22&lt;G22),E22-BJ22,(IF(AND(BH22=1,BL22&gt;0,E22&gt;=G22),G22-BJ22,0)))</f>
        <v>0</v>
      </c>
      <c r="BL22" s="161">
        <f>E22</f>
        <v>0</v>
      </c>
      <c r="BM22" s="160">
        <f>IF(AND(K22&gt;0,E22&gt;0),1,0)</f>
        <v>0</v>
      </c>
      <c r="BN22" s="161">
        <f>IF(AND(BM22=1,J22&gt;8),K22,(IF(AND(BM22=1,J22&gt;0),J22,0)))</f>
        <v>0</v>
      </c>
      <c r="BO22" s="161">
        <f t="shared" ref="BO22:BO23" si="62">IF(AND(BM22=1,40-BL21&gt;0,40-BL21&lt;8),40-BL21,IF(AND(J22&lt;K22),J22,K22))</f>
        <v>0</v>
      </c>
      <c r="BP22" s="161">
        <f t="shared" ref="BP22:BP26" si="63">IF(AND(BM22=1,BL22&gt;40,J22&lt;=K22),J22-BO22,IF(AND(BM22=1,BL22&gt;0,J22&gt;K22),K22-BO22,0))</f>
        <v>0</v>
      </c>
      <c r="BQ22" s="160"/>
    </row>
    <row r="23" spans="1:69" ht="15" customHeight="1">
      <c r="A23" s="225">
        <f t="shared" ref="A23:A28" si="64">IF(A22&lt;$O$7,A22+1,IF(A22=$O$7,""))</f>
        <v>44732</v>
      </c>
      <c r="B23" s="226"/>
      <c r="C23" s="227"/>
      <c r="D23" s="32" t="s">
        <v>24</v>
      </c>
      <c r="E23" s="176"/>
      <c r="F23" s="176"/>
      <c r="G23" s="177"/>
      <c r="H23" s="176"/>
      <c r="I23" s="176"/>
      <c r="J23" s="178"/>
      <c r="K23" s="178"/>
      <c r="L23" s="179"/>
      <c r="M23" s="176"/>
      <c r="N23" s="176"/>
      <c r="O23" s="110">
        <f>SUM(E23:N23)-J23</f>
        <v>0</v>
      </c>
      <c r="P23" s="50" t="str">
        <f t="shared" ref="P23:P28" si="65">IF(AND(ISNUMBER(AA23),ISNUMBER(X23)),AA23*X23,"")</f>
        <v/>
      </c>
      <c r="Q23" s="51"/>
      <c r="R23" s="50" t="str">
        <f t="shared" ref="R23:R28" si="66">IF(AND(ISNUMBER(AB23),ISNUMBER(X23)),AB23*X23,"")</f>
        <v/>
      </c>
      <c r="S23" s="52"/>
      <c r="T23" s="52"/>
      <c r="U23" s="149">
        <f t="shared" si="35"/>
        <v>0</v>
      </c>
      <c r="V23" s="150">
        <f t="shared" ref="V23:V28" si="67">IF(BK23&gt;0,BK23,0)</f>
        <v>0</v>
      </c>
      <c r="W23" s="50"/>
      <c r="X23" s="49">
        <f>IF(ISNA(INDEX('Conversion Factors'!$B$6:$B$371,MATCH('June 16 - June 30'!$Z$22:$Z$28,'Conversion Factors'!$A$6:$A$371,0))),"",INDEX('Conversion Factors'!$B$6:$B$371,MATCH('June 16 - June 30'!$Z$22:$Z$28,'Conversion Factors'!$A$6:$A$371,0)))</f>
        <v>7.8789999999999996</v>
      </c>
      <c r="Z23" s="17">
        <f t="shared" si="42"/>
        <v>44732</v>
      </c>
      <c r="AA23" s="57" t="str">
        <f t="shared" si="43"/>
        <v/>
      </c>
      <c r="AB23" s="57" t="str">
        <f t="shared" si="44"/>
        <v/>
      </c>
      <c r="AH23" s="71">
        <f t="shared" si="45"/>
        <v>0</v>
      </c>
      <c r="AI23" s="68">
        <f>IF(AH23&gt;$AI$12,AH23-($AI$12+AI22+AI21),0)</f>
        <v>0</v>
      </c>
      <c r="AJ23" s="145" t="b">
        <f t="shared" si="46"/>
        <v>0</v>
      </c>
      <c r="AK23" s="151" t="b">
        <f t="shared" ref="AK23:AK28" si="68">IF(AND(AO23&gt;0,AO23),IF(AP23&gt;0,AP23,IF(AQ23&gt;0,AQ23,IF(AR23&gt;0,AR23,IF(AU23&gt;0,AU23,0)))))</f>
        <v>0</v>
      </c>
      <c r="AM23" s="147">
        <f t="shared" si="47"/>
        <v>0</v>
      </c>
      <c r="AO23" s="162">
        <f t="shared" si="48"/>
        <v>0</v>
      </c>
      <c r="AP23" s="162">
        <f t="shared" si="49"/>
        <v>0</v>
      </c>
      <c r="AQ23" s="153">
        <f t="shared" si="50"/>
        <v>0</v>
      </c>
      <c r="AR23" s="162">
        <f t="shared" si="51"/>
        <v>0</v>
      </c>
      <c r="AS23" s="154">
        <f t="shared" si="52"/>
        <v>0</v>
      </c>
      <c r="AT23" s="154">
        <f t="shared" ref="AT23:AT25" si="69">IF(AND(AH22&lt;=40),40-AH22,0)</f>
        <v>40</v>
      </c>
      <c r="AU23" s="155">
        <f t="shared" ref="AU23:AU28" si="70">AS23</f>
        <v>0</v>
      </c>
      <c r="AV23" s="156">
        <f t="shared" si="53"/>
        <v>0</v>
      </c>
      <c r="AW23" s="157">
        <f t="shared" ref="AW23:AW28" si="71">AV23</f>
        <v>0</v>
      </c>
      <c r="AY23" s="169">
        <f>IF(AND(J23&gt;0,AI23&gt;0,BB23&lt;=AI23),AI23-BB23,IF(AND(J23&gt;0,AI23&gt;0,BB23&gt;AI23),J23-BB23,0))</f>
        <v>0</v>
      </c>
      <c r="AZ23" s="152">
        <f t="shared" si="54"/>
        <v>0</v>
      </c>
      <c r="BA23" s="152">
        <f t="shared" si="55"/>
        <v>0</v>
      </c>
      <c r="BB23" s="158">
        <f t="shared" si="56"/>
        <v>0</v>
      </c>
      <c r="BC23" s="152">
        <f t="shared" si="57"/>
        <v>0</v>
      </c>
      <c r="BD23" s="154">
        <f t="shared" si="58"/>
        <v>0</v>
      </c>
      <c r="BE23" s="154">
        <f>IF(AND(AH22&lt;=40),40-AH22,0)</f>
        <v>40</v>
      </c>
      <c r="BF23" s="159">
        <f t="shared" ref="BF23:BF28" si="72">BD23</f>
        <v>0</v>
      </c>
      <c r="BG23" s="160"/>
      <c r="BH23" s="160">
        <f>IF(AND(G23&gt;0,E23&gt;0),1,0)</f>
        <v>0</v>
      </c>
      <c r="BI23" s="161">
        <f t="shared" si="59"/>
        <v>40</v>
      </c>
      <c r="BJ23" s="161">
        <f t="shared" si="60"/>
        <v>0</v>
      </c>
      <c r="BK23" s="161">
        <f t="shared" si="61"/>
        <v>0</v>
      </c>
      <c r="BL23" s="161">
        <f>SUM(E22:E23)</f>
        <v>0</v>
      </c>
      <c r="BM23" s="160">
        <f t="shared" ref="BM23:BM28" si="73">IF(AND(K23&gt;0,E23&gt;0),1,0)</f>
        <v>0</v>
      </c>
      <c r="BN23" s="161">
        <f>IF(AND(BM23=1,J23&gt;8),K23,(IF(AND(BM23=1,J23&gt;0),J23,0)))</f>
        <v>0</v>
      </c>
      <c r="BO23" s="161">
        <f t="shared" si="62"/>
        <v>0</v>
      </c>
      <c r="BP23" s="161">
        <f t="shared" si="63"/>
        <v>0</v>
      </c>
      <c r="BQ23" s="160"/>
    </row>
    <row r="24" spans="1:69" ht="15" customHeight="1">
      <c r="A24" s="225">
        <f t="shared" si="64"/>
        <v>44733</v>
      </c>
      <c r="B24" s="226"/>
      <c r="C24" s="227"/>
      <c r="D24" s="32" t="s">
        <v>25</v>
      </c>
      <c r="E24" s="176"/>
      <c r="F24" s="176"/>
      <c r="G24" s="177"/>
      <c r="H24" s="176"/>
      <c r="I24" s="176"/>
      <c r="J24" s="178"/>
      <c r="K24" s="178"/>
      <c r="L24" s="179"/>
      <c r="M24" s="176"/>
      <c r="N24" s="176"/>
      <c r="O24" s="110">
        <f t="shared" ref="O24:O27" si="74">SUM(E24:N24)-J24</f>
        <v>0</v>
      </c>
      <c r="P24" s="50" t="str">
        <f t="shared" si="65"/>
        <v/>
      </c>
      <c r="Q24" s="51"/>
      <c r="R24" s="50" t="str">
        <f t="shared" si="66"/>
        <v/>
      </c>
      <c r="S24" s="52"/>
      <c r="T24" s="52"/>
      <c r="U24" s="149">
        <f t="shared" si="35"/>
        <v>0</v>
      </c>
      <c r="V24" s="150">
        <f t="shared" si="67"/>
        <v>0</v>
      </c>
      <c r="W24" s="50"/>
      <c r="X24" s="49">
        <f>IF(ISNA(INDEX('Conversion Factors'!$B$6:$B$371,MATCH('June 16 - June 30'!$Z$22:$Z$28,'Conversion Factors'!$A$6:$A$371,0))),"",INDEX('Conversion Factors'!$B$6:$B$371,MATCH('June 16 - June 30'!$Z$22:$Z$28,'Conversion Factors'!$A$6:$A$371,0)))</f>
        <v>7.8789999999999996</v>
      </c>
      <c r="Z24" s="17">
        <f t="shared" si="42"/>
        <v>44733</v>
      </c>
      <c r="AA24" s="57" t="str">
        <f t="shared" si="43"/>
        <v/>
      </c>
      <c r="AB24" s="57" t="str">
        <f t="shared" si="44"/>
        <v/>
      </c>
      <c r="AG24" s="1"/>
      <c r="AH24" s="71">
        <f t="shared" si="45"/>
        <v>0</v>
      </c>
      <c r="AI24" s="68">
        <f>IF(AH24&gt;$AI$12,AH24-($AI$12+AI23+AI22+AI21),0)</f>
        <v>0</v>
      </c>
      <c r="AJ24" s="145" t="b">
        <f t="shared" si="46"/>
        <v>0</v>
      </c>
      <c r="AK24" s="151" t="b">
        <f t="shared" si="68"/>
        <v>0</v>
      </c>
      <c r="AM24" s="147">
        <f t="shared" si="47"/>
        <v>0</v>
      </c>
      <c r="AO24" s="162">
        <f t="shared" si="48"/>
        <v>0</v>
      </c>
      <c r="AP24" s="162">
        <f t="shared" si="49"/>
        <v>0</v>
      </c>
      <c r="AQ24" s="153">
        <f t="shared" si="50"/>
        <v>0</v>
      </c>
      <c r="AR24" s="162">
        <f t="shared" si="51"/>
        <v>0</v>
      </c>
      <c r="AS24" s="154">
        <f t="shared" si="52"/>
        <v>0</v>
      </c>
      <c r="AT24" s="154">
        <f t="shared" si="69"/>
        <v>40</v>
      </c>
      <c r="AU24" s="155">
        <f t="shared" si="70"/>
        <v>0</v>
      </c>
      <c r="AV24" s="156">
        <f t="shared" si="53"/>
        <v>0</v>
      </c>
      <c r="AW24" s="157">
        <f t="shared" si="71"/>
        <v>0</v>
      </c>
      <c r="AY24" s="169">
        <f>IF(AND(J24&gt;0,AI24&gt;0,BB24&lt;=AI24),AI24-BB24,IF(AND(J24&gt;0,AI24&gt;0,BB24&gt;AI24),J24-BB24,0))</f>
        <v>0</v>
      </c>
      <c r="AZ24" s="152">
        <f t="shared" si="54"/>
        <v>0</v>
      </c>
      <c r="BA24" s="152">
        <f t="shared" si="55"/>
        <v>0</v>
      </c>
      <c r="BB24" s="158">
        <f t="shared" si="56"/>
        <v>0</v>
      </c>
      <c r="BC24" s="152">
        <f t="shared" si="57"/>
        <v>0</v>
      </c>
      <c r="BD24" s="154">
        <f t="shared" si="58"/>
        <v>0</v>
      </c>
      <c r="BE24" s="154">
        <f t="shared" ref="BE24:BE28" si="75">IF(AND(AH23&lt;=40),40-AH23,0)</f>
        <v>40</v>
      </c>
      <c r="BF24" s="159">
        <f t="shared" si="72"/>
        <v>0</v>
      </c>
      <c r="BG24" s="160"/>
      <c r="BH24" s="160">
        <f t="shared" ref="BH24:BH28" si="76">IF(AND(G24&gt;0,E24&gt;0),1,0)</f>
        <v>0</v>
      </c>
      <c r="BI24" s="161">
        <f t="shared" si="59"/>
        <v>40</v>
      </c>
      <c r="BJ24" s="161">
        <f t="shared" si="60"/>
        <v>0</v>
      </c>
      <c r="BK24" s="161">
        <f t="shared" si="61"/>
        <v>0</v>
      </c>
      <c r="BL24" s="161">
        <f>SUM(E22:E24)</f>
        <v>0</v>
      </c>
      <c r="BM24" s="160">
        <f t="shared" si="73"/>
        <v>0</v>
      </c>
      <c r="BN24" s="161">
        <f>IF(AND(BM24=1,J24&gt;8),K24,(IF(AND(BM24=1,J24&gt;0),J24,0)))</f>
        <v>0</v>
      </c>
      <c r="BO24" s="161">
        <f>IF(AND(BM24=1,40-BL23&gt;0,40-BL23&lt;8),40-BL23,IF(AND(J24&lt;K24),J24,K24))</f>
        <v>0</v>
      </c>
      <c r="BP24" s="161">
        <f t="shared" si="63"/>
        <v>0</v>
      </c>
      <c r="BQ24" s="160"/>
    </row>
    <row r="25" spans="1:69" ht="15" customHeight="1">
      <c r="A25" s="225">
        <f t="shared" si="64"/>
        <v>44734</v>
      </c>
      <c r="B25" s="226"/>
      <c r="C25" s="227"/>
      <c r="D25" s="32" t="s">
        <v>26</v>
      </c>
      <c r="E25" s="176"/>
      <c r="F25" s="176"/>
      <c r="G25" s="177"/>
      <c r="H25" s="176"/>
      <c r="I25" s="176"/>
      <c r="J25" s="178"/>
      <c r="K25" s="178"/>
      <c r="L25" s="179"/>
      <c r="M25" s="176"/>
      <c r="N25" s="176"/>
      <c r="O25" s="110">
        <f t="shared" si="74"/>
        <v>0</v>
      </c>
      <c r="P25" s="50" t="str">
        <f t="shared" si="65"/>
        <v/>
      </c>
      <c r="Q25" s="51"/>
      <c r="R25" s="50" t="str">
        <f t="shared" si="66"/>
        <v/>
      </c>
      <c r="S25" s="52"/>
      <c r="T25" s="52"/>
      <c r="U25" s="149">
        <f t="shared" si="35"/>
        <v>0</v>
      </c>
      <c r="V25" s="150">
        <f t="shared" si="67"/>
        <v>0</v>
      </c>
      <c r="W25" s="50"/>
      <c r="X25" s="49">
        <f>IF(ISNA(INDEX('Conversion Factors'!$B$6:$B$371,MATCH('June 16 - June 30'!$Z$22:$Z$28,'Conversion Factors'!$A$6:$A$371,0))),"",INDEX('Conversion Factors'!$B$6:$B$371,MATCH('June 16 - June 30'!$Z$22:$Z$28,'Conversion Factors'!$A$6:$A$371,0)))</f>
        <v>7.8789999999999996</v>
      </c>
      <c r="Z25" s="17">
        <f t="shared" si="42"/>
        <v>44734</v>
      </c>
      <c r="AA25" s="57" t="str">
        <f t="shared" si="43"/>
        <v/>
      </c>
      <c r="AB25" s="57" t="str">
        <f t="shared" si="44"/>
        <v/>
      </c>
      <c r="AG25" s="1"/>
      <c r="AH25" s="71">
        <f t="shared" si="45"/>
        <v>0</v>
      </c>
      <c r="AI25" s="68">
        <f>IF(AH25&gt;$AI$12,AH25-($AI$12+AI24+AI23+AI22+AI21),0)</f>
        <v>0</v>
      </c>
      <c r="AJ25" s="145" t="b">
        <f t="shared" si="46"/>
        <v>0</v>
      </c>
      <c r="AK25" s="151" t="b">
        <f t="shared" si="68"/>
        <v>0</v>
      </c>
      <c r="AM25" s="147">
        <f t="shared" si="47"/>
        <v>0</v>
      </c>
      <c r="AO25" s="162">
        <f t="shared" si="48"/>
        <v>0</v>
      </c>
      <c r="AP25" s="162">
        <f t="shared" si="49"/>
        <v>0</v>
      </c>
      <c r="AQ25" s="153">
        <f t="shared" si="50"/>
        <v>0</v>
      </c>
      <c r="AR25" s="162">
        <f t="shared" si="51"/>
        <v>0</v>
      </c>
      <c r="AS25" s="154">
        <f t="shared" si="52"/>
        <v>0</v>
      </c>
      <c r="AT25" s="154">
        <f t="shared" si="69"/>
        <v>40</v>
      </c>
      <c r="AU25" s="155">
        <f t="shared" si="70"/>
        <v>0</v>
      </c>
      <c r="AV25" s="156">
        <f t="shared" si="53"/>
        <v>0</v>
      </c>
      <c r="AW25" s="157">
        <f t="shared" si="71"/>
        <v>0</v>
      </c>
      <c r="AY25" s="169">
        <f>IF(AND(J25&gt;0,AI25&gt;0,BB25&lt;=AI25),AI25-BB25,IF(AND(J25&gt;0,AI25&gt;0,BB25&gt;AI25),J25-BB25,0))</f>
        <v>0</v>
      </c>
      <c r="AZ25" s="152">
        <f t="shared" si="54"/>
        <v>0</v>
      </c>
      <c r="BA25" s="152">
        <f t="shared" si="55"/>
        <v>0</v>
      </c>
      <c r="BB25" s="158">
        <f t="shared" si="56"/>
        <v>0</v>
      </c>
      <c r="BC25" s="152">
        <f t="shared" si="57"/>
        <v>0</v>
      </c>
      <c r="BD25" s="154">
        <f t="shared" si="58"/>
        <v>0</v>
      </c>
      <c r="BE25" s="154">
        <f t="shared" si="75"/>
        <v>40</v>
      </c>
      <c r="BF25" s="159">
        <f t="shared" si="72"/>
        <v>0</v>
      </c>
      <c r="BG25" s="160"/>
      <c r="BH25" s="160">
        <f t="shared" si="76"/>
        <v>0</v>
      </c>
      <c r="BI25" s="161">
        <f t="shared" si="59"/>
        <v>40</v>
      </c>
      <c r="BJ25" s="161">
        <f t="shared" si="60"/>
        <v>0</v>
      </c>
      <c r="BK25" s="161">
        <f t="shared" si="61"/>
        <v>0</v>
      </c>
      <c r="BL25" s="161">
        <f>SUM(E22:E25)</f>
        <v>0</v>
      </c>
      <c r="BM25" s="160">
        <f t="shared" si="73"/>
        <v>0</v>
      </c>
      <c r="BN25" s="161">
        <f t="shared" ref="BN25:BN28" si="77">IF(AND(BM25=1,J25&gt;8),K25,(IF(AND(BM25=1,J25&gt;0),J25,0)))</f>
        <v>0</v>
      </c>
      <c r="BO25" s="161">
        <f t="shared" ref="BO25:BO28" si="78">IF(AND(BM25=1,40-BL24&gt;0,40-BL24&lt;8),40-BL24,IF(AND(J25&lt;K25),J25,K25))</f>
        <v>0</v>
      </c>
      <c r="BP25" s="161">
        <f t="shared" si="63"/>
        <v>0</v>
      </c>
      <c r="BQ25" s="160"/>
    </row>
    <row r="26" spans="1:69" ht="15" customHeight="1">
      <c r="A26" s="225">
        <f t="shared" si="64"/>
        <v>44735</v>
      </c>
      <c r="B26" s="226"/>
      <c r="C26" s="227"/>
      <c r="D26" s="32" t="s">
        <v>27</v>
      </c>
      <c r="E26" s="176"/>
      <c r="F26" s="176"/>
      <c r="G26" s="177"/>
      <c r="H26" s="176"/>
      <c r="I26" s="176"/>
      <c r="J26" s="178"/>
      <c r="K26" s="178"/>
      <c r="L26" s="179"/>
      <c r="M26" s="176"/>
      <c r="N26" s="176"/>
      <c r="O26" s="110">
        <f t="shared" si="74"/>
        <v>0</v>
      </c>
      <c r="P26" s="50" t="str">
        <f t="shared" si="65"/>
        <v/>
      </c>
      <c r="Q26" s="51"/>
      <c r="R26" s="50" t="str">
        <f t="shared" si="66"/>
        <v/>
      </c>
      <c r="S26" s="52"/>
      <c r="T26" s="52"/>
      <c r="U26" s="149">
        <f t="shared" si="35"/>
        <v>0</v>
      </c>
      <c r="V26" s="150">
        <f t="shared" si="67"/>
        <v>0</v>
      </c>
      <c r="W26" s="50"/>
      <c r="X26" s="49">
        <f>IF(ISNA(INDEX('Conversion Factors'!$B$6:$B$371,MATCH('June 16 - June 30'!$Z$22:$Z$28,'Conversion Factors'!$A$6:$A$371,0))),"",INDEX('Conversion Factors'!$B$6:$B$371,MATCH('June 16 - June 30'!$Z$22:$Z$28,'Conversion Factors'!$A$6:$A$371,0)))</f>
        <v>7.8789999999999996</v>
      </c>
      <c r="Z26" s="17">
        <f t="shared" si="42"/>
        <v>44735</v>
      </c>
      <c r="AA26" s="57" t="str">
        <f t="shared" si="43"/>
        <v/>
      </c>
      <c r="AB26" s="57" t="str">
        <f t="shared" si="44"/>
        <v/>
      </c>
      <c r="AH26" s="71">
        <f t="shared" si="45"/>
        <v>0</v>
      </c>
      <c r="AI26" s="68">
        <f>IF(AH26&gt;$AI$12,AH26-($AI$12+AI25+AI24+AI23+AI22+AI21),0)</f>
        <v>0</v>
      </c>
      <c r="AJ26" s="145" t="b">
        <f t="shared" si="46"/>
        <v>0</v>
      </c>
      <c r="AK26" s="151" t="b">
        <f t="shared" si="68"/>
        <v>0</v>
      </c>
      <c r="AM26" s="147">
        <f t="shared" si="47"/>
        <v>0</v>
      </c>
      <c r="AO26" s="162">
        <f t="shared" si="48"/>
        <v>0</v>
      </c>
      <c r="AP26" s="162">
        <f t="shared" si="49"/>
        <v>0</v>
      </c>
      <c r="AQ26" s="153">
        <f t="shared" si="50"/>
        <v>0</v>
      </c>
      <c r="AR26" s="162">
        <f t="shared" si="51"/>
        <v>0</v>
      </c>
      <c r="AS26" s="154">
        <f t="shared" si="52"/>
        <v>0</v>
      </c>
      <c r="AT26" s="154">
        <f>IF(AND(AH25&lt;=40),40-AH25,0)</f>
        <v>40</v>
      </c>
      <c r="AU26" s="155">
        <f t="shared" si="70"/>
        <v>0</v>
      </c>
      <c r="AV26" s="156">
        <f t="shared" si="53"/>
        <v>0</v>
      </c>
      <c r="AW26" s="157">
        <f t="shared" si="71"/>
        <v>0</v>
      </c>
      <c r="AY26" s="157">
        <f>IF(AND(J26&gt;0,AI26&gt;=J26,BB26=0),O26-AI26,IF(AND(J26&gt;0,AI26&gt;0,BB26&lt;=AI26),AI26-BB26,IF(AND(J26&gt;0,AI26&gt;0,BB26&gt;AI26),J26-BB26,0)))</f>
        <v>0</v>
      </c>
      <c r="AZ26" s="152">
        <f t="shared" si="54"/>
        <v>0</v>
      </c>
      <c r="BA26" s="152">
        <f t="shared" si="55"/>
        <v>0</v>
      </c>
      <c r="BB26" s="158">
        <f t="shared" si="56"/>
        <v>0</v>
      </c>
      <c r="BC26" s="152">
        <f t="shared" si="57"/>
        <v>0</v>
      </c>
      <c r="BD26" s="154">
        <f t="shared" si="58"/>
        <v>0</v>
      </c>
      <c r="BE26" s="154">
        <f t="shared" si="75"/>
        <v>40</v>
      </c>
      <c r="BF26" s="159">
        <f t="shared" si="72"/>
        <v>0</v>
      </c>
      <c r="BG26" s="160"/>
      <c r="BH26" s="160">
        <f t="shared" si="76"/>
        <v>0</v>
      </c>
      <c r="BI26" s="161">
        <f t="shared" si="59"/>
        <v>40</v>
      </c>
      <c r="BJ26" s="161">
        <f t="shared" si="60"/>
        <v>0</v>
      </c>
      <c r="BK26" s="161">
        <f t="shared" si="61"/>
        <v>0</v>
      </c>
      <c r="BL26" s="161">
        <f>SUM(E22:E26)</f>
        <v>0</v>
      </c>
      <c r="BM26" s="160">
        <f t="shared" si="73"/>
        <v>0</v>
      </c>
      <c r="BN26" s="161">
        <f t="shared" si="77"/>
        <v>0</v>
      </c>
      <c r="BO26" s="161">
        <f t="shared" si="78"/>
        <v>0</v>
      </c>
      <c r="BP26" s="161">
        <f t="shared" si="63"/>
        <v>0</v>
      </c>
      <c r="BQ26" s="160"/>
    </row>
    <row r="27" spans="1:69" ht="15" customHeight="1">
      <c r="A27" s="225">
        <f t="shared" si="64"/>
        <v>44736</v>
      </c>
      <c r="B27" s="226"/>
      <c r="C27" s="227"/>
      <c r="D27" s="32" t="s">
        <v>28</v>
      </c>
      <c r="E27" s="176"/>
      <c r="F27" s="176"/>
      <c r="G27" s="177"/>
      <c r="H27" s="176"/>
      <c r="I27" s="176"/>
      <c r="J27" s="178"/>
      <c r="K27" s="178"/>
      <c r="L27" s="179"/>
      <c r="M27" s="176"/>
      <c r="N27" s="176"/>
      <c r="O27" s="110">
        <f t="shared" si="74"/>
        <v>0</v>
      </c>
      <c r="P27" s="50" t="str">
        <f t="shared" si="65"/>
        <v/>
      </c>
      <c r="Q27" s="51"/>
      <c r="R27" s="50" t="str">
        <f t="shared" si="66"/>
        <v/>
      </c>
      <c r="S27" s="52"/>
      <c r="T27" s="52"/>
      <c r="U27" s="149">
        <f t="shared" si="35"/>
        <v>0</v>
      </c>
      <c r="V27" s="150">
        <f t="shared" si="67"/>
        <v>0</v>
      </c>
      <c r="W27" s="50"/>
      <c r="X27" s="49">
        <f>IF(ISNA(INDEX('Conversion Factors'!$B$6:$B$371,MATCH('June 16 - June 30'!$Z$22:$Z$28,'Conversion Factors'!$A$6:$A$371,0))),"",INDEX('Conversion Factors'!$B$6:$B$371,MATCH('June 16 - June 30'!$Z$22:$Z$28,'Conversion Factors'!$A$6:$A$371,0)))</f>
        <v>7.8789999999999996</v>
      </c>
      <c r="Z27" s="17">
        <f t="shared" si="42"/>
        <v>44736</v>
      </c>
      <c r="AA27" s="57" t="str">
        <f t="shared" si="43"/>
        <v/>
      </c>
      <c r="AB27" s="57" t="str">
        <f t="shared" si="44"/>
        <v/>
      </c>
      <c r="AH27" s="71">
        <f t="shared" si="45"/>
        <v>0</v>
      </c>
      <c r="AI27" s="68">
        <f>IF(AH27&gt;$AI$12,AH27-($AI$12+AI26+AI25+AI24+AI23+AI22+AI21),0)</f>
        <v>0</v>
      </c>
      <c r="AJ27" s="145" t="b">
        <f t="shared" si="46"/>
        <v>0</v>
      </c>
      <c r="AK27" s="151" t="b">
        <f t="shared" si="68"/>
        <v>0</v>
      </c>
      <c r="AM27" s="147">
        <f t="shared" si="47"/>
        <v>0</v>
      </c>
      <c r="AO27" s="162">
        <f t="shared" si="48"/>
        <v>0</v>
      </c>
      <c r="AP27" s="162">
        <f t="shared" si="49"/>
        <v>0</v>
      </c>
      <c r="AQ27" s="170">
        <f t="shared" si="50"/>
        <v>0</v>
      </c>
      <c r="AR27" s="162">
        <f t="shared" si="51"/>
        <v>0</v>
      </c>
      <c r="AS27" s="154">
        <f t="shared" si="52"/>
        <v>0</v>
      </c>
      <c r="AT27" s="154">
        <f t="shared" ref="AT27:AT28" si="79">IF(AND(AH26&lt;=40),40-AH26,0)</f>
        <v>40</v>
      </c>
      <c r="AU27" s="155">
        <f t="shared" si="70"/>
        <v>0</v>
      </c>
      <c r="AV27" s="156">
        <f t="shared" si="53"/>
        <v>0</v>
      </c>
      <c r="AW27" s="157">
        <f t="shared" si="71"/>
        <v>0</v>
      </c>
      <c r="AY27" s="157">
        <f>IF(AND(J27&gt;0,AI27&gt;=J27,BB27=0),O27-AI27,IF(AND(J27&gt;0,AI27&gt;0,BB27&lt;=AI27),AI27-BB27,IF(AND(J27&gt;0,AI27&gt;0,BB27&gt;AI27),J27-BB27,0)))</f>
        <v>0</v>
      </c>
      <c r="AZ27" s="152">
        <f t="shared" si="54"/>
        <v>0</v>
      </c>
      <c r="BA27" s="152">
        <f t="shared" si="55"/>
        <v>0</v>
      </c>
      <c r="BB27" s="158">
        <f t="shared" si="56"/>
        <v>0</v>
      </c>
      <c r="BC27" s="152">
        <f t="shared" si="57"/>
        <v>0</v>
      </c>
      <c r="BD27" s="154">
        <f t="shared" si="58"/>
        <v>0</v>
      </c>
      <c r="BE27" s="154">
        <f t="shared" si="75"/>
        <v>40</v>
      </c>
      <c r="BF27" s="159">
        <f t="shared" si="72"/>
        <v>0</v>
      </c>
      <c r="BG27" s="160"/>
      <c r="BH27" s="160">
        <f t="shared" si="76"/>
        <v>0</v>
      </c>
      <c r="BI27" s="161">
        <f t="shared" si="59"/>
        <v>40</v>
      </c>
      <c r="BJ27" s="161">
        <f t="shared" si="60"/>
        <v>0</v>
      </c>
      <c r="BK27" s="161">
        <f t="shared" si="61"/>
        <v>0</v>
      </c>
      <c r="BL27" s="161">
        <f>SUM(E22:E27)</f>
        <v>0</v>
      </c>
      <c r="BM27" s="160">
        <f t="shared" si="73"/>
        <v>0</v>
      </c>
      <c r="BN27" s="161">
        <f t="shared" si="77"/>
        <v>0</v>
      </c>
      <c r="BO27" s="161">
        <f t="shared" si="78"/>
        <v>0</v>
      </c>
      <c r="BP27" s="161">
        <f>IF(AND(BM27=1,BL27&gt;40,J27&lt;=K27),J27-BO27,IF(AND(BM27=1,BL27&gt;0,J27&gt;K27),K27-BO27,0))</f>
        <v>0</v>
      </c>
      <c r="BQ27" s="160"/>
    </row>
    <row r="28" spans="1:69" ht="15" customHeight="1" thickBot="1">
      <c r="A28" s="225">
        <f t="shared" si="64"/>
        <v>44737</v>
      </c>
      <c r="B28" s="226"/>
      <c r="C28" s="227"/>
      <c r="D28" s="32" t="s">
        <v>29</v>
      </c>
      <c r="E28" s="176"/>
      <c r="F28" s="176"/>
      <c r="G28" s="177"/>
      <c r="H28" s="176"/>
      <c r="I28" s="176"/>
      <c r="J28" s="178"/>
      <c r="K28" s="178"/>
      <c r="L28" s="179"/>
      <c r="M28" s="176"/>
      <c r="N28" s="176"/>
      <c r="O28" s="110">
        <f>SUM(E28:N28)-J28</f>
        <v>0</v>
      </c>
      <c r="P28" s="50" t="str">
        <f t="shared" si="65"/>
        <v/>
      </c>
      <c r="Q28" s="52"/>
      <c r="R28" s="50" t="str">
        <f t="shared" si="66"/>
        <v/>
      </c>
      <c r="S28" s="52"/>
      <c r="T28" s="52"/>
      <c r="U28" s="149">
        <f t="shared" si="35"/>
        <v>0</v>
      </c>
      <c r="V28" s="150">
        <f t="shared" si="67"/>
        <v>0</v>
      </c>
      <c r="W28" s="50"/>
      <c r="X28" s="49">
        <f>IF(ISNA(INDEX('Conversion Factors'!$B$6:$B$371,MATCH('June 16 - June 30'!$Z$22:$Z$28,'Conversion Factors'!$A$6:$A$371,0))),"",INDEX('Conversion Factors'!$B$6:$B$371,MATCH('June 16 - June 30'!$Z$22:$Z$28,'Conversion Factors'!$A$6:$A$371,0)))</f>
        <v>7.8789999999999996</v>
      </c>
      <c r="Z28" s="17">
        <f t="shared" si="42"/>
        <v>44737</v>
      </c>
      <c r="AA28" s="57" t="str">
        <f t="shared" si="43"/>
        <v/>
      </c>
      <c r="AB28" s="57" t="str">
        <f t="shared" si="44"/>
        <v/>
      </c>
      <c r="AH28" s="71">
        <f t="shared" si="45"/>
        <v>0</v>
      </c>
      <c r="AI28" s="68">
        <f>IF(AH28&gt;$AI$12,AH28-($AI$12+AI27+AI26+AI25+AI24+AI23+AI22+AI21),0)</f>
        <v>0</v>
      </c>
      <c r="AJ28" s="145" t="b">
        <f t="shared" si="46"/>
        <v>0</v>
      </c>
      <c r="AK28" s="151" t="b">
        <f t="shared" si="68"/>
        <v>0</v>
      </c>
      <c r="AM28" s="147">
        <f t="shared" si="47"/>
        <v>0</v>
      </c>
      <c r="AO28" s="163">
        <f t="shared" si="48"/>
        <v>0</v>
      </c>
      <c r="AP28" s="163">
        <f t="shared" si="49"/>
        <v>0</v>
      </c>
      <c r="AQ28" s="153">
        <f t="shared" si="50"/>
        <v>0</v>
      </c>
      <c r="AR28" s="163">
        <f t="shared" si="51"/>
        <v>0</v>
      </c>
      <c r="AS28" s="154">
        <f t="shared" si="52"/>
        <v>0</v>
      </c>
      <c r="AT28" s="154">
        <f t="shared" si="79"/>
        <v>40</v>
      </c>
      <c r="AU28" s="155">
        <f t="shared" si="70"/>
        <v>0</v>
      </c>
      <c r="AV28" s="156">
        <f t="shared" si="53"/>
        <v>0</v>
      </c>
      <c r="AW28" s="157">
        <f t="shared" si="71"/>
        <v>0</v>
      </c>
      <c r="AY28" s="157">
        <f>IF(AND(J28&gt;0,AI28&gt;=J28,BB28=0),O28-AI28,IF(AND(J28&gt;0,AI28&gt;0,BB28&lt;=AI28),AI28-BB28,IF(AND(J28&gt;0,AI28&gt;0,BB28&gt;AI28),J28-BB28,0)))</f>
        <v>0</v>
      </c>
      <c r="AZ28" s="152">
        <f t="shared" si="54"/>
        <v>0</v>
      </c>
      <c r="BA28" s="152">
        <f t="shared" si="55"/>
        <v>0</v>
      </c>
      <c r="BB28" s="158">
        <f t="shared" si="56"/>
        <v>0</v>
      </c>
      <c r="BC28" s="152">
        <f t="shared" si="57"/>
        <v>0</v>
      </c>
      <c r="BD28" s="154">
        <f t="shared" si="58"/>
        <v>0</v>
      </c>
      <c r="BE28" s="154">
        <f t="shared" si="75"/>
        <v>40</v>
      </c>
      <c r="BF28" s="159">
        <f t="shared" si="72"/>
        <v>0</v>
      </c>
      <c r="BG28" s="160"/>
      <c r="BH28" s="160">
        <f t="shared" si="76"/>
        <v>0</v>
      </c>
      <c r="BI28" s="161">
        <f t="shared" si="59"/>
        <v>40</v>
      </c>
      <c r="BJ28" s="161">
        <f t="shared" si="60"/>
        <v>0</v>
      </c>
      <c r="BK28" s="161">
        <f t="shared" si="61"/>
        <v>0</v>
      </c>
      <c r="BL28" s="161">
        <f>SUM(E22:E28)</f>
        <v>0</v>
      </c>
      <c r="BM28" s="160">
        <f t="shared" si="73"/>
        <v>0</v>
      </c>
      <c r="BN28" s="161">
        <f t="shared" si="77"/>
        <v>0</v>
      </c>
      <c r="BO28" s="161">
        <f t="shared" si="78"/>
        <v>0</v>
      </c>
      <c r="BP28" s="161">
        <f>IF(AND(BM28=1,BL28&gt;40,J28&lt;=K28),J28-BO28,IF(AND(BM28=1,BL28&gt;0,J28&gt;K28),K28-BO28,0))</f>
        <v>0</v>
      </c>
      <c r="BQ28" s="160"/>
    </row>
    <row r="29" spans="1:69" ht="15" customHeight="1" thickTop="1" thickBot="1">
      <c r="A29" s="228" t="s">
        <v>30</v>
      </c>
      <c r="B29" s="229"/>
      <c r="C29" s="230"/>
      <c r="D29" s="33"/>
      <c r="E29" s="34">
        <f t="shared" ref="E29:N29" si="80">SUM(E22:E28)</f>
        <v>0</v>
      </c>
      <c r="F29" s="34">
        <f t="shared" si="80"/>
        <v>0</v>
      </c>
      <c r="G29" s="76">
        <f t="shared" si="80"/>
        <v>0</v>
      </c>
      <c r="H29" s="34">
        <f t="shared" si="80"/>
        <v>0</v>
      </c>
      <c r="I29" s="34">
        <f t="shared" si="80"/>
        <v>0</v>
      </c>
      <c r="J29" s="74"/>
      <c r="K29" s="74">
        <f t="shared" si="80"/>
        <v>0</v>
      </c>
      <c r="L29" s="34">
        <f t="shared" si="80"/>
        <v>0</v>
      </c>
      <c r="M29" s="34">
        <f t="shared" si="80"/>
        <v>0</v>
      </c>
      <c r="N29" s="34">
        <f t="shared" si="80"/>
        <v>0</v>
      </c>
      <c r="O29" s="34">
        <f>SUM(O22:O28)</f>
        <v>0</v>
      </c>
      <c r="P29" s="89">
        <f>-SUM(P22:P28)</f>
        <v>0</v>
      </c>
      <c r="Q29" s="34">
        <f>SUM(Q22:Q28)</f>
        <v>0</v>
      </c>
      <c r="R29" s="46">
        <f>SUM(R22:R28)</f>
        <v>0</v>
      </c>
      <c r="S29" s="34">
        <f>IF(E29&gt;40,(E29-40)-V29,0)</f>
        <v>0</v>
      </c>
      <c r="T29" s="34">
        <f>MROUND(AL29,0.25)</f>
        <v>0</v>
      </c>
      <c r="U29" s="164">
        <f>SUM(U22:U28)</f>
        <v>0</v>
      </c>
      <c r="V29" s="165">
        <f>SUM(V22:V28)</f>
        <v>0</v>
      </c>
      <c r="W29" s="44">
        <f>IF(E29-(E11-(G29+K29+F29+H29+I29+L29+M29))-(S29+U29+V29)&gt;0,E29-(E11-(G29+K29+F29+H29+I29+L29+M29))-(S29+U29+V29),0)</f>
        <v>0</v>
      </c>
      <c r="X29" s="34"/>
      <c r="Z29" s="85"/>
      <c r="AA29" s="85"/>
      <c r="AB29" s="85"/>
      <c r="AC29" s="80">
        <f>SUM(F29:N29)</f>
        <v>0</v>
      </c>
      <c r="AD29" s="81">
        <f>IF(AND(AG29&lt;40,O29&gt;=AG29),O29-(AG29+S29),IF(AND(O29&lt;AG29,E29=O29),O29-E29,IF(AND(E29&gt;AG29,E29&lt;40),E29-AG29,IF(AND(O29&gt;AG29,E29&lt;AG29),E29-(AG29-AC29),IF(AND(O29&gt;AG29,E29&gt;40),E29-(AG29-AC29+S29),IF(AND(O29&gt;AG29,O29&gt;40),O29-(S29+AG29),0))))))</f>
        <v>0</v>
      </c>
      <c r="AE29" s="166">
        <f>AD29-U29-V29</f>
        <v>0</v>
      </c>
      <c r="AF29" s="79" t="str">
        <f>$W$11</f>
        <v>Yes</v>
      </c>
      <c r="AG29" s="82">
        <f>$E$11</f>
        <v>40</v>
      </c>
      <c r="AH29" s="83"/>
      <c r="AI29" s="84">
        <f>IF(AH29&gt;$AI$12,-$AI$12,0)</f>
        <v>0</v>
      </c>
      <c r="AJ29" s="80"/>
      <c r="AK29" s="79"/>
      <c r="AL29" s="34">
        <f>IF(AF29="Yes",S29*1.5,0)</f>
        <v>0</v>
      </c>
      <c r="BG29" s="160"/>
      <c r="BH29" s="160"/>
      <c r="BI29" s="160"/>
      <c r="BJ29" s="160"/>
      <c r="BK29" s="160"/>
      <c r="BL29" s="160"/>
      <c r="BM29" s="160"/>
      <c r="BN29" s="160"/>
      <c r="BO29" s="160"/>
      <c r="BP29" s="161">
        <f>SUM(BP22:BP28)</f>
        <v>0</v>
      </c>
      <c r="BQ29" s="161">
        <f>U29+E11</f>
        <v>40</v>
      </c>
    </row>
    <row r="30" spans="1:69" ht="15" customHeight="1" thickTop="1">
      <c r="A30" s="225">
        <f>IF(A28&lt;$O$7,A28+1,IF(A28=$O$7,""))</f>
        <v>44738</v>
      </c>
      <c r="B30" s="226"/>
      <c r="C30" s="227"/>
      <c r="D30" s="32" t="s">
        <v>23</v>
      </c>
      <c r="E30" s="176"/>
      <c r="F30" s="176"/>
      <c r="G30" s="177"/>
      <c r="H30" s="176"/>
      <c r="I30" s="176"/>
      <c r="J30" s="178"/>
      <c r="K30" s="178"/>
      <c r="L30" s="179"/>
      <c r="M30" s="176"/>
      <c r="N30" s="176"/>
      <c r="O30" s="110">
        <f>SUM(E30:N30)-J30</f>
        <v>0</v>
      </c>
      <c r="P30" s="50" t="str">
        <f>IF(AND(ISNUMBER(AA30),ISNUMBER(X30)),AA30*X30,"")</f>
        <v/>
      </c>
      <c r="Q30" s="52"/>
      <c r="R30" s="50" t="str">
        <f>IF(AND(ISNUMBER(AB30),ISNUMBER(X30)),AB30*X30,"")</f>
        <v/>
      </c>
      <c r="S30" s="52"/>
      <c r="T30" s="52"/>
      <c r="U30" s="149">
        <f t="shared" si="35"/>
        <v>0</v>
      </c>
      <c r="V30" s="150">
        <f>IF(BK30&gt;0,BK30,0)</f>
        <v>0</v>
      </c>
      <c r="W30" s="50"/>
      <c r="X30" s="49">
        <f>IF(ISNA(INDEX('Conversion Factors'!$B$6:$B$370,MATCH('June 16 - June 30'!$Z$30:$Z$36,'Conversion Factors'!$A$6:$A$370,0))),"",INDEX('Conversion Factors'!$B$6:$B$370,MATCH('June 16 - June 30'!$Z$30:$Z$36,'Conversion Factors'!$A$6:$A$370,0)))</f>
        <v>7.8789999999999996</v>
      </c>
      <c r="Z30" s="17">
        <f t="shared" ref="Z30:Z36" si="81">A30</f>
        <v>44738</v>
      </c>
      <c r="AA30" s="57" t="str">
        <f t="shared" ref="AA30:AA36" si="82">IF(AND(ISNUMBER(N30),ISNUMBER($Z$12)),N30/$Z$12,"")</f>
        <v/>
      </c>
      <c r="AB30" s="57" t="str">
        <f t="shared" ref="AB30:AB36" si="83">IF(AND(ISNUMBER(Q30),ISNUMBER($Z$12)),Q30/$Z$12,"")</f>
        <v/>
      </c>
      <c r="AC30" s="58"/>
      <c r="AD30" s="59"/>
      <c r="AE30" s="58"/>
      <c r="AF30" s="58"/>
      <c r="AG30" s="64"/>
      <c r="AH30" s="71">
        <f t="shared" ref="AH30:AH36" si="84">E30+AH29</f>
        <v>0</v>
      </c>
      <c r="AI30" s="68">
        <f>IF(AH30&gt;$AI$12,AH30-($AI$12+AI29),0)</f>
        <v>0</v>
      </c>
      <c r="AJ30" s="145" t="b">
        <f t="shared" ref="AJ30:AJ36" si="85">IF(AND(AZ30&gt;0,AZ30),IF(BA30&gt;0,BA30,IF(BB30&gt;0,BB30,IF(BC30&gt;0,BC30,IF(BF30&gt;0,BF30,"")))))</f>
        <v>0</v>
      </c>
      <c r="AK30" s="151" t="b">
        <f>IF(AND(AO30&gt;0,AO30),IF(AP30&gt;0,AP30,IF(AQ30&gt;0,AQ30,IF(AR30&gt;0,AR30,IF(AU30&gt;0,AU30,"")))))</f>
        <v>0</v>
      </c>
      <c r="AM30" s="147">
        <f t="shared" ref="AM30:AM36" si="86">J30</f>
        <v>0</v>
      </c>
      <c r="AO30" s="152">
        <f t="shared" ref="AO30:AO36" si="87">IF(G30=0,0,"")</f>
        <v>0</v>
      </c>
      <c r="AP30" s="152">
        <f t="shared" ref="AP30:AP36" si="88">IF(AND(AH30&lt;=40,E30=G30),G30,0)</f>
        <v>0</v>
      </c>
      <c r="AQ30" s="153">
        <f t="shared" ref="AQ30:AQ36" si="89">IF(AND(AH30&lt;=40,E30&gt;=G30,G30&gt;0),O30-E30,0)</f>
        <v>0</v>
      </c>
      <c r="AR30" s="152">
        <f t="shared" ref="AR30:AR36" si="90">IF(AND(AH30&lt;=40,E30&lt;G30),O30-G30,0)</f>
        <v>0</v>
      </c>
      <c r="AS30" s="154">
        <f t="shared" ref="AS30:AS36" si="91">IF(AND(G30=0),G30,IF(AND(G30&gt;0,AI30&gt;0,G30=AT30),AT30,IF(AND(G30&gt;0,AI30&gt;0,G30-AT30),AT30,0)))</f>
        <v>0</v>
      </c>
      <c r="AT30" s="154"/>
      <c r="AU30" s="155">
        <f>AS30</f>
        <v>0</v>
      </c>
      <c r="AV30" s="156">
        <f t="shared" ref="AV30:AV36" si="92">IF(AND(AH29+AU30=40,AI30&gt;0,AI30&gt;AU30),AI30-AU30,IF(AND(AH29+AU30=40,AI30&gt;0,AI30&lt;AU30,AU30+AI30=G30),AI30,IF(AND(AH29&gt;40,AH30&gt;40,G30=AI30),AI30,0)))</f>
        <v>0</v>
      </c>
      <c r="AW30" s="157">
        <f>AV30</f>
        <v>0</v>
      </c>
      <c r="AY30" s="157">
        <f t="shared" ref="AY30:AY36" si="93">IF(AND(J30&gt;0,AI30&gt;=J30,BB30=0),O30-AI30,IF(AND(J30&gt;0,AI30&gt;0,BB30&lt;=AI30),AI30-BB30,IF(AND(J30&gt;0,AI30&gt;0,BB30&gt;AI30),J30-BB30,0)))</f>
        <v>0</v>
      </c>
      <c r="AZ30" s="152">
        <f t="shared" ref="AZ30:AZ36" si="94">IF(J30=0,0,"")</f>
        <v>0</v>
      </c>
      <c r="BA30" s="152">
        <f t="shared" ref="BA30:BA36" si="95">IF(AND(AH30&lt;=40,E30=J30),J30,0)</f>
        <v>0</v>
      </c>
      <c r="BB30" s="158">
        <f t="shared" ref="BB30:BB36" si="96">IF(AND(AZ30=0),AZ30,IF(AND(AH30&gt;40,E30&gt;=J30),BE30,IF(AND(AH30&lt;=40,E30&gt;J30),J30,0)))</f>
        <v>0</v>
      </c>
      <c r="BC30" s="152">
        <f t="shared" ref="BC30:BC36" si="97">IF(AND(AH30&lt;=40,E30&lt;J30),O30-J30,0)</f>
        <v>0</v>
      </c>
      <c r="BD30" s="154">
        <f t="shared" ref="BD30:BD36" si="98">IF(AND(J30=0),J30,IF(AND(J30&gt;0,AI30&gt;0,J30=BC30),BC30,IF(AND(J30&gt;0,AI30&gt;0,J30-BC30),BC30,0)))</f>
        <v>0</v>
      </c>
      <c r="BE30" s="154"/>
      <c r="BF30" s="159">
        <f>BD30</f>
        <v>0</v>
      </c>
      <c r="BG30" s="160"/>
      <c r="BH30" s="160">
        <f>IF(AND(G30&gt;0,E30&gt;0),1,0)</f>
        <v>0</v>
      </c>
      <c r="BI30" s="161">
        <f t="shared" ref="BI30:BI36" si="99">40-AH30</f>
        <v>40</v>
      </c>
      <c r="BJ30" s="161">
        <f t="shared" ref="BJ30:BJ36" si="100">IF(AND(BH30=1,40-BL29&gt;0,40-BL29&lt;8),40-BL29,IF(AND(E30&lt;G30),E30,G30))</f>
        <v>0</v>
      </c>
      <c r="BK30" s="161">
        <f t="shared" ref="BK30:BK36" si="101">IF(AND(BH30=1,BL30&gt;40,E30&lt;G30),E30-BJ30,(IF(AND(BH30=1,BL30&gt;0,E30&gt;=G30),G30-BJ30,0)))</f>
        <v>0</v>
      </c>
      <c r="BL30" s="161">
        <f>E30</f>
        <v>0</v>
      </c>
      <c r="BM30" s="160">
        <f>IF(AND(K30&gt;0,E30&gt;0),1,0)</f>
        <v>0</v>
      </c>
      <c r="BN30" s="161">
        <f>IF(AND(BM30=1,J30&gt;8),K30,(IF(AND(BM30=1,J30&gt;0),J30,0)))</f>
        <v>0</v>
      </c>
      <c r="BO30" s="161">
        <f t="shared" ref="BO30:BO31" si="102">IF(AND(BM30=1,40-BL29&gt;0,40-BL29&lt;8),40-BL29,IF(AND(J30&lt;K30),J30,K30))</f>
        <v>0</v>
      </c>
      <c r="BP30" s="161">
        <f t="shared" ref="BP30:BP34" si="103">IF(AND(BM30=1,BL30&gt;40,J30&lt;=K30),J30-BO30,IF(AND(BM30=1,BL30&gt;0,J30&gt;K30),K30-BO30,0))</f>
        <v>0</v>
      </c>
      <c r="BQ30" s="160"/>
    </row>
    <row r="31" spans="1:69" ht="15" customHeight="1">
      <c r="A31" s="225">
        <f t="shared" ref="A31:A36" si="104">IF(A30&lt;$O$7,A30+1,IF(A30=$O$7,""))</f>
        <v>44739</v>
      </c>
      <c r="B31" s="226"/>
      <c r="C31" s="227"/>
      <c r="D31" s="32" t="s">
        <v>24</v>
      </c>
      <c r="E31" s="176"/>
      <c r="F31" s="176"/>
      <c r="G31" s="177"/>
      <c r="H31" s="176"/>
      <c r="I31" s="176"/>
      <c r="J31" s="178"/>
      <c r="K31" s="178"/>
      <c r="L31" s="179"/>
      <c r="M31" s="176"/>
      <c r="N31" s="176"/>
      <c r="O31" s="110">
        <f t="shared" ref="O31:O36" si="105">SUM(E31:N31)-J31</f>
        <v>0</v>
      </c>
      <c r="P31" s="50" t="str">
        <f t="shared" ref="P31:P36" si="106">IF(AND(ISNUMBER(AA31),ISNUMBER(X31)),AA31*X31,"")</f>
        <v/>
      </c>
      <c r="Q31" s="51"/>
      <c r="R31" s="50" t="str">
        <f t="shared" ref="R31:R36" si="107">IF(AND(ISNUMBER(AB31),ISNUMBER(X31)),AB31*X31,"")</f>
        <v/>
      </c>
      <c r="S31" s="52"/>
      <c r="T31" s="52"/>
      <c r="U31" s="149">
        <f t="shared" si="35"/>
        <v>0</v>
      </c>
      <c r="V31" s="150">
        <f t="shared" ref="V31:V36" si="108">IF(BK31&gt;0,BK31,0)</f>
        <v>0</v>
      </c>
      <c r="W31" s="50"/>
      <c r="X31" s="49">
        <f>IF(ISNA(INDEX('Conversion Factors'!$B$6:$B$370,MATCH('June 16 - June 30'!$Z$30:$Z$36,'Conversion Factors'!$A$6:$A$370,0))),"",INDEX('Conversion Factors'!$B$6:$B$370,MATCH('June 16 - June 30'!$Z$30:$Z$36,'Conversion Factors'!$A$6:$A$370,0)))</f>
        <v>7.8789999999999996</v>
      </c>
      <c r="Z31" s="17">
        <f t="shared" si="81"/>
        <v>44739</v>
      </c>
      <c r="AA31" s="57" t="str">
        <f t="shared" si="82"/>
        <v/>
      </c>
      <c r="AB31" s="57" t="str">
        <f t="shared" si="83"/>
        <v/>
      </c>
      <c r="AH31" s="71">
        <f t="shared" si="84"/>
        <v>0</v>
      </c>
      <c r="AI31" s="68">
        <f>IF(AH31&gt;$AI$12,AH31-($AI$12+AI30+AI29),0)</f>
        <v>0</v>
      </c>
      <c r="AJ31" s="145" t="b">
        <f t="shared" si="85"/>
        <v>0</v>
      </c>
      <c r="AK31" s="151" t="b">
        <f t="shared" ref="AK31:AK36" si="109">IF(AND(AO31&gt;0,AO31),IF(AP31&gt;0,AP31,IF(AQ31&gt;0,AQ31,IF(AR31&gt;0,AR31,IF(AU31&gt;0,AU31,0)))))</f>
        <v>0</v>
      </c>
      <c r="AM31" s="147">
        <f t="shared" si="86"/>
        <v>0</v>
      </c>
      <c r="AO31" s="162">
        <f t="shared" si="87"/>
        <v>0</v>
      </c>
      <c r="AP31" s="162">
        <f t="shared" si="88"/>
        <v>0</v>
      </c>
      <c r="AQ31" s="153">
        <f t="shared" si="89"/>
        <v>0</v>
      </c>
      <c r="AR31" s="162">
        <f t="shared" si="90"/>
        <v>0</v>
      </c>
      <c r="AS31" s="154">
        <f t="shared" si="91"/>
        <v>0</v>
      </c>
      <c r="AT31" s="154">
        <f t="shared" ref="AT31:AT33" si="110">IF(AND(AH30&lt;=40),40-AH30,0)</f>
        <v>40</v>
      </c>
      <c r="AU31" s="155">
        <f t="shared" ref="AU31:AU36" si="111">AS31</f>
        <v>0</v>
      </c>
      <c r="AV31" s="156">
        <f t="shared" si="92"/>
        <v>0</v>
      </c>
      <c r="AW31" s="157">
        <f t="shared" ref="AW31:AW36" si="112">AV31</f>
        <v>0</v>
      </c>
      <c r="AY31" s="157">
        <f t="shared" si="93"/>
        <v>0</v>
      </c>
      <c r="AZ31" s="152">
        <f t="shared" si="94"/>
        <v>0</v>
      </c>
      <c r="BA31" s="152">
        <f t="shared" si="95"/>
        <v>0</v>
      </c>
      <c r="BB31" s="158">
        <f t="shared" si="96"/>
        <v>0</v>
      </c>
      <c r="BC31" s="152">
        <f t="shared" si="97"/>
        <v>0</v>
      </c>
      <c r="BD31" s="154">
        <f t="shared" si="98"/>
        <v>0</v>
      </c>
      <c r="BE31" s="154">
        <f>IF(AND(AH30&lt;=40),40-AH30,0)</f>
        <v>40</v>
      </c>
      <c r="BF31" s="159">
        <f t="shared" ref="BF31:BF36" si="113">BD31</f>
        <v>0</v>
      </c>
      <c r="BG31" s="160"/>
      <c r="BH31" s="160">
        <f>IF(AND(G31&gt;0,E31&gt;0),1,0)</f>
        <v>0</v>
      </c>
      <c r="BI31" s="161">
        <f t="shared" si="99"/>
        <v>40</v>
      </c>
      <c r="BJ31" s="161">
        <f t="shared" si="100"/>
        <v>0</v>
      </c>
      <c r="BK31" s="161">
        <f t="shared" si="101"/>
        <v>0</v>
      </c>
      <c r="BL31" s="161">
        <f>SUM(E30:E31)</f>
        <v>0</v>
      </c>
      <c r="BM31" s="160">
        <f t="shared" ref="BM31:BM36" si="114">IF(AND(K31&gt;0,E31&gt;0),1,0)</f>
        <v>0</v>
      </c>
      <c r="BN31" s="161">
        <f>IF(AND(BM31=1,J31&gt;8),K31,(IF(AND(BM31=1,J31&gt;0),J31,0)))</f>
        <v>0</v>
      </c>
      <c r="BO31" s="161">
        <f t="shared" si="102"/>
        <v>0</v>
      </c>
      <c r="BP31" s="161">
        <f t="shared" si="103"/>
        <v>0</v>
      </c>
      <c r="BQ31" s="160"/>
    </row>
    <row r="32" spans="1:69" ht="15" customHeight="1">
      <c r="A32" s="225">
        <f t="shared" si="104"/>
        <v>44740</v>
      </c>
      <c r="B32" s="226"/>
      <c r="C32" s="227"/>
      <c r="D32" s="32" t="s">
        <v>25</v>
      </c>
      <c r="E32" s="176"/>
      <c r="F32" s="176"/>
      <c r="G32" s="177"/>
      <c r="H32" s="176"/>
      <c r="I32" s="176"/>
      <c r="J32" s="178"/>
      <c r="K32" s="178"/>
      <c r="L32" s="179"/>
      <c r="M32" s="176"/>
      <c r="N32" s="176"/>
      <c r="O32" s="110">
        <f t="shared" si="105"/>
        <v>0</v>
      </c>
      <c r="P32" s="50" t="str">
        <f t="shared" si="106"/>
        <v/>
      </c>
      <c r="Q32" s="51"/>
      <c r="R32" s="50" t="str">
        <f t="shared" si="107"/>
        <v/>
      </c>
      <c r="S32" s="52"/>
      <c r="T32" s="52"/>
      <c r="U32" s="149">
        <f t="shared" si="35"/>
        <v>0</v>
      </c>
      <c r="V32" s="150">
        <f t="shared" si="108"/>
        <v>0</v>
      </c>
      <c r="W32" s="50"/>
      <c r="X32" s="49">
        <f>IF(ISNA(INDEX('Conversion Factors'!$B$6:$B$371,MATCH('June 16 - June 30'!$Z$30:$Z$36,'Conversion Factors'!$A$6:$A$371,0))),"",INDEX('Conversion Factors'!$B$6:$B$371,MATCH('June 16 - June 30'!$Z$30:$Z$36,'Conversion Factors'!$A$6:$A$371,0)))</f>
        <v>7.8789999999999996</v>
      </c>
      <c r="Z32" s="17">
        <f t="shared" si="81"/>
        <v>44740</v>
      </c>
      <c r="AA32" s="57" t="str">
        <f t="shared" si="82"/>
        <v/>
      </c>
      <c r="AB32" s="57" t="str">
        <f t="shared" si="83"/>
        <v/>
      </c>
      <c r="AG32" s="1"/>
      <c r="AH32" s="71">
        <f t="shared" si="84"/>
        <v>0</v>
      </c>
      <c r="AI32" s="68">
        <f>IF(AH32&gt;$AI$12,AH32-($AI$12+AI31+AI30+AI29),0)</f>
        <v>0</v>
      </c>
      <c r="AJ32" s="145" t="b">
        <f t="shared" si="85"/>
        <v>0</v>
      </c>
      <c r="AK32" s="151" t="b">
        <f t="shared" si="109"/>
        <v>0</v>
      </c>
      <c r="AM32" s="147">
        <f t="shared" si="86"/>
        <v>0</v>
      </c>
      <c r="AO32" s="162">
        <f t="shared" si="87"/>
        <v>0</v>
      </c>
      <c r="AP32" s="162">
        <f t="shared" si="88"/>
        <v>0</v>
      </c>
      <c r="AQ32" s="153">
        <f t="shared" si="89"/>
        <v>0</v>
      </c>
      <c r="AR32" s="162">
        <f t="shared" si="90"/>
        <v>0</v>
      </c>
      <c r="AS32" s="154">
        <f t="shared" si="91"/>
        <v>0</v>
      </c>
      <c r="AT32" s="154">
        <f t="shared" si="110"/>
        <v>40</v>
      </c>
      <c r="AU32" s="155">
        <f t="shared" si="111"/>
        <v>0</v>
      </c>
      <c r="AV32" s="156">
        <f t="shared" si="92"/>
        <v>0</v>
      </c>
      <c r="AW32" s="157">
        <f t="shared" si="112"/>
        <v>0</v>
      </c>
      <c r="AY32" s="157">
        <f t="shared" si="93"/>
        <v>0</v>
      </c>
      <c r="AZ32" s="152">
        <f t="shared" si="94"/>
        <v>0</v>
      </c>
      <c r="BA32" s="152">
        <f t="shared" si="95"/>
        <v>0</v>
      </c>
      <c r="BB32" s="158">
        <f t="shared" si="96"/>
        <v>0</v>
      </c>
      <c r="BC32" s="152">
        <f t="shared" si="97"/>
        <v>0</v>
      </c>
      <c r="BD32" s="154">
        <f t="shared" si="98"/>
        <v>0</v>
      </c>
      <c r="BE32" s="154">
        <f t="shared" ref="BE32:BE36" si="115">IF(AND(AH31&lt;=40),40-AH31,0)</f>
        <v>40</v>
      </c>
      <c r="BF32" s="159">
        <f t="shared" si="113"/>
        <v>0</v>
      </c>
      <c r="BG32" s="160"/>
      <c r="BH32" s="160">
        <f>IF(AND(G32&gt;0,E32&gt;0),1,0)</f>
        <v>0</v>
      </c>
      <c r="BI32" s="161">
        <f t="shared" si="99"/>
        <v>40</v>
      </c>
      <c r="BJ32" s="161">
        <f t="shared" si="100"/>
        <v>0</v>
      </c>
      <c r="BK32" s="161">
        <f t="shared" si="101"/>
        <v>0</v>
      </c>
      <c r="BL32" s="161">
        <f>SUM(E30:E32)</f>
        <v>0</v>
      </c>
      <c r="BM32" s="160">
        <f t="shared" si="114"/>
        <v>0</v>
      </c>
      <c r="BN32" s="161">
        <f>IF(AND(BM32=1,J32&gt;8),K32,(IF(AND(BM32=1,J32&gt;0),J32,0)))</f>
        <v>0</v>
      </c>
      <c r="BO32" s="161">
        <f>IF(AND(BM32=1,40-BL31&gt;0,40-BL31&lt;8),40-BL31,IF(AND(J32&lt;K32),J32,K32))</f>
        <v>0</v>
      </c>
      <c r="BP32" s="161">
        <f t="shared" si="103"/>
        <v>0</v>
      </c>
      <c r="BQ32" s="160"/>
    </row>
    <row r="33" spans="1:69" ht="15" customHeight="1">
      <c r="A33" s="225">
        <f t="shared" si="104"/>
        <v>44741</v>
      </c>
      <c r="B33" s="226"/>
      <c r="C33" s="227"/>
      <c r="D33" s="32" t="s">
        <v>26</v>
      </c>
      <c r="E33" s="176"/>
      <c r="F33" s="176"/>
      <c r="G33" s="177"/>
      <c r="H33" s="176"/>
      <c r="I33" s="176"/>
      <c r="J33" s="178"/>
      <c r="K33" s="178"/>
      <c r="L33" s="179"/>
      <c r="M33" s="176"/>
      <c r="N33" s="176"/>
      <c r="O33" s="110">
        <f t="shared" si="105"/>
        <v>0</v>
      </c>
      <c r="P33" s="50" t="str">
        <f t="shared" si="106"/>
        <v/>
      </c>
      <c r="Q33" s="52"/>
      <c r="R33" s="50" t="str">
        <f t="shared" si="107"/>
        <v/>
      </c>
      <c r="S33" s="52"/>
      <c r="T33" s="52"/>
      <c r="U33" s="149">
        <f t="shared" si="35"/>
        <v>0</v>
      </c>
      <c r="V33" s="150">
        <f t="shared" si="108"/>
        <v>0</v>
      </c>
      <c r="W33" s="50"/>
      <c r="X33" s="49">
        <f>IF(ISNA(INDEX('Conversion Factors'!$B$6:$B$370,MATCH('June 16 - June 30'!$Z$30:$Z$36,'Conversion Factors'!$A$6:$A$370,0))),"",INDEX('Conversion Factors'!$B$6:$B$370,MATCH('June 16 - June 30'!$Z$30:$Z$36,'Conversion Factors'!$A$6:$A$370,0)))</f>
        <v>7.8789999999999996</v>
      </c>
      <c r="Z33" s="17">
        <f t="shared" si="81"/>
        <v>44741</v>
      </c>
      <c r="AA33" s="57" t="str">
        <f t="shared" si="82"/>
        <v/>
      </c>
      <c r="AB33" s="57" t="str">
        <f t="shared" si="83"/>
        <v/>
      </c>
      <c r="AG33" s="1"/>
      <c r="AH33" s="71">
        <f t="shared" si="84"/>
        <v>0</v>
      </c>
      <c r="AI33" s="68">
        <f>IF(AH33&gt;$AI$12,AH33-($AI$12+AI32+AI31+AI30+AI29),0)</f>
        <v>0</v>
      </c>
      <c r="AJ33" s="145" t="b">
        <f t="shared" si="85"/>
        <v>0</v>
      </c>
      <c r="AK33" s="151" t="b">
        <f t="shared" si="109"/>
        <v>0</v>
      </c>
      <c r="AM33" s="147">
        <f t="shared" si="86"/>
        <v>0</v>
      </c>
      <c r="AO33" s="162">
        <f t="shared" si="87"/>
        <v>0</v>
      </c>
      <c r="AP33" s="162">
        <f t="shared" si="88"/>
        <v>0</v>
      </c>
      <c r="AQ33" s="153">
        <f t="shared" si="89"/>
        <v>0</v>
      </c>
      <c r="AR33" s="162">
        <f t="shared" si="90"/>
        <v>0</v>
      </c>
      <c r="AS33" s="154">
        <f t="shared" si="91"/>
        <v>0</v>
      </c>
      <c r="AT33" s="154">
        <f t="shared" si="110"/>
        <v>40</v>
      </c>
      <c r="AU33" s="155">
        <f t="shared" si="111"/>
        <v>0</v>
      </c>
      <c r="AV33" s="156">
        <f t="shared" si="92"/>
        <v>0</v>
      </c>
      <c r="AW33" s="157">
        <f t="shared" si="112"/>
        <v>0</v>
      </c>
      <c r="AY33" s="157">
        <f t="shared" si="93"/>
        <v>0</v>
      </c>
      <c r="AZ33" s="152">
        <f t="shared" si="94"/>
        <v>0</v>
      </c>
      <c r="BA33" s="152">
        <f t="shared" si="95"/>
        <v>0</v>
      </c>
      <c r="BB33" s="158">
        <f t="shared" si="96"/>
        <v>0</v>
      </c>
      <c r="BC33" s="152">
        <f t="shared" si="97"/>
        <v>0</v>
      </c>
      <c r="BD33" s="154">
        <f t="shared" si="98"/>
        <v>0</v>
      </c>
      <c r="BE33" s="154">
        <f t="shared" si="115"/>
        <v>40</v>
      </c>
      <c r="BF33" s="159">
        <f t="shared" si="113"/>
        <v>0</v>
      </c>
      <c r="BG33" s="160"/>
      <c r="BH33" s="160">
        <f t="shared" ref="BH33:BH37" si="116">IF(AND(G33&gt;0,E33&gt;0),1,0)</f>
        <v>0</v>
      </c>
      <c r="BI33" s="161">
        <f t="shared" si="99"/>
        <v>40</v>
      </c>
      <c r="BJ33" s="161">
        <f t="shared" si="100"/>
        <v>0</v>
      </c>
      <c r="BK33" s="161">
        <f t="shared" si="101"/>
        <v>0</v>
      </c>
      <c r="BL33" s="161">
        <f>SUM(E30:E33)</f>
        <v>0</v>
      </c>
      <c r="BM33" s="160">
        <f t="shared" si="114"/>
        <v>0</v>
      </c>
      <c r="BN33" s="161">
        <f t="shared" ref="BN33:BN36" si="117">IF(AND(BM33=1,J33&gt;8),K33,(IF(AND(BM33=1,J33&gt;0),J33,0)))</f>
        <v>0</v>
      </c>
      <c r="BO33" s="161">
        <f t="shared" ref="BO33:BO36" si="118">IF(AND(BM33=1,40-BL32&gt;0,40-BL32&lt;8),40-BL32,IF(AND(J33&lt;K33),J33,K33))</f>
        <v>0</v>
      </c>
      <c r="BP33" s="161">
        <f t="shared" si="103"/>
        <v>0</v>
      </c>
      <c r="BQ33" s="160"/>
    </row>
    <row r="34" spans="1:69" ht="15" customHeight="1">
      <c r="A34" s="225">
        <f t="shared" si="104"/>
        <v>44742</v>
      </c>
      <c r="B34" s="226"/>
      <c r="C34" s="227"/>
      <c r="D34" s="32" t="s">
        <v>27</v>
      </c>
      <c r="E34" s="176"/>
      <c r="F34" s="176"/>
      <c r="G34" s="177"/>
      <c r="H34" s="176"/>
      <c r="I34" s="176"/>
      <c r="J34" s="178"/>
      <c r="K34" s="178"/>
      <c r="L34" s="179"/>
      <c r="M34" s="176"/>
      <c r="N34" s="176"/>
      <c r="O34" s="110">
        <f t="shared" si="105"/>
        <v>0</v>
      </c>
      <c r="P34" s="50" t="str">
        <f t="shared" si="106"/>
        <v/>
      </c>
      <c r="Q34" s="52"/>
      <c r="R34" s="50" t="str">
        <f t="shared" si="107"/>
        <v/>
      </c>
      <c r="S34" s="52"/>
      <c r="T34" s="52"/>
      <c r="U34" s="149">
        <f t="shared" si="35"/>
        <v>0</v>
      </c>
      <c r="V34" s="150">
        <f t="shared" si="108"/>
        <v>0</v>
      </c>
      <c r="W34" s="50"/>
      <c r="X34" s="49">
        <f>IF(ISNA(INDEX('Conversion Factors'!$B$6:$B$370,MATCH('June 16 - June 30'!$Z$30:$Z$36,'Conversion Factors'!$A$6:$A$370,0))),"",INDEX('Conversion Factors'!$B$6:$B$370,MATCH('June 16 - June 30'!$Z$30:$Z$36,'Conversion Factors'!$A$6:$A$370,0)))</f>
        <v>7.8789999999999996</v>
      </c>
      <c r="Z34" s="17">
        <f t="shared" si="81"/>
        <v>44742</v>
      </c>
      <c r="AA34" s="57" t="str">
        <f t="shared" si="82"/>
        <v/>
      </c>
      <c r="AB34" s="57" t="str">
        <f t="shared" si="83"/>
        <v/>
      </c>
      <c r="AH34" s="71">
        <f t="shared" si="84"/>
        <v>0</v>
      </c>
      <c r="AI34" s="68">
        <f>IF(AH34&gt;$AI$12,AH34-($AI$12+AI33+AI32+AI31+AI30+AI29),0)</f>
        <v>0</v>
      </c>
      <c r="AJ34" s="145" t="b">
        <f t="shared" si="85"/>
        <v>0</v>
      </c>
      <c r="AK34" s="151" t="b">
        <f t="shared" si="109"/>
        <v>0</v>
      </c>
      <c r="AM34" s="147">
        <f t="shared" si="86"/>
        <v>0</v>
      </c>
      <c r="AO34" s="162">
        <f t="shared" si="87"/>
        <v>0</v>
      </c>
      <c r="AP34" s="162">
        <f t="shared" si="88"/>
        <v>0</v>
      </c>
      <c r="AQ34" s="153">
        <f t="shared" si="89"/>
        <v>0</v>
      </c>
      <c r="AR34" s="162">
        <f t="shared" si="90"/>
        <v>0</v>
      </c>
      <c r="AS34" s="154">
        <f t="shared" si="91"/>
        <v>0</v>
      </c>
      <c r="AT34" s="154">
        <f>IF(AND(AH33&lt;=40),40-AH33,0)</f>
        <v>40</v>
      </c>
      <c r="AU34" s="155">
        <f t="shared" si="111"/>
        <v>0</v>
      </c>
      <c r="AV34" s="156">
        <f t="shared" si="92"/>
        <v>0</v>
      </c>
      <c r="AW34" s="157">
        <f t="shared" si="112"/>
        <v>0</v>
      </c>
      <c r="AY34" s="157">
        <f t="shared" si="93"/>
        <v>0</v>
      </c>
      <c r="AZ34" s="152">
        <f t="shared" si="94"/>
        <v>0</v>
      </c>
      <c r="BA34" s="152">
        <f t="shared" si="95"/>
        <v>0</v>
      </c>
      <c r="BB34" s="158">
        <f t="shared" si="96"/>
        <v>0</v>
      </c>
      <c r="BC34" s="152">
        <f t="shared" si="97"/>
        <v>0</v>
      </c>
      <c r="BD34" s="154">
        <f t="shared" si="98"/>
        <v>0</v>
      </c>
      <c r="BE34" s="154">
        <f t="shared" si="115"/>
        <v>40</v>
      </c>
      <c r="BF34" s="159">
        <f t="shared" si="113"/>
        <v>0</v>
      </c>
      <c r="BG34" s="160"/>
      <c r="BH34" s="160">
        <f t="shared" si="116"/>
        <v>0</v>
      </c>
      <c r="BI34" s="161">
        <f t="shared" si="99"/>
        <v>40</v>
      </c>
      <c r="BJ34" s="161">
        <f t="shared" si="100"/>
        <v>0</v>
      </c>
      <c r="BK34" s="161">
        <f t="shared" si="101"/>
        <v>0</v>
      </c>
      <c r="BL34" s="161">
        <f>SUM(E30:E34)</f>
        <v>0</v>
      </c>
      <c r="BM34" s="160">
        <f t="shared" si="114"/>
        <v>0</v>
      </c>
      <c r="BN34" s="161">
        <f t="shared" si="117"/>
        <v>0</v>
      </c>
      <c r="BO34" s="161">
        <f t="shared" si="118"/>
        <v>0</v>
      </c>
      <c r="BP34" s="161">
        <f t="shared" si="103"/>
        <v>0</v>
      </c>
      <c r="BQ34" s="160"/>
    </row>
    <row r="35" spans="1:69" ht="15" customHeight="1">
      <c r="A35" s="225" t="str">
        <f t="shared" si="104"/>
        <v/>
      </c>
      <c r="B35" s="226"/>
      <c r="C35" s="227"/>
      <c r="D35" s="32" t="s">
        <v>28</v>
      </c>
      <c r="E35" s="52"/>
      <c r="F35" s="52"/>
      <c r="G35" s="77"/>
      <c r="H35" s="52"/>
      <c r="I35" s="52"/>
      <c r="J35" s="108"/>
      <c r="K35" s="108"/>
      <c r="L35" s="109"/>
      <c r="M35" s="52"/>
      <c r="N35" s="52"/>
      <c r="O35" s="110">
        <f t="shared" si="105"/>
        <v>0</v>
      </c>
      <c r="P35" s="50" t="str">
        <f t="shared" si="106"/>
        <v/>
      </c>
      <c r="Q35" s="52"/>
      <c r="R35" s="50" t="str">
        <f t="shared" si="107"/>
        <v/>
      </c>
      <c r="S35" s="52"/>
      <c r="T35" s="52"/>
      <c r="U35" s="149">
        <f t="shared" si="35"/>
        <v>0</v>
      </c>
      <c r="V35" s="150">
        <f t="shared" si="108"/>
        <v>0</v>
      </c>
      <c r="W35" s="50"/>
      <c r="X35" s="49" t="str">
        <f>IF(ISNA(INDEX('Conversion Factors'!$B$6:$B$370,MATCH('June 16 - June 30'!$Z$30:$Z$36,'Conversion Factors'!$A$6:$A$370,0))),"",INDEX('Conversion Factors'!$B$6:$B$370,MATCH('June 16 - June 30'!$Z$30:$Z$36,'Conversion Factors'!$A$6:$A$370,0)))</f>
        <v/>
      </c>
      <c r="Z35" s="17" t="str">
        <f t="shared" si="81"/>
        <v/>
      </c>
      <c r="AA35" s="57" t="str">
        <f t="shared" si="82"/>
        <v/>
      </c>
      <c r="AB35" s="57" t="str">
        <f t="shared" si="83"/>
        <v/>
      </c>
      <c r="AH35" s="71">
        <f t="shared" si="84"/>
        <v>0</v>
      </c>
      <c r="AI35" s="68">
        <f>IF(AH35&gt;$AI$12,AH35-($AI$12+AI34+AI33+AI32+AI31+AI30+AI29),0)</f>
        <v>0</v>
      </c>
      <c r="AJ35" s="145" t="b">
        <f t="shared" si="85"/>
        <v>0</v>
      </c>
      <c r="AK35" s="151" t="b">
        <f t="shared" si="109"/>
        <v>0</v>
      </c>
      <c r="AM35" s="147">
        <f t="shared" si="86"/>
        <v>0</v>
      </c>
      <c r="AO35" s="162">
        <f t="shared" si="87"/>
        <v>0</v>
      </c>
      <c r="AP35" s="162">
        <f t="shared" si="88"/>
        <v>0</v>
      </c>
      <c r="AQ35" s="153">
        <f t="shared" si="89"/>
        <v>0</v>
      </c>
      <c r="AR35" s="162">
        <f t="shared" si="90"/>
        <v>0</v>
      </c>
      <c r="AS35" s="154">
        <f t="shared" si="91"/>
        <v>0</v>
      </c>
      <c r="AT35" s="154">
        <f t="shared" ref="AT35:AT36" si="119">IF(AND(AH34&lt;=40),40-AH34,0)</f>
        <v>40</v>
      </c>
      <c r="AU35" s="155">
        <f t="shared" si="111"/>
        <v>0</v>
      </c>
      <c r="AV35" s="156">
        <f t="shared" si="92"/>
        <v>0</v>
      </c>
      <c r="AW35" s="157">
        <f t="shared" si="112"/>
        <v>0</v>
      </c>
      <c r="AY35" s="157">
        <f t="shared" si="93"/>
        <v>0</v>
      </c>
      <c r="AZ35" s="152">
        <f t="shared" si="94"/>
        <v>0</v>
      </c>
      <c r="BA35" s="152">
        <f t="shared" si="95"/>
        <v>0</v>
      </c>
      <c r="BB35" s="158">
        <f t="shared" si="96"/>
        <v>0</v>
      </c>
      <c r="BC35" s="152">
        <f t="shared" si="97"/>
        <v>0</v>
      </c>
      <c r="BD35" s="154">
        <f t="shared" si="98"/>
        <v>0</v>
      </c>
      <c r="BE35" s="154">
        <f t="shared" si="115"/>
        <v>40</v>
      </c>
      <c r="BF35" s="159">
        <f t="shared" si="113"/>
        <v>0</v>
      </c>
      <c r="BG35" s="160"/>
      <c r="BH35" s="160">
        <f t="shared" si="116"/>
        <v>0</v>
      </c>
      <c r="BI35" s="161">
        <f t="shared" si="99"/>
        <v>40</v>
      </c>
      <c r="BJ35" s="161">
        <f t="shared" si="100"/>
        <v>0</v>
      </c>
      <c r="BK35" s="161">
        <f t="shared" si="101"/>
        <v>0</v>
      </c>
      <c r="BL35" s="161">
        <f>SUM(E30:E35)</f>
        <v>0</v>
      </c>
      <c r="BM35" s="160">
        <f t="shared" si="114"/>
        <v>0</v>
      </c>
      <c r="BN35" s="161">
        <f t="shared" si="117"/>
        <v>0</v>
      </c>
      <c r="BO35" s="161">
        <f t="shared" si="118"/>
        <v>0</v>
      </c>
      <c r="BP35" s="161">
        <f>IF(AND(BM35=1,BL35&gt;40,J35&lt;=K35),J35-BO35,IF(AND(BM35=1,BL35&gt;0,J35&gt;K35),K35-BO35,0))</f>
        <v>0</v>
      </c>
      <c r="BQ35" s="160"/>
    </row>
    <row r="36" spans="1:69" ht="15" customHeight="1" thickBot="1">
      <c r="A36" s="225" t="b">
        <f t="shared" si="104"/>
        <v>0</v>
      </c>
      <c r="B36" s="226"/>
      <c r="C36" s="227"/>
      <c r="D36" s="32" t="s">
        <v>29</v>
      </c>
      <c r="E36" s="52"/>
      <c r="F36" s="52"/>
      <c r="G36" s="77"/>
      <c r="H36" s="52"/>
      <c r="I36" s="52"/>
      <c r="J36" s="108"/>
      <c r="K36" s="108"/>
      <c r="L36" s="109"/>
      <c r="M36" s="52"/>
      <c r="N36" s="52"/>
      <c r="O36" s="110">
        <f t="shared" si="105"/>
        <v>0</v>
      </c>
      <c r="P36" s="50" t="str">
        <f t="shared" si="106"/>
        <v/>
      </c>
      <c r="Q36" s="52"/>
      <c r="R36" s="50" t="str">
        <f t="shared" si="107"/>
        <v/>
      </c>
      <c r="S36" s="52"/>
      <c r="T36" s="52"/>
      <c r="U36" s="149">
        <f t="shared" si="35"/>
        <v>0</v>
      </c>
      <c r="V36" s="150">
        <f t="shared" si="108"/>
        <v>0</v>
      </c>
      <c r="W36" s="50"/>
      <c r="X36" s="49" t="str">
        <f>IF(ISNA(INDEX('Conversion Factors'!$B$6:$B$370,MATCH('June 16 - June 30'!$Z$30:$Z$36,'Conversion Factors'!$A$6:$A$370,0))),"",INDEX('Conversion Factors'!$B$6:$B$370,MATCH('June 16 - June 30'!$Z$30:$Z$36,'Conversion Factors'!$A$6:$A$370,0)))</f>
        <v/>
      </c>
      <c r="Z36" s="17" t="b">
        <f t="shared" si="81"/>
        <v>0</v>
      </c>
      <c r="AA36" s="57" t="str">
        <f t="shared" si="82"/>
        <v/>
      </c>
      <c r="AB36" s="57" t="str">
        <f t="shared" si="83"/>
        <v/>
      </c>
      <c r="AH36" s="71">
        <f t="shared" si="84"/>
        <v>0</v>
      </c>
      <c r="AI36" s="68">
        <f>IF(AH36&gt;$AI$12,AH36-($AI$12+AI35+AI34+AI33+AI32+AI31+AI30+AI29),0)</f>
        <v>0</v>
      </c>
      <c r="AJ36" s="145" t="b">
        <f t="shared" si="85"/>
        <v>0</v>
      </c>
      <c r="AK36" s="151" t="b">
        <f t="shared" si="109"/>
        <v>0</v>
      </c>
      <c r="AM36" s="147">
        <f t="shared" si="86"/>
        <v>0</v>
      </c>
      <c r="AO36" s="163">
        <f t="shared" si="87"/>
        <v>0</v>
      </c>
      <c r="AP36" s="163">
        <f t="shared" si="88"/>
        <v>0</v>
      </c>
      <c r="AQ36" s="153">
        <f t="shared" si="89"/>
        <v>0</v>
      </c>
      <c r="AR36" s="163">
        <f t="shared" si="90"/>
        <v>0</v>
      </c>
      <c r="AS36" s="154">
        <f t="shared" si="91"/>
        <v>0</v>
      </c>
      <c r="AT36" s="154">
        <f t="shared" si="119"/>
        <v>40</v>
      </c>
      <c r="AU36" s="155">
        <f t="shared" si="111"/>
        <v>0</v>
      </c>
      <c r="AV36" s="156">
        <f t="shared" si="92"/>
        <v>0</v>
      </c>
      <c r="AW36" s="157">
        <f t="shared" si="112"/>
        <v>0</v>
      </c>
      <c r="AY36" s="157">
        <f t="shared" si="93"/>
        <v>0</v>
      </c>
      <c r="AZ36" s="152">
        <f t="shared" si="94"/>
        <v>0</v>
      </c>
      <c r="BA36" s="152">
        <f t="shared" si="95"/>
        <v>0</v>
      </c>
      <c r="BB36" s="158">
        <f t="shared" si="96"/>
        <v>0</v>
      </c>
      <c r="BC36" s="152">
        <f t="shared" si="97"/>
        <v>0</v>
      </c>
      <c r="BD36" s="154">
        <f t="shared" si="98"/>
        <v>0</v>
      </c>
      <c r="BE36" s="154">
        <f t="shared" si="115"/>
        <v>40</v>
      </c>
      <c r="BF36" s="159">
        <f t="shared" si="113"/>
        <v>0</v>
      </c>
      <c r="BG36" s="160"/>
      <c r="BH36" s="160">
        <f t="shared" si="116"/>
        <v>0</v>
      </c>
      <c r="BI36" s="161">
        <f t="shared" si="99"/>
        <v>40</v>
      </c>
      <c r="BJ36" s="161">
        <f t="shared" si="100"/>
        <v>0</v>
      </c>
      <c r="BK36" s="161">
        <f t="shared" si="101"/>
        <v>0</v>
      </c>
      <c r="BL36" s="161">
        <f>SUM(E30:E36)</f>
        <v>0</v>
      </c>
      <c r="BM36" s="160">
        <f t="shared" si="114"/>
        <v>0</v>
      </c>
      <c r="BN36" s="161">
        <f t="shared" si="117"/>
        <v>0</v>
      </c>
      <c r="BO36" s="161">
        <f t="shared" si="118"/>
        <v>0</v>
      </c>
      <c r="BP36" s="161">
        <f>IF(AND(BM36=1,BL36&gt;40,J36&lt;=K36),J36-BO36,IF(AND(BM36=1,BL36&gt;0,J36&gt;K36),K36-BO36,0))</f>
        <v>0</v>
      </c>
      <c r="BQ36" s="160"/>
    </row>
    <row r="37" spans="1:69" ht="15" customHeight="1" thickTop="1" thickBot="1">
      <c r="A37" s="228" t="s">
        <v>31</v>
      </c>
      <c r="B37" s="229"/>
      <c r="C37" s="230"/>
      <c r="D37" s="48"/>
      <c r="E37" s="34">
        <f t="shared" ref="E37:N37" si="120">SUM(E30:E36)</f>
        <v>0</v>
      </c>
      <c r="F37" s="34">
        <f t="shared" si="120"/>
        <v>0</v>
      </c>
      <c r="G37" s="76">
        <f t="shared" si="120"/>
        <v>0</v>
      </c>
      <c r="H37" s="34">
        <f t="shared" si="120"/>
        <v>0</v>
      </c>
      <c r="I37" s="34">
        <f t="shared" si="120"/>
        <v>0</v>
      </c>
      <c r="J37" s="74"/>
      <c r="K37" s="74">
        <f t="shared" si="120"/>
        <v>0</v>
      </c>
      <c r="L37" s="34">
        <f t="shared" si="120"/>
        <v>0</v>
      </c>
      <c r="M37" s="34">
        <f t="shared" si="120"/>
        <v>0</v>
      </c>
      <c r="N37" s="34">
        <f t="shared" si="120"/>
        <v>0</v>
      </c>
      <c r="O37" s="34">
        <f>SUM(O30:O36)</f>
        <v>0</v>
      </c>
      <c r="P37" s="89">
        <f>-SUM(P30:P36)</f>
        <v>0</v>
      </c>
      <c r="Q37" s="34">
        <f>SUM(Q30:Q36)</f>
        <v>0</v>
      </c>
      <c r="R37" s="46">
        <f>SUM(R30:R36)</f>
        <v>0</v>
      </c>
      <c r="S37" s="34">
        <f>IF(E37&gt;40,(E37-40)-V37,0)</f>
        <v>0</v>
      </c>
      <c r="T37" s="34">
        <f>MROUND(AL37,0.25)</f>
        <v>0</v>
      </c>
      <c r="U37" s="164">
        <f>SUM(U30:U36)</f>
        <v>0</v>
      </c>
      <c r="V37" s="165">
        <f>SUM(V30:V36)</f>
        <v>0</v>
      </c>
      <c r="W37" s="44">
        <f>IF(E37-(E11-(G37+K37+F37+H37+I37+L37+M3))-(S37+U37+V37)&gt;0,E37-(E11-(G37+K37+F37+H37+I37+L37+M37))-(S37+U37+V37),0)</f>
        <v>0</v>
      </c>
      <c r="X37" s="34"/>
      <c r="Z37" s="85"/>
      <c r="AA37" s="85"/>
      <c r="AB37" s="85"/>
      <c r="AC37" s="80">
        <f>SUM(F37:N37)</f>
        <v>0</v>
      </c>
      <c r="AD37" s="81">
        <f>IF(AND(AG37&lt;40,O37&gt;=AG37),O37-(AG37+S37),IF(AND(O37&lt;AG37,E37=O37),O37-E37,IF(AND(E37&gt;AG37,E37&lt;40),E37-AG37,IF(AND(O37&gt;AG37,E37&lt;AG37),E37-(AG37-AC37),IF(AND(O37&gt;AG37,E37&gt;40),E37-(AG37-AC37+S37),IF(AND(O37&gt;AG37,O37&gt;40),O37-(S37+AG37),0))))))</f>
        <v>0</v>
      </c>
      <c r="AE37" s="166">
        <f>AD37-U37-V37</f>
        <v>0</v>
      </c>
      <c r="AF37" s="79" t="str">
        <f>$W$11</f>
        <v>Yes</v>
      </c>
      <c r="AG37" s="82">
        <f>$E$11</f>
        <v>40</v>
      </c>
      <c r="AH37" s="83"/>
      <c r="AI37" s="84">
        <f>IF(AH37&gt;$AI$12,-$AI$12,0)</f>
        <v>0</v>
      </c>
      <c r="AJ37" s="80"/>
      <c r="AK37" s="79"/>
      <c r="AL37" s="34">
        <f>IF(AF37="Yes",S37*1.5,0)</f>
        <v>0</v>
      </c>
      <c r="BG37" s="160"/>
      <c r="BH37" s="160">
        <f t="shared" si="116"/>
        <v>0</v>
      </c>
      <c r="BI37" s="161"/>
      <c r="BJ37" s="161"/>
      <c r="BK37" s="161"/>
      <c r="BL37" s="161"/>
      <c r="BM37" s="160"/>
      <c r="BN37" s="161"/>
      <c r="BO37" s="161"/>
      <c r="BP37" s="161">
        <f>SUM(BP30:BP36)</f>
        <v>0</v>
      </c>
      <c r="BQ37" s="161">
        <f>U37+E11</f>
        <v>40</v>
      </c>
    </row>
    <row r="38" spans="1:6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149">
        <f t="shared" si="35"/>
        <v>0</v>
      </c>
      <c r="V38" s="150">
        <f>IF(BK38&gt;0,BK38,0)</f>
        <v>0</v>
      </c>
      <c r="W38" s="50"/>
      <c r="X38" s="49" t="str">
        <f>IF(ISNA(INDEX('Conversion Factors'!$B$6:$B$370,MATCH('June 16 - June 30'!$Z$38:$Z$44,'Conversion Factors'!$A$6:$A$370,0))),"",INDEX('Conversion Factors'!$B$6:$B$370,MATCH('June 16 - June 30'!$Z$38:$Z$44,'Conversion Factors'!$A$6:$A$370,0)))</f>
        <v/>
      </c>
      <c r="Z38" s="17" t="b">
        <f t="shared" ref="Z38:Z44" si="121">A38</f>
        <v>0</v>
      </c>
      <c r="AA38" s="57" t="str">
        <f t="shared" ref="AA38:AA44" si="122">IF(AND(ISNUMBER(N38),ISNUMBER($Z$12)),N38/$Z$12,"")</f>
        <v/>
      </c>
      <c r="AB38" s="57" t="str">
        <f t="shared" ref="AB38:AB44" si="123">IF(AND(ISNUMBER(Q38),ISNUMBER($Z$12)),Q38/$Z$12,"")</f>
        <v/>
      </c>
      <c r="AC38" s="58"/>
      <c r="AD38" s="59"/>
      <c r="AE38" s="58"/>
      <c r="AF38" s="58"/>
      <c r="AG38" s="64"/>
      <c r="AH38" s="71">
        <f t="shared" ref="AH38:AH44" si="124">E38+AH37</f>
        <v>0</v>
      </c>
      <c r="AI38" s="68">
        <f>IF(AH38&gt;$AI$12,AH38-($AI$12+AI37),0)</f>
        <v>0</v>
      </c>
      <c r="AJ38" s="145" t="b">
        <f t="shared" ref="AJ38:AJ44" si="125">IF(AND(AZ38&gt;0,AZ38),IF(BA38&gt;0,BA38,IF(BB38&gt;0,BB38,IF(BC38&gt;0,BC38,IF(BF38&gt;0,BF38,"")))))</f>
        <v>0</v>
      </c>
      <c r="AK38" s="151" t="b">
        <f>IF(AND(AO38&gt;0,AO38),IF(AP38&gt;0,AP38,IF(AQ38&gt;0,AQ38,IF(AR38&gt;0,AR38,IF(AU38&gt;0,AU38,"")))))</f>
        <v>0</v>
      </c>
      <c r="AM38" s="147">
        <f t="shared" ref="AM38:AM44" si="126">J38</f>
        <v>0</v>
      </c>
      <c r="AO38" s="152">
        <f t="shared" ref="AO38:AO44" si="127">IF(G38=0,0,"")</f>
        <v>0</v>
      </c>
      <c r="AP38" s="152">
        <f t="shared" ref="AP38:AP44" si="128">IF(AND(AH38&lt;=40,E38=G38),G38,0)</f>
        <v>0</v>
      </c>
      <c r="AQ38" s="153">
        <f t="shared" ref="AQ38:AQ44" si="129">IF(AND(AH38&lt;=40,E38&gt;=G38,G38&gt;0),O38-E38,0)</f>
        <v>0</v>
      </c>
      <c r="AR38" s="152">
        <f t="shared" ref="AR38:AR44" si="130">IF(AND(AH38&lt;=40,E38&lt;G38),O38-G38,0)</f>
        <v>0</v>
      </c>
      <c r="AS38" s="154">
        <f t="shared" ref="AS38:AS44" si="131">IF(AND(G38=0),G38,IF(AND(G38&gt;0,AI38&gt;0,G38=AT38),AT38,IF(AND(G38&gt;0,AI38&gt;0,G38-AT38),AT38,0)))</f>
        <v>0</v>
      </c>
      <c r="AT38" s="154"/>
      <c r="AU38" s="155">
        <f>AS38</f>
        <v>0</v>
      </c>
      <c r="AV38" s="156">
        <f t="shared" ref="AV38:AV44" si="132">IF(AND(AH37+AU38=40,AI38&gt;0,AI38&gt;AU38),AI38-AU38,IF(AND(AH37+AU38=40,AI38&gt;0,AI38&lt;AU38,AU38+AI38=G38),AI38,IF(AND(AH37&gt;40,AH38&gt;40,G38=AI38),AI38,0)))</f>
        <v>0</v>
      </c>
      <c r="AW38" s="157">
        <f>AV38</f>
        <v>0</v>
      </c>
      <c r="AY38" s="157">
        <f t="shared" ref="AY38:AY44" si="133">IF(AND(J38&gt;0,AI38&gt;=J38,BB38=0),O38-AI38,IF(AND(J38&gt;0,AI38&gt;0,BB38&lt;=AI38),AI38-BB38,IF(AND(J38&gt;0,AI38&gt;0,BB38&gt;AI38),J38-BB38,0)))</f>
        <v>0</v>
      </c>
      <c r="AZ38" s="152">
        <f t="shared" ref="AZ38:AZ44" si="134">IF(J38=0,0,"")</f>
        <v>0</v>
      </c>
      <c r="BA38" s="152">
        <f t="shared" ref="BA38:BA44" si="135">IF(AND(AH38&lt;=40,E38=J38),J38,0)</f>
        <v>0</v>
      </c>
      <c r="BB38" s="158">
        <f t="shared" ref="BB38:BB44" si="136">IF(AND(AZ38=0),AZ38,IF(AND(AH38&gt;40,E38&gt;=J38),BE38,IF(AND(AH38&lt;=40,E38&gt;J38),J38,0)))</f>
        <v>0</v>
      </c>
      <c r="BC38" s="152">
        <f t="shared" ref="BC38:BC44" si="137">IF(AND(AH38&lt;=40,E38&lt;J38),O38-J38,0)</f>
        <v>0</v>
      </c>
      <c r="BD38" s="154">
        <f t="shared" ref="BD38:BD44" si="138">IF(AND(J38=0),J38,IF(AND(J38&gt;0,AI38&gt;0,J38=BC38),BC38,IF(AND(J38&gt;0,AI38&gt;0,J38-BC38),BC38,0)))</f>
        <v>0</v>
      </c>
      <c r="BE38" s="154"/>
      <c r="BF38" s="159">
        <f>BD38</f>
        <v>0</v>
      </c>
      <c r="BG38" s="160"/>
      <c r="BH38" s="160">
        <f>IF(AND(G38&gt;0,E38&gt;0),1,0)</f>
        <v>0</v>
      </c>
      <c r="BI38" s="161">
        <f t="shared" ref="BI38:BI44" si="139">40-AH38</f>
        <v>40</v>
      </c>
      <c r="BJ38" s="161">
        <f t="shared" ref="BJ38:BJ44" si="140">IF(AND(BH38=1,40-BL37&gt;0,40-BL37&lt;8),40-BL37,IF(AND(E38&lt;G38),E38,G38))</f>
        <v>0</v>
      </c>
      <c r="BK38" s="161">
        <f t="shared" ref="BK38:BK44" si="141">IF(AND(BH38=1,BL38&gt;40,E38&lt;G38),E38-BJ38,(IF(AND(BH38=1,BL38&gt;0,E38&gt;=G38),G38-BJ38,0)))</f>
        <v>0</v>
      </c>
      <c r="BL38" s="161">
        <f>E38</f>
        <v>0</v>
      </c>
      <c r="BM38" s="160">
        <f>IF(AND(K38&gt;0,E38&gt;0),1,0)</f>
        <v>0</v>
      </c>
      <c r="BN38" s="161">
        <f>IF(AND(BM38=1,J38&gt;8),K38,(IF(AND(BM38=1,J38&gt;0),J38,0)))</f>
        <v>0</v>
      </c>
      <c r="BO38" s="161">
        <f t="shared" ref="BO38:BO39" si="142">IF(AND(BM38=1,40-BL37&gt;0,40-BL37&lt;8),40-BL37,IF(AND(J38&lt;K38),J38,K38))</f>
        <v>0</v>
      </c>
      <c r="BP38" s="161">
        <f t="shared" ref="BP38:BP42" si="143">IF(AND(BM38=1,BL38&gt;40,J38&lt;=K38),J38-BO38,IF(AND(BM38=1,BL38&gt;0,J38&gt;K38),K38-BO38,0))</f>
        <v>0</v>
      </c>
      <c r="BQ38" s="160"/>
    </row>
    <row r="39" spans="1:69" ht="15" customHeight="1">
      <c r="A39" s="225" t="b">
        <f t="shared" ref="A39:A44" si="144">IF(A38&lt;$O$7,A38+1,IF(A38=$O$7,""))</f>
        <v>0</v>
      </c>
      <c r="B39" s="226"/>
      <c r="C39" s="227"/>
      <c r="D39" s="32" t="s">
        <v>24</v>
      </c>
      <c r="E39" s="52"/>
      <c r="F39" s="52"/>
      <c r="G39" s="77"/>
      <c r="H39" s="52"/>
      <c r="I39" s="52"/>
      <c r="J39" s="108"/>
      <c r="K39" s="108"/>
      <c r="L39" s="109"/>
      <c r="M39" s="52"/>
      <c r="N39" s="52"/>
      <c r="O39" s="110">
        <f>SUM(E39:N39)-J39</f>
        <v>0</v>
      </c>
      <c r="P39" s="50" t="str">
        <f t="shared" ref="P39:P44" si="145">IF(AND(ISNUMBER(AA39),ISNUMBER(X39)),AA39*X39,"")</f>
        <v/>
      </c>
      <c r="Q39" s="52"/>
      <c r="R39" s="50" t="str">
        <f t="shared" ref="R39:R44" si="146">IF(AND(ISNUMBER(AB39),ISNUMBER(X39)),AB39*X39,"")</f>
        <v/>
      </c>
      <c r="S39" s="52"/>
      <c r="T39" s="52"/>
      <c r="U39" s="149">
        <f t="shared" si="35"/>
        <v>0</v>
      </c>
      <c r="V39" s="150">
        <f t="shared" ref="V39:V44" si="147">IF(BK39&gt;0,BK39,0)</f>
        <v>0</v>
      </c>
      <c r="W39" s="50"/>
      <c r="X39" s="49" t="str">
        <f>IF(ISNA(INDEX('Conversion Factors'!$B$6:$B$370,MATCH('June 16 - June 30'!$Z$38:$Z$44,'Conversion Factors'!$A$6:$A$370,0))),"",INDEX('Conversion Factors'!$B$6:$B$370,MATCH('June 16 - June 30'!$Z$38:$Z$44,'Conversion Factors'!$A$6:$A$370,0)))</f>
        <v/>
      </c>
      <c r="Z39" s="17" t="b">
        <f t="shared" si="121"/>
        <v>0</v>
      </c>
      <c r="AA39" s="57" t="str">
        <f t="shared" si="122"/>
        <v/>
      </c>
      <c r="AB39" s="57" t="str">
        <f t="shared" si="123"/>
        <v/>
      </c>
      <c r="AH39" s="71">
        <f t="shared" si="124"/>
        <v>0</v>
      </c>
      <c r="AI39" s="68">
        <f>IF(AH39&gt;$AI$12,AH39-($AI$12+AI38+AI37),0)</f>
        <v>0</v>
      </c>
      <c r="AJ39" s="145" t="b">
        <f t="shared" si="125"/>
        <v>0</v>
      </c>
      <c r="AK39" s="151" t="b">
        <f t="shared" ref="AK39:AK44" si="148">IF(AND(AO39&gt;0,AO39),IF(AP39&gt;0,AP39,IF(AQ39&gt;0,AQ39,IF(AR39&gt;0,AR39,IF(AU39&gt;0,AU39,0)))))</f>
        <v>0</v>
      </c>
      <c r="AM39" s="147">
        <f t="shared" si="126"/>
        <v>0</v>
      </c>
      <c r="AO39" s="162">
        <f t="shared" si="127"/>
        <v>0</v>
      </c>
      <c r="AP39" s="162">
        <f t="shared" si="128"/>
        <v>0</v>
      </c>
      <c r="AQ39" s="153">
        <f t="shared" si="129"/>
        <v>0</v>
      </c>
      <c r="AR39" s="162">
        <f t="shared" si="130"/>
        <v>0</v>
      </c>
      <c r="AS39" s="154">
        <f t="shared" si="131"/>
        <v>0</v>
      </c>
      <c r="AT39" s="154">
        <f t="shared" ref="AT39:AT41" si="149">IF(AND(AH38&lt;=40),40-AH38,0)</f>
        <v>40</v>
      </c>
      <c r="AU39" s="155">
        <f t="shared" ref="AU39:AU44" si="150">AS39</f>
        <v>0</v>
      </c>
      <c r="AV39" s="156">
        <f t="shared" si="132"/>
        <v>0</v>
      </c>
      <c r="AW39" s="157">
        <f t="shared" ref="AW39:AW44" si="151">AV39</f>
        <v>0</v>
      </c>
      <c r="AY39" s="157">
        <f t="shared" si="133"/>
        <v>0</v>
      </c>
      <c r="AZ39" s="152">
        <f t="shared" si="134"/>
        <v>0</v>
      </c>
      <c r="BA39" s="152">
        <f t="shared" si="135"/>
        <v>0</v>
      </c>
      <c r="BB39" s="158">
        <f t="shared" si="136"/>
        <v>0</v>
      </c>
      <c r="BC39" s="152">
        <f t="shared" si="137"/>
        <v>0</v>
      </c>
      <c r="BD39" s="154">
        <f t="shared" si="138"/>
        <v>0</v>
      </c>
      <c r="BE39" s="154">
        <f>IF(AND(AH38&lt;=40),40-AH38,0)</f>
        <v>40</v>
      </c>
      <c r="BF39" s="159">
        <f t="shared" ref="BF39:BF44" si="152">BD39</f>
        <v>0</v>
      </c>
      <c r="BG39" s="160"/>
      <c r="BH39" s="160">
        <f>IF(AND(G39&gt;0,E39&gt;0),1,0)</f>
        <v>0</v>
      </c>
      <c r="BI39" s="161">
        <f t="shared" si="139"/>
        <v>40</v>
      </c>
      <c r="BJ39" s="161">
        <f t="shared" si="140"/>
        <v>0</v>
      </c>
      <c r="BK39" s="161">
        <f t="shared" si="141"/>
        <v>0</v>
      </c>
      <c r="BL39" s="161">
        <f>SUM(E38:E39)</f>
        <v>0</v>
      </c>
      <c r="BM39" s="160">
        <f t="shared" ref="BM39:BM44" si="153">IF(AND(K39&gt;0,E39&gt;0),1,0)</f>
        <v>0</v>
      </c>
      <c r="BN39" s="161">
        <f>IF(AND(BM39=1,J39&gt;8),K39,(IF(AND(BM39=1,J39&gt;0),J39,0)))</f>
        <v>0</v>
      </c>
      <c r="BO39" s="161">
        <f t="shared" si="142"/>
        <v>0</v>
      </c>
      <c r="BP39" s="161">
        <f t="shared" si="143"/>
        <v>0</v>
      </c>
      <c r="BQ39" s="160"/>
    </row>
    <row r="40" spans="1:69" ht="15" customHeight="1">
      <c r="A40" s="225" t="b">
        <f t="shared" si="144"/>
        <v>0</v>
      </c>
      <c r="B40" s="226"/>
      <c r="C40" s="227"/>
      <c r="D40" s="32" t="s">
        <v>25</v>
      </c>
      <c r="E40" s="52"/>
      <c r="F40" s="52"/>
      <c r="G40" s="77"/>
      <c r="H40" s="52"/>
      <c r="I40" s="52"/>
      <c r="J40" s="108">
        <v>0</v>
      </c>
      <c r="K40" s="108">
        <v>0</v>
      </c>
      <c r="L40" s="109"/>
      <c r="M40" s="52"/>
      <c r="N40" s="52"/>
      <c r="O40" s="110">
        <f t="shared" ref="O40:O43" si="154">SUM(E40:N40)-J40</f>
        <v>0</v>
      </c>
      <c r="P40" s="50" t="str">
        <f t="shared" si="145"/>
        <v/>
      </c>
      <c r="Q40" s="52"/>
      <c r="R40" s="50" t="str">
        <f t="shared" si="146"/>
        <v/>
      </c>
      <c r="S40" s="52"/>
      <c r="T40" s="52"/>
      <c r="U40" s="149">
        <f t="shared" si="35"/>
        <v>0</v>
      </c>
      <c r="V40" s="150">
        <f t="shared" si="147"/>
        <v>0</v>
      </c>
      <c r="W40" s="50"/>
      <c r="X40" s="49" t="str">
        <f>IF(ISNA(INDEX('Conversion Factors'!$B$6:$B$370,MATCH('June 16 - June 30'!$Z$38:$Z$44,'Conversion Factors'!$A$6:$A$370,0))),"",INDEX('Conversion Factors'!$B$6:$B$370,MATCH('June 16 - June 30'!$Z$38:$Z$44,'Conversion Factors'!$A$6:$A$370,0)))</f>
        <v/>
      </c>
      <c r="Z40" s="17" t="b">
        <f t="shared" si="121"/>
        <v>0</v>
      </c>
      <c r="AA40" s="57" t="str">
        <f t="shared" si="122"/>
        <v/>
      </c>
      <c r="AB40" s="57" t="str">
        <f t="shared" si="123"/>
        <v/>
      </c>
      <c r="AG40" s="1"/>
      <c r="AH40" s="71">
        <f t="shared" si="124"/>
        <v>0</v>
      </c>
      <c r="AI40" s="68">
        <f>IF(AH40&gt;$AI$12,AH40-($AI$12+AI39+AI38+AI37),0)</f>
        <v>0</v>
      </c>
      <c r="AJ40" s="145" t="b">
        <f t="shared" si="125"/>
        <v>0</v>
      </c>
      <c r="AK40" s="151" t="b">
        <f t="shared" si="148"/>
        <v>0</v>
      </c>
      <c r="AM40" s="147">
        <f t="shared" si="126"/>
        <v>0</v>
      </c>
      <c r="AO40" s="162">
        <f t="shared" si="127"/>
        <v>0</v>
      </c>
      <c r="AP40" s="162">
        <f t="shared" si="128"/>
        <v>0</v>
      </c>
      <c r="AQ40" s="153">
        <f t="shared" si="129"/>
        <v>0</v>
      </c>
      <c r="AR40" s="162">
        <f t="shared" si="130"/>
        <v>0</v>
      </c>
      <c r="AS40" s="154">
        <f t="shared" si="131"/>
        <v>0</v>
      </c>
      <c r="AT40" s="154">
        <f t="shared" si="149"/>
        <v>40</v>
      </c>
      <c r="AU40" s="155">
        <f t="shared" si="150"/>
        <v>0</v>
      </c>
      <c r="AV40" s="156">
        <f t="shared" si="132"/>
        <v>0</v>
      </c>
      <c r="AW40" s="157">
        <f t="shared" si="151"/>
        <v>0</v>
      </c>
      <c r="AY40" s="157">
        <f t="shared" si="133"/>
        <v>0</v>
      </c>
      <c r="AZ40" s="152">
        <f t="shared" si="134"/>
        <v>0</v>
      </c>
      <c r="BA40" s="152">
        <f t="shared" si="135"/>
        <v>0</v>
      </c>
      <c r="BB40" s="158">
        <f t="shared" si="136"/>
        <v>0</v>
      </c>
      <c r="BC40" s="152">
        <f t="shared" si="137"/>
        <v>0</v>
      </c>
      <c r="BD40" s="154">
        <f t="shared" si="138"/>
        <v>0</v>
      </c>
      <c r="BE40" s="154">
        <f t="shared" ref="BE40:BE44" si="155">IF(AND(AH39&lt;=40),40-AH39,0)</f>
        <v>40</v>
      </c>
      <c r="BF40" s="159">
        <f t="shared" si="152"/>
        <v>0</v>
      </c>
      <c r="BG40" s="160"/>
      <c r="BH40" s="160">
        <f>IF(AND(G40&gt;0,E40&gt;0),1,0)</f>
        <v>0</v>
      </c>
      <c r="BI40" s="161">
        <f t="shared" si="139"/>
        <v>40</v>
      </c>
      <c r="BJ40" s="161">
        <f t="shared" si="140"/>
        <v>0</v>
      </c>
      <c r="BK40" s="161">
        <f t="shared" si="141"/>
        <v>0</v>
      </c>
      <c r="BL40" s="161">
        <f>SUM(E38:E40)</f>
        <v>0</v>
      </c>
      <c r="BM40" s="160">
        <f t="shared" si="153"/>
        <v>0</v>
      </c>
      <c r="BN40" s="161">
        <f>IF(AND(BM40=1,J40&gt;8),K40,(IF(AND(BM40=1,J40&gt;0),J40,0)))</f>
        <v>0</v>
      </c>
      <c r="BO40" s="161">
        <f>IF(AND(BM40=1,40-BL39&gt;0,40-BL39&lt;8),40-BL39,IF(AND(J40&lt;K40),J40,K40))</f>
        <v>0</v>
      </c>
      <c r="BP40" s="161">
        <f t="shared" si="143"/>
        <v>0</v>
      </c>
      <c r="BQ40" s="160"/>
    </row>
    <row r="41" spans="1:69" ht="15" customHeight="1">
      <c r="A41" s="225" t="b">
        <f t="shared" si="144"/>
        <v>0</v>
      </c>
      <c r="B41" s="226"/>
      <c r="C41" s="227"/>
      <c r="D41" s="32" t="s">
        <v>26</v>
      </c>
      <c r="E41" s="52"/>
      <c r="F41" s="52"/>
      <c r="G41" s="77"/>
      <c r="H41" s="52"/>
      <c r="I41" s="52"/>
      <c r="J41" s="108"/>
      <c r="K41" s="108"/>
      <c r="L41" s="109"/>
      <c r="M41" s="52"/>
      <c r="N41" s="52"/>
      <c r="O41" s="110">
        <f t="shared" si="154"/>
        <v>0</v>
      </c>
      <c r="P41" s="50" t="str">
        <f t="shared" si="145"/>
        <v/>
      </c>
      <c r="Q41" s="52"/>
      <c r="R41" s="50" t="str">
        <f t="shared" si="146"/>
        <v/>
      </c>
      <c r="S41" s="52"/>
      <c r="T41" s="52"/>
      <c r="U41" s="149">
        <f t="shared" si="35"/>
        <v>0</v>
      </c>
      <c r="V41" s="150">
        <f t="shared" si="147"/>
        <v>0</v>
      </c>
      <c r="W41" s="50"/>
      <c r="X41" s="49" t="str">
        <f>IF(ISNA(INDEX('Conversion Factors'!$B$6:$B$370,MATCH('June 16 - June 30'!$Z$38:$Z$44,'Conversion Factors'!$A$6:$A$370,0))),"",INDEX('Conversion Factors'!$B$6:$B$370,MATCH('June 16 - June 30'!$Z$38:$Z$44,'Conversion Factors'!$A$6:$A$370,0)))</f>
        <v/>
      </c>
      <c r="Z41" s="17" t="b">
        <f t="shared" si="121"/>
        <v>0</v>
      </c>
      <c r="AA41" s="57" t="str">
        <f t="shared" si="122"/>
        <v/>
      </c>
      <c r="AB41" s="57" t="str">
        <f t="shared" si="123"/>
        <v/>
      </c>
      <c r="AG41" s="1"/>
      <c r="AH41" s="71">
        <f t="shared" si="124"/>
        <v>0</v>
      </c>
      <c r="AI41" s="68">
        <f>IF(AH41&gt;$AI$12,AH41-($AI$12+AI40+AI39+AI38+AI37),0)</f>
        <v>0</v>
      </c>
      <c r="AJ41" s="145" t="b">
        <f t="shared" si="125"/>
        <v>0</v>
      </c>
      <c r="AK41" s="151" t="b">
        <f t="shared" si="148"/>
        <v>0</v>
      </c>
      <c r="AM41" s="147">
        <f t="shared" si="126"/>
        <v>0</v>
      </c>
      <c r="AO41" s="162">
        <f t="shared" si="127"/>
        <v>0</v>
      </c>
      <c r="AP41" s="162">
        <f t="shared" si="128"/>
        <v>0</v>
      </c>
      <c r="AQ41" s="153">
        <f t="shared" si="129"/>
        <v>0</v>
      </c>
      <c r="AR41" s="162">
        <f t="shared" si="130"/>
        <v>0</v>
      </c>
      <c r="AS41" s="154">
        <f t="shared" si="131"/>
        <v>0</v>
      </c>
      <c r="AT41" s="154">
        <f t="shared" si="149"/>
        <v>40</v>
      </c>
      <c r="AU41" s="155">
        <f t="shared" si="150"/>
        <v>0</v>
      </c>
      <c r="AV41" s="156">
        <f t="shared" si="132"/>
        <v>0</v>
      </c>
      <c r="AW41" s="157">
        <f t="shared" si="151"/>
        <v>0</v>
      </c>
      <c r="AY41" s="157">
        <f t="shared" si="133"/>
        <v>0</v>
      </c>
      <c r="AZ41" s="152">
        <f t="shared" si="134"/>
        <v>0</v>
      </c>
      <c r="BA41" s="152">
        <f t="shared" si="135"/>
        <v>0</v>
      </c>
      <c r="BB41" s="158">
        <f t="shared" si="136"/>
        <v>0</v>
      </c>
      <c r="BC41" s="152">
        <f t="shared" si="137"/>
        <v>0</v>
      </c>
      <c r="BD41" s="154">
        <f t="shared" si="138"/>
        <v>0</v>
      </c>
      <c r="BE41" s="154">
        <f t="shared" si="155"/>
        <v>40</v>
      </c>
      <c r="BF41" s="159">
        <f t="shared" si="152"/>
        <v>0</v>
      </c>
      <c r="BG41" s="160"/>
      <c r="BH41" s="160">
        <f t="shared" ref="BH41:BH44" si="156">IF(AND(G41&gt;0,E41&gt;0),1,0)</f>
        <v>0</v>
      </c>
      <c r="BI41" s="161">
        <f t="shared" si="139"/>
        <v>40</v>
      </c>
      <c r="BJ41" s="161">
        <f t="shared" si="140"/>
        <v>0</v>
      </c>
      <c r="BK41" s="161">
        <f t="shared" si="141"/>
        <v>0</v>
      </c>
      <c r="BL41" s="161">
        <f>SUM(E38:E41)</f>
        <v>0</v>
      </c>
      <c r="BM41" s="160">
        <f t="shared" si="153"/>
        <v>0</v>
      </c>
      <c r="BN41" s="161">
        <f t="shared" ref="BN41:BN44" si="157">IF(AND(BM41=1,J41&gt;8),K41,(IF(AND(BM41=1,J41&gt;0),J41,0)))</f>
        <v>0</v>
      </c>
      <c r="BO41" s="161">
        <f t="shared" ref="BO41:BO44" si="158">IF(AND(BM41=1,40-BL40&gt;0,40-BL40&lt;8),40-BL40,IF(AND(J41&lt;K41),J41,K41))</f>
        <v>0</v>
      </c>
      <c r="BP41" s="161">
        <f t="shared" si="143"/>
        <v>0</v>
      </c>
      <c r="BQ41" s="160"/>
    </row>
    <row r="42" spans="1:69" ht="15" customHeight="1">
      <c r="A42" s="225" t="b">
        <f t="shared" si="144"/>
        <v>0</v>
      </c>
      <c r="B42" s="226"/>
      <c r="C42" s="227"/>
      <c r="D42" s="32" t="s">
        <v>27</v>
      </c>
      <c r="E42" s="52"/>
      <c r="F42" s="52"/>
      <c r="G42" s="77"/>
      <c r="H42" s="52"/>
      <c r="I42" s="52"/>
      <c r="J42" s="108"/>
      <c r="K42" s="108"/>
      <c r="L42" s="109"/>
      <c r="M42" s="52"/>
      <c r="N42" s="52"/>
      <c r="O42" s="110">
        <f t="shared" si="154"/>
        <v>0</v>
      </c>
      <c r="P42" s="50" t="str">
        <f t="shared" si="145"/>
        <v/>
      </c>
      <c r="Q42" s="52"/>
      <c r="R42" s="50" t="str">
        <f t="shared" si="146"/>
        <v/>
      </c>
      <c r="S42" s="52"/>
      <c r="T42" s="52"/>
      <c r="U42" s="149">
        <f t="shared" si="35"/>
        <v>0</v>
      </c>
      <c r="V42" s="150">
        <f t="shared" si="147"/>
        <v>0</v>
      </c>
      <c r="W42" s="50"/>
      <c r="X42" s="49" t="str">
        <f>IF(ISNA(INDEX('Conversion Factors'!$B$6:$B$370,MATCH('June 16 - June 30'!$Z$38:$Z$44,'Conversion Factors'!$A$6:$A$370,0))),"",INDEX('Conversion Factors'!$B$6:$B$370,MATCH('June 16 - June 30'!$Z$38:$Z$44,'Conversion Factors'!$A$6:$A$370,0)))</f>
        <v/>
      </c>
      <c r="Z42" s="17" t="b">
        <f t="shared" si="121"/>
        <v>0</v>
      </c>
      <c r="AA42" s="57" t="str">
        <f t="shared" si="122"/>
        <v/>
      </c>
      <c r="AB42" s="57" t="str">
        <f t="shared" si="123"/>
        <v/>
      </c>
      <c r="AH42" s="71">
        <f t="shared" si="124"/>
        <v>0</v>
      </c>
      <c r="AI42" s="68">
        <f>IF(AH42&gt;$AI$12,AH42-($AI$12+AI41+AI40+AI39+AI38+AI37),0)</f>
        <v>0</v>
      </c>
      <c r="AJ42" s="145" t="b">
        <f t="shared" si="125"/>
        <v>0</v>
      </c>
      <c r="AK42" s="151" t="b">
        <f t="shared" si="148"/>
        <v>0</v>
      </c>
      <c r="AM42" s="147">
        <f t="shared" si="126"/>
        <v>0</v>
      </c>
      <c r="AO42" s="162">
        <f t="shared" si="127"/>
        <v>0</v>
      </c>
      <c r="AP42" s="162">
        <f t="shared" si="128"/>
        <v>0</v>
      </c>
      <c r="AQ42" s="153">
        <f t="shared" si="129"/>
        <v>0</v>
      </c>
      <c r="AR42" s="162">
        <f t="shared" si="130"/>
        <v>0</v>
      </c>
      <c r="AS42" s="154">
        <f t="shared" si="131"/>
        <v>0</v>
      </c>
      <c r="AT42" s="154">
        <f>IF(AND(AH41&lt;=40),40-AH41,0)</f>
        <v>40</v>
      </c>
      <c r="AU42" s="155">
        <f t="shared" si="150"/>
        <v>0</v>
      </c>
      <c r="AV42" s="156">
        <f t="shared" si="132"/>
        <v>0</v>
      </c>
      <c r="AW42" s="157">
        <f t="shared" si="151"/>
        <v>0</v>
      </c>
      <c r="AY42" s="157">
        <f t="shared" si="133"/>
        <v>0</v>
      </c>
      <c r="AZ42" s="152">
        <f t="shared" si="134"/>
        <v>0</v>
      </c>
      <c r="BA42" s="152">
        <f t="shared" si="135"/>
        <v>0</v>
      </c>
      <c r="BB42" s="158">
        <f t="shared" si="136"/>
        <v>0</v>
      </c>
      <c r="BC42" s="152">
        <f t="shared" si="137"/>
        <v>0</v>
      </c>
      <c r="BD42" s="154">
        <f t="shared" si="138"/>
        <v>0</v>
      </c>
      <c r="BE42" s="154">
        <f t="shared" si="155"/>
        <v>40</v>
      </c>
      <c r="BF42" s="159">
        <f t="shared" si="152"/>
        <v>0</v>
      </c>
      <c r="BG42" s="160"/>
      <c r="BH42" s="160">
        <f t="shared" si="156"/>
        <v>0</v>
      </c>
      <c r="BI42" s="161">
        <f t="shared" si="139"/>
        <v>40</v>
      </c>
      <c r="BJ42" s="161">
        <f t="shared" si="140"/>
        <v>0</v>
      </c>
      <c r="BK42" s="161">
        <f t="shared" si="141"/>
        <v>0</v>
      </c>
      <c r="BL42" s="161">
        <f>SUM(E38:E42)</f>
        <v>0</v>
      </c>
      <c r="BM42" s="160">
        <f t="shared" si="153"/>
        <v>0</v>
      </c>
      <c r="BN42" s="161">
        <f t="shared" si="157"/>
        <v>0</v>
      </c>
      <c r="BO42" s="161">
        <f t="shared" si="158"/>
        <v>0</v>
      </c>
      <c r="BP42" s="161">
        <f t="shared" si="143"/>
        <v>0</v>
      </c>
      <c r="BQ42" s="160"/>
    </row>
    <row r="43" spans="1:69" ht="15" customHeight="1">
      <c r="A43" s="225" t="b">
        <f t="shared" si="144"/>
        <v>0</v>
      </c>
      <c r="B43" s="226"/>
      <c r="C43" s="227"/>
      <c r="D43" s="32" t="s">
        <v>28</v>
      </c>
      <c r="E43" s="52"/>
      <c r="F43" s="52"/>
      <c r="G43" s="77"/>
      <c r="H43" s="52"/>
      <c r="I43" s="52"/>
      <c r="J43" s="108"/>
      <c r="K43" s="108"/>
      <c r="L43" s="109"/>
      <c r="M43" s="52"/>
      <c r="N43" s="52"/>
      <c r="O43" s="110">
        <f t="shared" si="154"/>
        <v>0</v>
      </c>
      <c r="P43" s="50" t="str">
        <f t="shared" si="145"/>
        <v/>
      </c>
      <c r="Q43" s="52"/>
      <c r="R43" s="50" t="str">
        <f t="shared" si="146"/>
        <v/>
      </c>
      <c r="S43" s="52"/>
      <c r="T43" s="52"/>
      <c r="U43" s="149">
        <f t="shared" si="35"/>
        <v>0</v>
      </c>
      <c r="V43" s="150">
        <f t="shared" si="147"/>
        <v>0</v>
      </c>
      <c r="W43" s="50"/>
      <c r="X43" s="49" t="str">
        <f>IF(ISNA(INDEX('Conversion Factors'!$B$6:$B$370,MATCH('June 16 - June 30'!$Z$38:$Z$44,'Conversion Factors'!$A$6:$A$370,0))),"",INDEX('Conversion Factors'!$B$6:$B$370,MATCH('June 16 - June 30'!$Z$38:$Z$44,'Conversion Factors'!$A$6:$A$370,0)))</f>
        <v/>
      </c>
      <c r="Z43" s="17" t="b">
        <f t="shared" si="121"/>
        <v>0</v>
      </c>
      <c r="AA43" s="57" t="str">
        <f t="shared" si="122"/>
        <v/>
      </c>
      <c r="AB43" s="57" t="str">
        <f t="shared" si="123"/>
        <v/>
      </c>
      <c r="AH43" s="71">
        <f t="shared" si="124"/>
        <v>0</v>
      </c>
      <c r="AI43" s="68">
        <f>IF(AH43&gt;$AI$12,AH43-($AI$12+AI42+AI41+AI40+AI39+AI38+AI37),0)</f>
        <v>0</v>
      </c>
      <c r="AJ43" s="145" t="b">
        <f t="shared" si="125"/>
        <v>0</v>
      </c>
      <c r="AK43" s="151" t="b">
        <f t="shared" si="148"/>
        <v>0</v>
      </c>
      <c r="AM43" s="147">
        <f t="shared" si="126"/>
        <v>0</v>
      </c>
      <c r="AO43" s="162">
        <f t="shared" si="127"/>
        <v>0</v>
      </c>
      <c r="AP43" s="162">
        <f t="shared" si="128"/>
        <v>0</v>
      </c>
      <c r="AQ43" s="153">
        <f t="shared" si="129"/>
        <v>0</v>
      </c>
      <c r="AR43" s="162">
        <f t="shared" si="130"/>
        <v>0</v>
      </c>
      <c r="AS43" s="154">
        <f t="shared" si="131"/>
        <v>0</v>
      </c>
      <c r="AT43" s="154">
        <f t="shared" ref="AT43:AT44" si="159">IF(AND(AH42&lt;=40),40-AH42,0)</f>
        <v>40</v>
      </c>
      <c r="AU43" s="155">
        <f t="shared" si="150"/>
        <v>0</v>
      </c>
      <c r="AV43" s="156">
        <f t="shared" si="132"/>
        <v>0</v>
      </c>
      <c r="AW43" s="157">
        <f t="shared" si="151"/>
        <v>0</v>
      </c>
      <c r="AY43" s="157">
        <f t="shared" si="133"/>
        <v>0</v>
      </c>
      <c r="AZ43" s="152">
        <f t="shared" si="134"/>
        <v>0</v>
      </c>
      <c r="BA43" s="152">
        <f t="shared" si="135"/>
        <v>0</v>
      </c>
      <c r="BB43" s="158">
        <f t="shared" si="136"/>
        <v>0</v>
      </c>
      <c r="BC43" s="152">
        <f t="shared" si="137"/>
        <v>0</v>
      </c>
      <c r="BD43" s="154">
        <f t="shared" si="138"/>
        <v>0</v>
      </c>
      <c r="BE43" s="154">
        <f t="shared" si="155"/>
        <v>40</v>
      </c>
      <c r="BF43" s="159">
        <f t="shared" si="152"/>
        <v>0</v>
      </c>
      <c r="BG43" s="160"/>
      <c r="BH43" s="160">
        <f t="shared" si="156"/>
        <v>0</v>
      </c>
      <c r="BI43" s="161">
        <f t="shared" si="139"/>
        <v>40</v>
      </c>
      <c r="BJ43" s="161">
        <f t="shared" si="140"/>
        <v>0</v>
      </c>
      <c r="BK43" s="161">
        <f t="shared" si="141"/>
        <v>0</v>
      </c>
      <c r="BL43" s="161">
        <f>SUM(E38:E43)</f>
        <v>0</v>
      </c>
      <c r="BM43" s="160">
        <f t="shared" si="153"/>
        <v>0</v>
      </c>
      <c r="BN43" s="161">
        <f t="shared" si="157"/>
        <v>0</v>
      </c>
      <c r="BO43" s="161">
        <f t="shared" si="158"/>
        <v>0</v>
      </c>
      <c r="BP43" s="161">
        <f>IF(AND(BM43=1,BL43&gt;40,J43&lt;=K43),J43-BO43,IF(AND(BM43=1,BL43&gt;0,J43&gt;K43),K43-BO43,0))</f>
        <v>0</v>
      </c>
      <c r="BQ43" s="160"/>
    </row>
    <row r="44" spans="1:69" ht="15" customHeight="1" thickBot="1">
      <c r="A44" s="231" t="b">
        <f t="shared" si="144"/>
        <v>0</v>
      </c>
      <c r="B44" s="232"/>
      <c r="C44" s="233"/>
      <c r="D44" s="32" t="s">
        <v>29</v>
      </c>
      <c r="E44" s="52"/>
      <c r="F44" s="52"/>
      <c r="G44" s="77"/>
      <c r="H44" s="52"/>
      <c r="I44" s="52"/>
      <c r="J44" s="108"/>
      <c r="K44" s="108"/>
      <c r="L44" s="109"/>
      <c r="M44" s="52"/>
      <c r="N44" s="52"/>
      <c r="O44" s="110">
        <f>SUM(E44:N44)-J44</f>
        <v>0</v>
      </c>
      <c r="P44" s="50" t="str">
        <f t="shared" si="145"/>
        <v/>
      </c>
      <c r="Q44" s="52"/>
      <c r="R44" s="50" t="str">
        <f t="shared" si="146"/>
        <v/>
      </c>
      <c r="S44" s="52"/>
      <c r="T44" s="52"/>
      <c r="U44" s="149">
        <f t="shared" si="35"/>
        <v>0</v>
      </c>
      <c r="V44" s="150">
        <f t="shared" si="147"/>
        <v>0</v>
      </c>
      <c r="W44" s="50"/>
      <c r="X44" s="49" t="str">
        <f>IF(ISNA(INDEX('Conversion Factors'!$B$6:$B$370,MATCH('June 16 - June 30'!$Z$38:$Z$44,'Conversion Factors'!$A$6:$A$370,0))),"",INDEX('Conversion Factors'!$B$6:$B$370,MATCH('June 16 - June 30'!$Z$38:$Z$44,'Conversion Factors'!$A$6:$A$370,0)))</f>
        <v/>
      </c>
      <c r="Z44" s="17" t="b">
        <f t="shared" si="121"/>
        <v>0</v>
      </c>
      <c r="AA44" s="57" t="str">
        <f t="shared" si="122"/>
        <v/>
      </c>
      <c r="AB44" s="57" t="str">
        <f t="shared" si="123"/>
        <v/>
      </c>
      <c r="AH44" s="71">
        <f t="shared" si="124"/>
        <v>0</v>
      </c>
      <c r="AI44" s="68">
        <f>IF(AH44&gt;$AI$12,AH44-($AI$12+AI43+AI42+AI41+AI40+AI39+AI38+AI37),0)</f>
        <v>0</v>
      </c>
      <c r="AJ44" s="145" t="b">
        <f t="shared" si="125"/>
        <v>0</v>
      </c>
      <c r="AK44" s="151" t="b">
        <f t="shared" si="148"/>
        <v>0</v>
      </c>
      <c r="AM44" s="147">
        <f t="shared" si="126"/>
        <v>0</v>
      </c>
      <c r="AO44" s="163">
        <f t="shared" si="127"/>
        <v>0</v>
      </c>
      <c r="AP44" s="163">
        <f t="shared" si="128"/>
        <v>0</v>
      </c>
      <c r="AQ44" s="153">
        <f t="shared" si="129"/>
        <v>0</v>
      </c>
      <c r="AR44" s="163">
        <f t="shared" si="130"/>
        <v>0</v>
      </c>
      <c r="AS44" s="154">
        <f t="shared" si="131"/>
        <v>0</v>
      </c>
      <c r="AT44" s="154">
        <f t="shared" si="159"/>
        <v>40</v>
      </c>
      <c r="AU44" s="155">
        <f t="shared" si="150"/>
        <v>0</v>
      </c>
      <c r="AV44" s="156">
        <f t="shared" si="132"/>
        <v>0</v>
      </c>
      <c r="AW44" s="157">
        <f t="shared" si="151"/>
        <v>0</v>
      </c>
      <c r="AY44" s="157">
        <f t="shared" si="133"/>
        <v>0</v>
      </c>
      <c r="AZ44" s="152">
        <f t="shared" si="134"/>
        <v>0</v>
      </c>
      <c r="BA44" s="152">
        <f t="shared" si="135"/>
        <v>0</v>
      </c>
      <c r="BB44" s="158">
        <f t="shared" si="136"/>
        <v>0</v>
      </c>
      <c r="BC44" s="152">
        <f t="shared" si="137"/>
        <v>0</v>
      </c>
      <c r="BD44" s="154">
        <f t="shared" si="138"/>
        <v>0</v>
      </c>
      <c r="BE44" s="154">
        <f t="shared" si="155"/>
        <v>40</v>
      </c>
      <c r="BF44" s="159">
        <f t="shared" si="152"/>
        <v>0</v>
      </c>
      <c r="BG44" s="160"/>
      <c r="BH44" s="160">
        <f t="shared" si="156"/>
        <v>0</v>
      </c>
      <c r="BI44" s="161">
        <f t="shared" si="139"/>
        <v>40</v>
      </c>
      <c r="BJ44" s="161">
        <f t="shared" si="140"/>
        <v>0</v>
      </c>
      <c r="BK44" s="161">
        <f t="shared" si="141"/>
        <v>0</v>
      </c>
      <c r="BL44" s="161">
        <f>SUM(E38:E44)</f>
        <v>0</v>
      </c>
      <c r="BM44" s="160">
        <f t="shared" si="153"/>
        <v>0</v>
      </c>
      <c r="BN44" s="161">
        <f t="shared" si="157"/>
        <v>0</v>
      </c>
      <c r="BO44" s="161">
        <f t="shared" si="158"/>
        <v>0</v>
      </c>
      <c r="BP44" s="161">
        <f>IF(AND(BM44=1,BL44&gt;40,J44&lt;=K44),J44-BO44,IF(AND(BM44=1,BL44&gt;0,J44&gt;K44),K44-BO44,0))</f>
        <v>0</v>
      </c>
      <c r="BQ44" s="160"/>
    </row>
    <row r="45" spans="1:69" ht="15" customHeight="1" thickTop="1" thickBot="1">
      <c r="A45" s="234" t="s">
        <v>32</v>
      </c>
      <c r="B45" s="235"/>
      <c r="C45" s="236"/>
      <c r="D45" s="48"/>
      <c r="E45" s="34">
        <f>SUM(E38:E44)</f>
        <v>0</v>
      </c>
      <c r="F45" s="34">
        <f t="shared" ref="F45:N45" si="160">SUM(F38:F44)</f>
        <v>0</v>
      </c>
      <c r="G45" s="76">
        <f t="shared" si="160"/>
        <v>0</v>
      </c>
      <c r="H45" s="34">
        <f t="shared" si="160"/>
        <v>0</v>
      </c>
      <c r="I45" s="34">
        <f t="shared" si="160"/>
        <v>0</v>
      </c>
      <c r="J45" s="74"/>
      <c r="K45" s="74">
        <f t="shared" si="160"/>
        <v>0</v>
      </c>
      <c r="L45" s="34">
        <f t="shared" si="160"/>
        <v>0</v>
      </c>
      <c r="M45" s="34">
        <f t="shared" si="160"/>
        <v>0</v>
      </c>
      <c r="N45" s="34">
        <f t="shared" si="160"/>
        <v>0</v>
      </c>
      <c r="O45" s="34">
        <f>SUM(O38:O44)</f>
        <v>0</v>
      </c>
      <c r="P45" s="89">
        <f>-SUM(P38:P44)</f>
        <v>0</v>
      </c>
      <c r="Q45" s="34">
        <f>SUM(Q38:Q44)</f>
        <v>0</v>
      </c>
      <c r="R45" s="46">
        <f>SUM(R38:R44)</f>
        <v>0</v>
      </c>
      <c r="S45" s="34">
        <f>IF(E45&gt;40,(E45-40)-V45,0)</f>
        <v>0</v>
      </c>
      <c r="T45" s="34">
        <f>MROUND(AL45,0.25)</f>
        <v>0</v>
      </c>
      <c r="U45" s="164">
        <f>SUM(U38:U44)</f>
        <v>0</v>
      </c>
      <c r="V45" s="165">
        <f>SUM(V38:V44)</f>
        <v>0</v>
      </c>
      <c r="W45" s="44">
        <f>IF(E45-(E11-(G45+K45+F45+H45+I45+L45+M45))-(S45+U45+V45)&gt;0,E45-(E11-(G45+K45+F45+H45+I45+L45+M45))-(S45+U45+V45),0)</f>
        <v>0</v>
      </c>
      <c r="X45" s="34"/>
      <c r="Z45" s="85"/>
      <c r="AA45" s="85"/>
      <c r="AB45" s="85"/>
      <c r="AC45" s="80">
        <f>SUM(F45:N45)</f>
        <v>0</v>
      </c>
      <c r="AD45" s="81">
        <f>IF(AND(AG45&lt;40,O45&gt;=AG45),O45-(AG45+S45),IF(AND(O45&lt;AG45,E45=O45),O45-E45,IF(AND(E45&gt;AG45,E45&lt;40),E45-AG45,IF(AND(O45&gt;AG45,E45&lt;AG45),E45-(AG45-AC45),IF(AND(O45&gt;AG45,E45&gt;40),E45-(AG45-AC45+S45),IF(AND(O45&gt;AG45,O45&gt;40),O45-(S45+AG45),0))))))</f>
        <v>0</v>
      </c>
      <c r="AE45" s="166">
        <f>AD45-U45-V45</f>
        <v>0</v>
      </c>
      <c r="AF45" s="79" t="str">
        <f>$W$11</f>
        <v>Yes</v>
      </c>
      <c r="AG45" s="82">
        <f>$E$11</f>
        <v>40</v>
      </c>
      <c r="AH45" s="83"/>
      <c r="AI45" s="84">
        <f>IF(AH45&gt;$AI$12,-$AI$12,0)</f>
        <v>0</v>
      </c>
      <c r="AJ45" s="80"/>
      <c r="AK45" s="79"/>
      <c r="AL45" s="34">
        <f>IF(AF45="Yes",S45*1.5,0)</f>
        <v>0</v>
      </c>
      <c r="BG45" s="160"/>
      <c r="BH45" s="160"/>
      <c r="BI45" s="160"/>
      <c r="BJ45" s="160"/>
      <c r="BK45" s="160"/>
      <c r="BL45" s="160"/>
      <c r="BM45" s="160"/>
      <c r="BN45" s="160"/>
      <c r="BO45" s="160"/>
      <c r="BP45" s="161">
        <f>SUM(BP38:BP44)</f>
        <v>0</v>
      </c>
      <c r="BQ45" s="161">
        <f>E44+E11</f>
        <v>40</v>
      </c>
    </row>
    <row r="46" spans="1:6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161">(P21+P29+P37+P45)-P13</f>
        <v>0</v>
      </c>
      <c r="Q46" s="34">
        <f t="shared" si="161"/>
        <v>0</v>
      </c>
      <c r="R46" s="78">
        <f t="shared" si="161"/>
        <v>0</v>
      </c>
      <c r="S46" s="34">
        <f t="shared" si="161"/>
        <v>0</v>
      </c>
      <c r="T46" s="34">
        <f t="shared" si="161"/>
        <v>0</v>
      </c>
      <c r="U46" s="164">
        <f t="shared" si="161"/>
        <v>0</v>
      </c>
      <c r="V46" s="165">
        <f t="shared" si="161"/>
        <v>0</v>
      </c>
      <c r="W46" s="78">
        <f t="shared" si="161"/>
        <v>0</v>
      </c>
      <c r="X46" s="34">
        <f t="shared" si="161"/>
        <v>0</v>
      </c>
      <c r="BG46" s="160"/>
      <c r="BH46" s="160"/>
      <c r="BI46" s="160"/>
      <c r="BJ46" s="160"/>
      <c r="BK46" s="160"/>
      <c r="BL46" s="160"/>
      <c r="BM46" s="160"/>
      <c r="BN46" s="160"/>
      <c r="BO46" s="160"/>
      <c r="BP46" s="160"/>
      <c r="BQ46" s="160"/>
    </row>
    <row r="47" spans="1:6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c r="BG47" s="160"/>
      <c r="BH47" s="160"/>
      <c r="BI47" s="160"/>
      <c r="BJ47" s="160"/>
      <c r="BK47" s="160"/>
      <c r="BL47" s="160"/>
      <c r="BM47" s="160"/>
      <c r="BN47" s="160"/>
      <c r="BO47" s="160"/>
      <c r="BP47" s="160"/>
      <c r="BQ47" s="160"/>
    </row>
    <row r="48" spans="1:6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c r="BG48" s="160"/>
      <c r="BH48" s="160"/>
      <c r="BI48" s="160"/>
      <c r="BJ48" s="160"/>
      <c r="BK48" s="160"/>
      <c r="BL48" s="160"/>
      <c r="BM48" s="160"/>
      <c r="BN48" s="160"/>
      <c r="BO48" s="160"/>
      <c r="BP48" s="160"/>
      <c r="BQ48" s="160"/>
    </row>
    <row r="49" spans="1:69"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72"/>
      <c r="W49" s="115"/>
      <c r="X49" s="116"/>
      <c r="BG49" s="160"/>
      <c r="BH49" s="160"/>
      <c r="BI49" s="160"/>
      <c r="BJ49" s="160"/>
      <c r="BK49" s="160"/>
      <c r="BL49" s="160"/>
      <c r="BM49" s="160"/>
      <c r="BN49" s="160"/>
      <c r="BO49" s="160"/>
      <c r="BP49" s="160"/>
      <c r="BQ49" s="160"/>
    </row>
    <row r="50" spans="1:69"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c r="BG50" s="173"/>
      <c r="BH50" s="173"/>
      <c r="BI50" s="173"/>
      <c r="BJ50" s="173"/>
      <c r="BK50" s="173"/>
      <c r="BL50" s="173"/>
      <c r="BM50" s="173"/>
      <c r="BN50" s="173"/>
      <c r="BO50" s="173"/>
      <c r="BP50" s="173"/>
      <c r="BQ50" s="173"/>
    </row>
    <row r="51" spans="1:69" s="4" customFormat="1" ht="7.5" customHeight="1" thickBot="1">
      <c r="A51" s="36"/>
      <c r="B51" s="24"/>
      <c r="C51" s="24"/>
      <c r="D51" s="24"/>
      <c r="E51" s="24"/>
      <c r="F51" s="24"/>
      <c r="G51" s="24"/>
      <c r="H51" s="24"/>
      <c r="I51" s="24"/>
      <c r="J51" s="24"/>
      <c r="K51" s="24"/>
      <c r="L51" s="25"/>
      <c r="M51" s="25"/>
      <c r="N51" s="25"/>
      <c r="O51" s="174"/>
      <c r="P51" s="174"/>
      <c r="Q51" s="174"/>
      <c r="R51" s="174"/>
      <c r="S51" s="174"/>
      <c r="T51" s="174"/>
      <c r="U51" s="174"/>
      <c r="V51" s="175"/>
      <c r="W51" s="174"/>
      <c r="X51" s="116"/>
      <c r="AD51" s="5"/>
      <c r="AG51" s="62"/>
      <c r="AI51" s="67"/>
      <c r="BG51" s="173"/>
      <c r="BH51" s="173"/>
      <c r="BI51" s="173"/>
      <c r="BJ51" s="173"/>
      <c r="BK51" s="173"/>
      <c r="BL51" s="173"/>
      <c r="BM51" s="173"/>
      <c r="BN51" s="173"/>
      <c r="BO51" s="173"/>
      <c r="BP51" s="173"/>
      <c r="BQ51" s="173"/>
    </row>
    <row r="52" spans="1:69" ht="6" customHeight="1">
      <c r="A52" s="24"/>
      <c r="B52" s="24"/>
      <c r="C52" s="24"/>
      <c r="D52" s="24"/>
      <c r="E52" s="24"/>
      <c r="F52" s="24"/>
      <c r="G52" s="24"/>
      <c r="H52" s="24"/>
      <c r="I52" s="24"/>
      <c r="J52" s="24"/>
      <c r="K52" s="214" t="s">
        <v>106</v>
      </c>
      <c r="L52" s="215"/>
      <c r="M52" s="215"/>
      <c r="N52" s="215"/>
      <c r="O52" s="215"/>
      <c r="P52" s="215"/>
      <c r="Q52" s="215"/>
      <c r="R52" s="215"/>
      <c r="S52" s="215"/>
      <c r="T52" s="215"/>
      <c r="U52" s="215"/>
      <c r="V52" s="215"/>
      <c r="W52" s="216"/>
      <c r="X52" s="180"/>
    </row>
    <row r="53" spans="1:69" ht="13.5" customHeight="1" thickBot="1">
      <c r="A53" s="37"/>
      <c r="B53" s="37"/>
      <c r="C53" s="37"/>
      <c r="D53" s="37"/>
      <c r="E53" s="37"/>
      <c r="F53" s="37"/>
      <c r="G53" s="37"/>
      <c r="H53" s="37"/>
      <c r="I53" s="37"/>
      <c r="J53" s="127"/>
      <c r="K53" s="217"/>
      <c r="L53" s="218"/>
      <c r="M53" s="218"/>
      <c r="N53" s="218"/>
      <c r="O53" s="218"/>
      <c r="P53" s="218"/>
      <c r="Q53" s="218"/>
      <c r="R53" s="218"/>
      <c r="S53" s="218"/>
      <c r="T53" s="218"/>
      <c r="U53" s="218"/>
      <c r="V53" s="218"/>
      <c r="W53" s="219"/>
      <c r="X53" s="180"/>
    </row>
    <row r="54" spans="1:69" ht="11.25" customHeight="1">
      <c r="A54" s="39" t="s">
        <v>39</v>
      </c>
      <c r="B54" s="39"/>
      <c r="C54" s="39"/>
      <c r="D54" s="39"/>
      <c r="E54" s="40"/>
      <c r="F54" s="30"/>
      <c r="G54" s="41" t="s">
        <v>35</v>
      </c>
      <c r="H54" s="41"/>
      <c r="I54" s="40"/>
      <c r="J54" s="40"/>
      <c r="K54" s="217"/>
      <c r="L54" s="218"/>
      <c r="M54" s="218"/>
      <c r="N54" s="218"/>
      <c r="O54" s="218"/>
      <c r="P54" s="218"/>
      <c r="Q54" s="218"/>
      <c r="R54" s="218"/>
      <c r="S54" s="218"/>
      <c r="T54" s="218"/>
      <c r="U54" s="218"/>
      <c r="V54" s="218"/>
      <c r="W54" s="219"/>
      <c r="X54" s="180"/>
    </row>
    <row r="55" spans="1:69" ht="17.25" customHeight="1">
      <c r="A55" s="38" t="s">
        <v>40</v>
      </c>
      <c r="B55" s="24"/>
      <c r="C55" s="24"/>
      <c r="D55" s="24"/>
      <c r="E55" s="24"/>
      <c r="F55" s="24"/>
      <c r="G55" s="24"/>
      <c r="H55" s="24"/>
      <c r="I55" s="24"/>
      <c r="J55" s="24"/>
      <c r="K55" s="217" t="s">
        <v>107</v>
      </c>
      <c r="L55" s="218"/>
      <c r="M55" s="218"/>
      <c r="N55" s="218"/>
      <c r="O55" s="218"/>
      <c r="P55" s="218"/>
      <c r="Q55" s="218"/>
      <c r="R55" s="218"/>
      <c r="S55" s="218"/>
      <c r="T55" s="218"/>
      <c r="U55" s="218"/>
      <c r="V55" s="218"/>
      <c r="W55" s="219"/>
      <c r="X55" s="180"/>
    </row>
    <row r="56" spans="1:69" ht="13.5" customHeight="1">
      <c r="K56" s="217"/>
      <c r="L56" s="218"/>
      <c r="M56" s="218"/>
      <c r="N56" s="218"/>
      <c r="O56" s="218"/>
      <c r="P56" s="218"/>
      <c r="Q56" s="218"/>
      <c r="R56" s="218"/>
      <c r="S56" s="218"/>
      <c r="T56" s="218"/>
      <c r="U56" s="218"/>
      <c r="V56" s="218"/>
      <c r="W56" s="219"/>
      <c r="X56" s="180"/>
    </row>
    <row r="57" spans="1:69" ht="13.5" thickBot="1">
      <c r="K57" s="220"/>
      <c r="L57" s="221"/>
      <c r="M57" s="221"/>
      <c r="N57" s="221"/>
      <c r="O57" s="221"/>
      <c r="P57" s="221"/>
      <c r="Q57" s="221"/>
      <c r="R57" s="221"/>
      <c r="S57" s="221"/>
      <c r="T57" s="221"/>
      <c r="U57" s="221"/>
      <c r="V57" s="221"/>
      <c r="W57" s="222"/>
      <c r="X57" s="181"/>
    </row>
  </sheetData>
  <sheetProtection selectLockedCells="1"/>
  <mergeCells count="59">
    <mergeCell ref="A1:W1"/>
    <mergeCell ref="A2:W2"/>
    <mergeCell ref="A4:X4"/>
    <mergeCell ref="C6:H6"/>
    <mergeCell ref="I6:N6"/>
    <mergeCell ref="O6:T6"/>
    <mergeCell ref="AO11:AU11"/>
    <mergeCell ref="C7:H7"/>
    <mergeCell ref="I7:N7"/>
    <mergeCell ref="O7:T7"/>
    <mergeCell ref="C8:H8"/>
    <mergeCell ref="I8:N8"/>
    <mergeCell ref="O8:T8"/>
    <mergeCell ref="A11:D11"/>
    <mergeCell ref="E11:F11"/>
    <mergeCell ref="G11:R11"/>
    <mergeCell ref="S11:V11"/>
    <mergeCell ref="W11:X11"/>
    <mergeCell ref="A22:C22"/>
    <mergeCell ref="A12:C12"/>
    <mergeCell ref="AD12:AE12"/>
    <mergeCell ref="A13:D13"/>
    <mergeCell ref="A14:C14"/>
    <mergeCell ref="A15:C15"/>
    <mergeCell ref="A16:C16"/>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I46:N46"/>
    <mergeCell ref="A35:C35"/>
    <mergeCell ref="A36:C36"/>
    <mergeCell ref="A37:C37"/>
    <mergeCell ref="A38:C38"/>
    <mergeCell ref="A39:C39"/>
    <mergeCell ref="A40:C40"/>
    <mergeCell ref="A41:C41"/>
    <mergeCell ref="A42:C42"/>
    <mergeCell ref="A43:C43"/>
    <mergeCell ref="A44:C44"/>
    <mergeCell ref="A45:C45"/>
    <mergeCell ref="O48:W48"/>
    <mergeCell ref="O49:T49"/>
    <mergeCell ref="O50:W50"/>
    <mergeCell ref="K52:W54"/>
    <mergeCell ref="K55:W57"/>
  </mergeCells>
  <conditionalFormatting sqref="A23:C28 A29:D44 A14:D21">
    <cfRule type="cellIs" dxfId="34" priority="17" operator="equal">
      <formula>FALSE</formula>
    </cfRule>
  </conditionalFormatting>
  <conditionalFormatting sqref="A22:C22">
    <cfRule type="cellIs" dxfId="33" priority="16" operator="equal">
      <formula>FALSE</formula>
    </cfRule>
  </conditionalFormatting>
  <conditionalFormatting sqref="D22:D28">
    <cfRule type="cellIs" dxfId="32" priority="15" operator="equal">
      <formula>FALSE</formula>
    </cfRule>
  </conditionalFormatting>
  <conditionalFormatting sqref="Z22:Z28">
    <cfRule type="cellIs" dxfId="31" priority="14" operator="equal">
      <formula>FALSE</formula>
    </cfRule>
  </conditionalFormatting>
  <conditionalFormatting sqref="Z30:Z36">
    <cfRule type="cellIs" dxfId="30" priority="13" operator="equal">
      <formula>FALSE</formula>
    </cfRule>
  </conditionalFormatting>
  <conditionalFormatting sqref="X21 X29 X37">
    <cfRule type="containsErrors" dxfId="29" priority="12">
      <formula>ISERROR(X21)</formula>
    </cfRule>
  </conditionalFormatting>
  <conditionalFormatting sqref="Z39:Z44">
    <cfRule type="cellIs" dxfId="28" priority="10" operator="equal">
      <formula>FALSE</formula>
    </cfRule>
  </conditionalFormatting>
  <conditionalFormatting sqref="Z38">
    <cfRule type="cellIs" dxfId="27" priority="11" operator="equal">
      <formula>FALSE</formula>
    </cfRule>
  </conditionalFormatting>
  <conditionalFormatting sqref="W11:X11">
    <cfRule type="cellIs" dxfId="26" priority="9" operator="equal">
      <formula>"Please Select"</formula>
    </cfRule>
  </conditionalFormatting>
  <conditionalFormatting sqref="E11:F11">
    <cfRule type="containsBlanks" dxfId="25" priority="8">
      <formula>LEN(TRIM(E11))=0</formula>
    </cfRule>
  </conditionalFormatting>
  <conditionalFormatting sqref="U14:U46">
    <cfRule type="cellIs" dxfId="24" priority="7" operator="equal">
      <formula>FALSE</formula>
    </cfRule>
  </conditionalFormatting>
  <conditionalFormatting sqref="P26">
    <cfRule type="cellIs" dxfId="23" priority="6" operator="lessThan">
      <formula>$BQ$21</formula>
    </cfRule>
  </conditionalFormatting>
  <conditionalFormatting sqref="X14:X20">
    <cfRule type="containsErrors" dxfId="22" priority="5">
      <formula>ISERROR(X14)</formula>
    </cfRule>
  </conditionalFormatting>
  <conditionalFormatting sqref="X30:X36">
    <cfRule type="containsErrors" dxfId="21" priority="4">
      <formula>ISERROR(X30)</formula>
    </cfRule>
  </conditionalFormatting>
  <conditionalFormatting sqref="X38:X44">
    <cfRule type="containsErrors" dxfId="20" priority="3">
      <formula>ISERROR(X38)</formula>
    </cfRule>
  </conditionalFormatting>
  <conditionalFormatting sqref="X22">
    <cfRule type="containsErrors" dxfId="19" priority="2">
      <formula>ISERROR(X22)</formula>
    </cfRule>
  </conditionalFormatting>
  <conditionalFormatting sqref="X23:X28">
    <cfRule type="containsErrors" dxfId="18" priority="1">
      <formula>ISERROR(X23)</formula>
    </cfRule>
  </conditionalFormatting>
  <dataValidations disablePrompts="1" count="5">
    <dataValidation allowBlank="1" showInputMessage="1" showErrorMessage="1" prompt="Enter your Department Name into this field and it will populate to all the other time reports in this workbook." sqref="C8:H8" xr:uid="{555277A5-F9E8-4296-B396-0E4E9DDE96CA}"/>
    <dataValidation allowBlank="1" showInputMessage="1" showErrorMessage="1" prompt="Enter your Name into this field and it will populate to all the other time reports in this workbook." sqref="C7:H7" xr:uid="{333D0462-BA44-4A4C-A6D5-80240A7B3657}"/>
    <dataValidation allowBlank="1" showInputMessage="1" showErrorMessage="1" prompt="Enter your MSU ID into this field and it will populate to all the other time re[prts in this workbook." sqref="C6:H6" xr:uid="{E4634CC0-970D-483C-94AF-84C865DCF067}"/>
    <dataValidation allowBlank="1" showInputMessage="1" showErrorMessage="1" promptTitle="Hours Per Week" prompt="Please enter the number of hours you are scheduled to work each week.  (Example:  40)_x000a_" sqref="E11:F11" xr:uid="{AFDD0F22-3840-4164-82C5-78081818487E}"/>
    <dataValidation type="list" allowBlank="1" showInputMessage="1" showErrorMessage="1" promptTitle="Compensatory Time" prompt="Please select &quot;No&quot; if you are not receiving Compensatory time or &quot;Yes&quot; if you are receiving compensatory time." sqref="W11:X11" xr:uid="{5B8F21C8-FD17-42EC-BC41-02750AE1F065}">
      <formula1>$AD$6:$AD$8</formula1>
    </dataValidation>
  </dataValidations>
  <hyperlinks>
    <hyperlink ref="O49" r:id="rId1" xr:uid="{6769498E-6990-416B-9B54-C82C7A99565D}"/>
    <hyperlink ref="O48:W48" r:id="rId2" display="Leave/Leave Without Pay Policy" xr:uid="{E12E9CA9-0C9A-494D-A5F3-1A1A1D516693}"/>
    <hyperlink ref="O50:W50" r:id="rId3" display="Time Sheet Definitions/Policies" xr:uid="{DB1BDD22-4FF7-4B37-A0AE-D9F7F1791266}"/>
    <hyperlink ref="O49:T49" r:id="rId4" display="Overtime/Compensatory Time" xr:uid="{1E49DFA7-E50C-4D32-93C8-21440F84E528}"/>
  </hyperlinks>
  <printOptions horizontalCentered="1"/>
  <pageMargins left="0.5" right="0.5" top="0.5" bottom="0.5" header="0.5" footer="0"/>
  <pageSetup scale="75" orientation="portrait" r:id="rId5"/>
  <headerFooter alignWithMargins="0">
    <oddFooter>&amp;RRevised:  05/2019</oddFooter>
  </headerFooter>
  <ignoredErrors>
    <ignoredError sqref="E16:N16" unlockedFormula="1"/>
  </ignoredErrors>
  <drawing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tabColor theme="4" tint="0.79998168889431442"/>
  </sheetPr>
  <dimension ref="A1:AP57"/>
  <sheetViews>
    <sheetView showGridLines="0" showZeros="0" zoomScaleNormal="100" workbookViewId="0">
      <pane ySplit="12" topLeftCell="A13" activePane="bottomLeft" state="frozen"/>
      <selection pane="bottomLeft" activeCell="E15" sqref="E15"/>
    </sheetView>
  </sheetViews>
  <sheetFormatPr defaultColWidth="10.6640625" defaultRowHeight="12.75"/>
  <cols>
    <col min="1" max="1" width="13.1640625" style="1" customWidth="1"/>
    <col min="2" max="2" width="6.1640625" style="1" customWidth="1"/>
    <col min="3" max="3" width="5.33203125" style="1" customWidth="1"/>
    <col min="4" max="4" width="11.1640625" style="1" customWidth="1"/>
    <col min="5" max="6" width="6.6640625" style="1" customWidth="1"/>
    <col min="7" max="9" width="5.83203125" style="1" customWidth="1"/>
    <col min="10" max="10" width="6.1640625" style="1" customWidth="1"/>
    <col min="11" max="11" width="5.83203125" style="1" bestFit="1" customWidth="1"/>
    <col min="12" max="12" width="5.83203125" style="1" customWidth="1"/>
    <col min="13" max="13" width="5" style="1" customWidth="1"/>
    <col min="14" max="15" width="5.83203125" style="1" customWidth="1"/>
    <col min="16" max="16" width="6.6640625" style="1" customWidth="1"/>
    <col min="17" max="17" width="5.83203125" style="1" customWidth="1"/>
    <col min="18" max="18" width="6.6640625" style="1" customWidth="1"/>
    <col min="19" max="19" width="5.83203125" style="1" customWidth="1"/>
    <col min="20" max="20" width="7.1640625" style="1" customWidth="1"/>
    <col min="21" max="23" width="5.83203125" style="1" customWidth="1"/>
    <col min="24" max="24" width="5.33203125" style="6" customWidth="1"/>
    <col min="25" max="25" width="4.83203125" style="1" customWidth="1"/>
    <col min="26" max="26" width="16.1640625" style="1" hidden="1" customWidth="1"/>
    <col min="27" max="27" width="7.6640625" style="1" hidden="1" customWidth="1"/>
    <col min="28" max="28" width="7.5" style="1" hidden="1" customWidth="1"/>
    <col min="29" max="29" width="6.33203125" style="1" hidden="1" customWidth="1"/>
    <col min="30" max="30" width="10.6640625" style="2" hidden="1" customWidth="1"/>
    <col min="31" max="31" width="10.6640625" style="1" hidden="1" customWidth="1"/>
    <col min="32" max="32" width="4.33203125" style="1" hidden="1" customWidth="1"/>
    <col min="33" max="33" width="6.33203125" style="61" hidden="1" customWidth="1"/>
    <col min="34" max="34" width="9.1640625" style="1" hidden="1" customWidth="1"/>
    <col min="35" max="35" width="10.6640625" style="66" hidden="1" customWidth="1"/>
    <col min="36" max="36" width="8" style="1" hidden="1" customWidth="1"/>
    <col min="37" max="37" width="10.6640625" style="1" hidden="1" customWidth="1"/>
    <col min="38" max="38" width="5" style="1" hidden="1" customWidth="1"/>
    <col min="39" max="40" width="10.6640625" style="1" hidden="1" customWidth="1"/>
    <col min="41" max="16384" width="10.6640625" style="1"/>
  </cols>
  <sheetData>
    <row r="1" spans="1:42" s="26" customFormat="1" ht="15.95" customHeight="1">
      <c r="A1" s="262" t="s">
        <v>0</v>
      </c>
      <c r="B1" s="262"/>
      <c r="C1" s="262"/>
      <c r="D1" s="262"/>
      <c r="E1" s="262"/>
      <c r="F1" s="262"/>
      <c r="G1" s="262"/>
      <c r="H1" s="262"/>
      <c r="I1" s="262"/>
      <c r="J1" s="262"/>
      <c r="K1" s="262"/>
      <c r="L1" s="262"/>
      <c r="M1" s="262"/>
      <c r="N1" s="262"/>
      <c r="O1" s="262"/>
      <c r="P1" s="262"/>
      <c r="Q1" s="262"/>
      <c r="R1" s="262"/>
      <c r="S1" s="262"/>
      <c r="T1" s="262"/>
      <c r="U1" s="262"/>
      <c r="V1" s="262"/>
      <c r="W1" s="262"/>
      <c r="X1" s="28"/>
      <c r="AD1" s="27"/>
      <c r="AG1" s="60"/>
      <c r="AI1" s="65"/>
    </row>
    <row r="2" spans="1:42" s="26" customFormat="1" ht="15.95" customHeight="1">
      <c r="A2" s="262" t="s">
        <v>1</v>
      </c>
      <c r="B2" s="262"/>
      <c r="C2" s="262"/>
      <c r="D2" s="262"/>
      <c r="E2" s="262"/>
      <c r="F2" s="262"/>
      <c r="G2" s="262"/>
      <c r="H2" s="262"/>
      <c r="I2" s="262"/>
      <c r="J2" s="262"/>
      <c r="K2" s="262"/>
      <c r="L2" s="262"/>
      <c r="M2" s="262"/>
      <c r="N2" s="262"/>
      <c r="O2" s="262"/>
      <c r="P2" s="262"/>
      <c r="Q2" s="262"/>
      <c r="R2" s="262"/>
      <c r="S2" s="262"/>
      <c r="T2" s="262"/>
      <c r="U2" s="262"/>
      <c r="V2" s="262"/>
      <c r="W2" s="262"/>
      <c r="X2" s="28"/>
      <c r="AD2" s="27"/>
      <c r="AG2" s="60"/>
      <c r="AI2" s="65"/>
      <c r="AP2" s="60"/>
    </row>
    <row r="3" spans="1:42" ht="4.9000000000000004" customHeight="1" thickBot="1">
      <c r="A3" s="3"/>
      <c r="B3" s="3"/>
      <c r="C3" s="3"/>
      <c r="D3" s="3"/>
      <c r="E3" s="3"/>
      <c r="F3" s="3"/>
      <c r="G3" s="3"/>
      <c r="H3" s="3"/>
      <c r="I3" s="3"/>
      <c r="J3" s="3"/>
      <c r="K3" s="3"/>
      <c r="L3" s="3"/>
      <c r="M3" s="3"/>
      <c r="N3" s="3"/>
      <c r="O3" s="3"/>
      <c r="P3" s="3"/>
      <c r="Q3" s="3"/>
      <c r="R3" s="3"/>
      <c r="S3" s="3"/>
      <c r="T3" s="3"/>
      <c r="U3" s="3"/>
      <c r="V3" s="3"/>
      <c r="W3" s="3"/>
    </row>
    <row r="4" spans="1:42" s="4" customFormat="1" ht="38.450000000000003" customHeight="1" thickBot="1">
      <c r="A4" s="263" t="s">
        <v>46</v>
      </c>
      <c r="B4" s="263"/>
      <c r="C4" s="263"/>
      <c r="D4" s="263"/>
      <c r="E4" s="263"/>
      <c r="F4" s="263"/>
      <c r="G4" s="263"/>
      <c r="H4" s="263"/>
      <c r="I4" s="263"/>
      <c r="J4" s="263"/>
      <c r="K4" s="263"/>
      <c r="L4" s="263"/>
      <c r="M4" s="263"/>
      <c r="N4" s="263"/>
      <c r="O4" s="263"/>
      <c r="P4" s="263"/>
      <c r="Q4" s="263"/>
      <c r="R4" s="263"/>
      <c r="S4" s="263"/>
      <c r="T4" s="263"/>
      <c r="U4" s="263"/>
      <c r="V4" s="263"/>
      <c r="W4" s="263"/>
      <c r="X4" s="263"/>
      <c r="AD4" s="5"/>
      <c r="AG4" s="62"/>
      <c r="AI4" s="67"/>
    </row>
    <row r="5" spans="1:42" s="4" customFormat="1" ht="3" customHeight="1">
      <c r="A5" s="29"/>
      <c r="B5" s="29"/>
      <c r="C5" s="29"/>
      <c r="D5" s="29"/>
      <c r="E5" s="29"/>
      <c r="F5" s="29"/>
      <c r="G5" s="29"/>
      <c r="H5" s="29"/>
      <c r="I5" s="29"/>
      <c r="J5" s="29"/>
      <c r="K5" s="29"/>
      <c r="L5" s="29"/>
      <c r="M5" s="29"/>
      <c r="N5" s="29"/>
      <c r="O5" s="29"/>
      <c r="P5" s="29"/>
      <c r="Q5" s="29"/>
      <c r="R5" s="29"/>
      <c r="S5" s="29"/>
      <c r="T5" s="29"/>
      <c r="U5" s="29"/>
      <c r="V5" s="29"/>
      <c r="W5" s="24"/>
      <c r="X5" s="30"/>
      <c r="AD5" s="5"/>
      <c r="AG5" s="62"/>
      <c r="AI5" s="67"/>
    </row>
    <row r="6" spans="1:42" s="4" customFormat="1" ht="17.100000000000001" customHeight="1" thickBot="1">
      <c r="A6" s="30" t="s">
        <v>2</v>
      </c>
      <c r="B6" s="24"/>
      <c r="C6" s="284" t="e">
        <f>#REF!</f>
        <v>#REF!</v>
      </c>
      <c r="D6" s="284"/>
      <c r="E6" s="284"/>
      <c r="F6" s="284"/>
      <c r="G6" s="284"/>
      <c r="H6" s="284"/>
      <c r="I6" s="247" t="s">
        <v>3</v>
      </c>
      <c r="J6" s="247"/>
      <c r="K6" s="247"/>
      <c r="L6" s="247"/>
      <c r="M6" s="247"/>
      <c r="N6" s="247"/>
      <c r="O6" s="265">
        <f>'Dates &amp; Notes'!$A$2</f>
        <v>44378</v>
      </c>
      <c r="P6" s="265"/>
      <c r="Q6" s="265"/>
      <c r="R6" s="265"/>
      <c r="S6" s="265"/>
      <c r="T6" s="265"/>
      <c r="U6" s="53"/>
      <c r="V6" s="53"/>
      <c r="W6" s="24"/>
      <c r="X6" s="30"/>
      <c r="Z6" s="4" t="str">
        <f>TEXT(O6,"dddd")</f>
        <v>Thursday</v>
      </c>
      <c r="AD6" s="5" t="s">
        <v>49</v>
      </c>
      <c r="AF6" s="5"/>
      <c r="AG6" s="62"/>
      <c r="AI6" s="67"/>
    </row>
    <row r="7" spans="1:42" s="4" customFormat="1" ht="17.100000000000001" customHeight="1" thickBot="1">
      <c r="A7" s="30" t="s">
        <v>4</v>
      </c>
      <c r="B7" s="30"/>
      <c r="C7" s="283" t="e">
        <f>#REF!</f>
        <v>#REF!</v>
      </c>
      <c r="D7" s="283"/>
      <c r="E7" s="283"/>
      <c r="F7" s="283"/>
      <c r="G7" s="283"/>
      <c r="H7" s="283"/>
      <c r="I7" s="247" t="s">
        <v>5</v>
      </c>
      <c r="J7" s="247"/>
      <c r="K7" s="247"/>
      <c r="L7" s="247"/>
      <c r="M7" s="247"/>
      <c r="N7" s="247"/>
      <c r="O7" s="248">
        <f>'Dates &amp; Notes'!$B$2</f>
        <v>44392</v>
      </c>
      <c r="P7" s="248"/>
      <c r="Q7" s="248"/>
      <c r="R7" s="248"/>
      <c r="S7" s="248"/>
      <c r="T7" s="248"/>
      <c r="U7" s="54"/>
      <c r="V7" s="54"/>
      <c r="W7" s="24"/>
      <c r="X7" s="30"/>
      <c r="AD7" s="5" t="s">
        <v>47</v>
      </c>
      <c r="AG7" s="62"/>
      <c r="AI7" s="67"/>
    </row>
    <row r="8" spans="1:42" s="4" customFormat="1" ht="17.100000000000001" customHeight="1" thickBot="1">
      <c r="A8" s="30" t="s">
        <v>6</v>
      </c>
      <c r="B8" s="24"/>
      <c r="C8" s="283" t="e">
        <f>#REF!</f>
        <v>#REF!</v>
      </c>
      <c r="D8" s="283"/>
      <c r="E8" s="283"/>
      <c r="F8" s="283"/>
      <c r="G8" s="283"/>
      <c r="H8" s="283"/>
      <c r="I8" s="247" t="s">
        <v>7</v>
      </c>
      <c r="J8" s="247"/>
      <c r="K8" s="247"/>
      <c r="L8" s="247"/>
      <c r="M8" s="247"/>
      <c r="N8" s="247"/>
      <c r="O8" s="249">
        <f>'Dates &amp; Notes'!$C$2</f>
        <v>13</v>
      </c>
      <c r="P8" s="249"/>
      <c r="Q8" s="249"/>
      <c r="R8" s="249"/>
      <c r="S8" s="249"/>
      <c r="T8" s="249"/>
      <c r="U8" s="55"/>
      <c r="V8" s="55"/>
      <c r="W8" s="24"/>
      <c r="X8" s="30"/>
      <c r="AD8" s="5" t="s">
        <v>48</v>
      </c>
      <c r="AG8" s="62"/>
      <c r="AI8" s="67"/>
    </row>
    <row r="9" spans="1:42" s="4" customFormat="1" ht="9" customHeight="1" thickBot="1">
      <c r="A9" s="24"/>
      <c r="B9" s="24"/>
      <c r="C9" s="24"/>
      <c r="D9" s="24"/>
      <c r="E9" s="24"/>
      <c r="F9" s="31"/>
      <c r="G9" s="24"/>
      <c r="H9" s="24"/>
      <c r="I9" s="24"/>
      <c r="J9" s="24"/>
      <c r="K9" s="24"/>
      <c r="L9" s="24"/>
      <c r="M9" s="24"/>
      <c r="N9" s="24"/>
      <c r="O9" s="24"/>
      <c r="P9" s="24"/>
      <c r="Q9" s="24"/>
      <c r="R9" s="24"/>
      <c r="S9" s="24"/>
      <c r="T9" s="24"/>
      <c r="U9" s="24"/>
      <c r="V9" s="24"/>
      <c r="W9" s="24"/>
      <c r="X9" s="30"/>
      <c r="AD9" s="5"/>
      <c r="AG9" s="62"/>
      <c r="AI9" s="67"/>
    </row>
    <row r="10" spans="1:42" ht="18.600000000000001" hidden="1" customHeight="1">
      <c r="A10" s="24"/>
      <c r="B10" s="24"/>
      <c r="C10" s="24"/>
      <c r="D10" s="24"/>
      <c r="E10" s="24"/>
      <c r="F10" s="24"/>
      <c r="G10" s="24"/>
      <c r="H10" s="24"/>
      <c r="I10" s="24"/>
      <c r="J10" s="24"/>
      <c r="K10" s="24"/>
      <c r="L10" s="24"/>
      <c r="M10" s="24"/>
      <c r="N10" s="24"/>
      <c r="O10" s="24"/>
      <c r="P10" s="24"/>
      <c r="Q10" s="24"/>
      <c r="R10" s="24"/>
      <c r="S10" s="24"/>
      <c r="T10" s="24"/>
      <c r="U10" s="24"/>
      <c r="V10" s="24"/>
      <c r="W10" s="24"/>
      <c r="X10" s="30"/>
    </row>
    <row r="11" spans="1:42" ht="18.600000000000001" customHeight="1" thickTop="1" thickBot="1">
      <c r="A11" s="250" t="s">
        <v>75</v>
      </c>
      <c r="B11" s="251"/>
      <c r="C11" s="251"/>
      <c r="D11" s="251"/>
      <c r="E11" s="252" t="e">
        <f>#REF!</f>
        <v>#REF!</v>
      </c>
      <c r="F11" s="253"/>
      <c r="G11" s="254" t="s">
        <v>69</v>
      </c>
      <c r="H11" s="255"/>
      <c r="I11" s="255"/>
      <c r="J11" s="255"/>
      <c r="K11" s="255"/>
      <c r="L11" s="255"/>
      <c r="M11" s="255"/>
      <c r="N11" s="255"/>
      <c r="O11" s="255"/>
      <c r="P11" s="255"/>
      <c r="Q11" s="255"/>
      <c r="R11" s="256"/>
      <c r="S11" s="257" t="s">
        <v>67</v>
      </c>
      <c r="T11" s="258"/>
      <c r="U11" s="258"/>
      <c r="V11" s="259"/>
      <c r="W11" s="260" t="e">
        <f>#REF!</f>
        <v>#REF!</v>
      </c>
      <c r="X11" s="261"/>
      <c r="AH11" s="69"/>
      <c r="AI11" s="69" t="s">
        <v>56</v>
      </c>
    </row>
    <row r="12" spans="1:42" s="24" customFormat="1" ht="95.25" customHeight="1" thickTop="1" thickBot="1">
      <c r="A12" s="240" t="s">
        <v>8</v>
      </c>
      <c r="B12" s="241"/>
      <c r="C12" s="242"/>
      <c r="D12" s="129" t="s">
        <v>9</v>
      </c>
      <c r="E12" s="23" t="s">
        <v>10</v>
      </c>
      <c r="F12" s="23" t="s">
        <v>11</v>
      </c>
      <c r="G12" s="75" t="s">
        <v>12</v>
      </c>
      <c r="H12" s="23" t="s">
        <v>13</v>
      </c>
      <c r="I12" s="23" t="s">
        <v>14</v>
      </c>
      <c r="J12" s="128" t="s">
        <v>85</v>
      </c>
      <c r="K12" s="73" t="s">
        <v>44</v>
      </c>
      <c r="L12" s="23" t="s">
        <v>57</v>
      </c>
      <c r="M12" s="23" t="s">
        <v>15</v>
      </c>
      <c r="N12" s="23" t="s">
        <v>16</v>
      </c>
      <c r="O12" s="23" t="s">
        <v>17</v>
      </c>
      <c r="P12" s="45" t="s">
        <v>51</v>
      </c>
      <c r="Q12" s="23" t="s">
        <v>19</v>
      </c>
      <c r="R12" s="45" t="s">
        <v>50</v>
      </c>
      <c r="S12" s="23" t="s">
        <v>20</v>
      </c>
      <c r="T12" s="23" t="s">
        <v>21</v>
      </c>
      <c r="U12" s="75" t="s">
        <v>54</v>
      </c>
      <c r="V12" s="75" t="s">
        <v>53</v>
      </c>
      <c r="W12" s="45" t="s">
        <v>52</v>
      </c>
      <c r="X12" s="23" t="s">
        <v>42</v>
      </c>
      <c r="Y12" s="1"/>
      <c r="Z12" s="42">
        <v>8</v>
      </c>
      <c r="AA12" s="24" t="s">
        <v>18</v>
      </c>
      <c r="AB12" s="24" t="s">
        <v>19</v>
      </c>
      <c r="AD12" s="25" t="s">
        <v>22</v>
      </c>
      <c r="AG12" s="63"/>
      <c r="AH12" s="72" t="s">
        <v>55</v>
      </c>
      <c r="AI12" s="70">
        <v>40</v>
      </c>
      <c r="AJ12" s="72" t="s">
        <v>58</v>
      </c>
      <c r="AK12" s="43" t="s">
        <v>54</v>
      </c>
      <c r="AL12" s="72" t="s">
        <v>68</v>
      </c>
      <c r="AM12" s="72" t="s">
        <v>87</v>
      </c>
    </row>
    <row r="13" spans="1:42" s="47" customFormat="1" ht="15" customHeight="1" thickTop="1">
      <c r="A13" s="244" t="s">
        <v>43</v>
      </c>
      <c r="B13" s="244"/>
      <c r="C13" s="244"/>
      <c r="D13" s="244"/>
      <c r="E13" s="86"/>
      <c r="F13" s="86"/>
      <c r="G13" s="86"/>
      <c r="H13" s="86"/>
      <c r="I13" s="86"/>
      <c r="J13" s="86"/>
      <c r="K13" s="86"/>
      <c r="L13" s="86"/>
      <c r="M13" s="86"/>
      <c r="N13" s="86"/>
      <c r="O13" s="86"/>
      <c r="P13" s="103"/>
      <c r="Q13" s="102"/>
      <c r="R13" s="103"/>
      <c r="S13" s="102"/>
      <c r="T13" s="102"/>
      <c r="U13" s="102"/>
      <c r="V13" s="102"/>
      <c r="W13" s="103"/>
      <c r="X13" s="86"/>
      <c r="AD13" s="22"/>
      <c r="AH13" s="71"/>
      <c r="AI13" s="68"/>
      <c r="AJ13" s="56"/>
      <c r="AK13" s="56"/>
    </row>
    <row r="14" spans="1:42" ht="15" customHeight="1">
      <c r="A14" s="237" t="b">
        <f>IF(EXACT(D14,$Z$6)=TRUE,$O$6,IF(A12=0,"",IF(A12&lt;$O$7,A12+1,IF(A12=$O$7,""))))</f>
        <v>0</v>
      </c>
      <c r="B14" s="238"/>
      <c r="C14" s="239"/>
      <c r="D14" s="32" t="s">
        <v>23</v>
      </c>
      <c r="E14" s="51"/>
      <c r="F14" s="51"/>
      <c r="G14" s="112"/>
      <c r="H14" s="51"/>
      <c r="I14" s="51"/>
      <c r="J14" s="113"/>
      <c r="K14" s="113"/>
      <c r="L14" s="114"/>
      <c r="M14" s="51"/>
      <c r="N14" s="52"/>
      <c r="O14" s="110">
        <f>SUM(E14:N14)-J14</f>
        <v>0</v>
      </c>
      <c r="P14" s="50" t="str">
        <f>IF(AND(ISNUMBER(AA14),ISNUMBER(X14)),AA14*X14,"")</f>
        <v/>
      </c>
      <c r="Q14" s="52"/>
      <c r="R14" s="50" t="str">
        <f>IF(AND(ISNUMBER(AB14),ISNUMBER(X14)),AB14*X14,"")</f>
        <v/>
      </c>
      <c r="S14" s="52"/>
      <c r="T14" s="52"/>
      <c r="U14" s="77">
        <f>(AJ14+AK14)</f>
        <v>0</v>
      </c>
      <c r="V14" s="77">
        <f t="shared" ref="V14:V17" si="0">IF(AND(AI14&gt;0,AND(U14&lt;E14)),G14-U14,0)</f>
        <v>0</v>
      </c>
      <c r="W14" s="50"/>
      <c r="X14" s="49" t="str">
        <f>IF(ISNA(INDEX('Conversion Factors'!$B$6:$B$370,MATCH('Test File'!$Z$14:$Z$20,'Conversion Factors'!$A$6:$A$370,0))),"",INDEX('Conversion Factors'!$B$6:$B$370,MATCH('Test File'!$Z$14:$Z$20,'Conversion Factors'!$A$6:$A$370,0)))</f>
        <v/>
      </c>
      <c r="Z14" s="18" t="b">
        <f>A14</f>
        <v>0</v>
      </c>
      <c r="AA14" s="57" t="str">
        <f>IF(AND(ISNUMBER(N14),ISNUMBER($Z$12)),N14/$Z$12,"")</f>
        <v/>
      </c>
      <c r="AB14" s="57" t="str">
        <f>IF(AND(ISNUMBER(Q14),ISNUMBER($Z$12)),Q14/$Z$12,"")</f>
        <v/>
      </c>
      <c r="AC14" s="58"/>
      <c r="AD14" s="59"/>
      <c r="AE14" s="58"/>
      <c r="AF14" s="58"/>
      <c r="AG14" s="64"/>
      <c r="AH14" s="71">
        <f>E14</f>
        <v>0</v>
      </c>
      <c r="AI14" s="68">
        <f>IF(AH14&gt;$AI$12,AH14-$AI$12,0)</f>
        <v>0</v>
      </c>
      <c r="AJ14" s="56">
        <f>IF(AND(AM14=0),AM14,IF(AND(AM14&gt;0,E14=AM14),O14-AM14-AI14,IF(AND(E14&lt;AM14),O14-AM14,IF(AND(E14&gt;AM14),O14-E14,0))))</f>
        <v>0</v>
      </c>
      <c r="AK14" s="56">
        <f t="shared" ref="AK14:AK17" si="1">IF(AND(G14=0),G14,IF(AND(G14&gt;0,E14=G14),O14-G14-AI14,IF(AND(E14&lt;G14),O14-G14,IF(AND(G14&gt;AI14),G14-AI14,0))))</f>
        <v>0</v>
      </c>
      <c r="AM14" s="131">
        <f>J14+K14</f>
        <v>0</v>
      </c>
    </row>
    <row r="15" spans="1:42" ht="15" customHeight="1">
      <c r="A15" s="237" t="b">
        <f t="shared" ref="A15:A20" si="2">IF(EXACT(D15,$Z$6)=TRUE,$O$6,IF(A14=0,"",IF(A14&lt;$O$7,A14+1,IF(A14=$O$7,""))))</f>
        <v>0</v>
      </c>
      <c r="B15" s="238"/>
      <c r="C15" s="239"/>
      <c r="D15" s="32" t="s">
        <v>24</v>
      </c>
      <c r="E15" s="51"/>
      <c r="F15" s="51"/>
      <c r="G15" s="112"/>
      <c r="H15" s="51"/>
      <c r="I15" s="51"/>
      <c r="J15" s="113"/>
      <c r="K15" s="113"/>
      <c r="L15" s="114"/>
      <c r="M15" s="51"/>
      <c r="N15" s="51"/>
      <c r="O15" s="110">
        <f>SUM(E15:N15)-J15</f>
        <v>0</v>
      </c>
      <c r="P15" s="50" t="str">
        <f t="shared" ref="P15:P20" si="3">IF(AND(ISNUMBER(AA15),ISNUMBER(X15)),AA15*X15,"")</f>
        <v/>
      </c>
      <c r="Q15" s="51"/>
      <c r="R15" s="50" t="str">
        <f t="shared" ref="R15:R20" si="4">IF(AND(ISNUMBER(AB15),ISNUMBER(X15)),AB15*X15,"")</f>
        <v/>
      </c>
      <c r="S15" s="52"/>
      <c r="T15" s="52"/>
      <c r="U15" s="77">
        <f>(AJ15+AK15)</f>
        <v>0</v>
      </c>
      <c r="V15" s="77">
        <f t="shared" si="0"/>
        <v>0</v>
      </c>
      <c r="W15" s="50"/>
      <c r="X15" s="49" t="str">
        <f>IF(ISNA(INDEX('Conversion Factors'!$B$6:$B$370,MATCH('Test File'!$Z$14:$Z$20,'Conversion Factors'!$A$6:$A$370,0))),"",INDEX('Conversion Factors'!$B$6:$B$370,MATCH('Test File'!$Z$14:$Z$20,'Conversion Factors'!$A$6:$A$370,0)))</f>
        <v/>
      </c>
      <c r="Z15" s="18" t="b">
        <f t="shared" ref="Z15:Z20" si="5">A15</f>
        <v>0</v>
      </c>
      <c r="AA15" s="57" t="str">
        <f t="shared" ref="AA15:AA36" si="6">IF(AND(ISNUMBER(N15),ISNUMBER($Z$12)),N15/$Z$12,"")</f>
        <v/>
      </c>
      <c r="AB15" s="57" t="str">
        <f t="shared" ref="AB15:AB20" si="7">IF(AND(ISNUMBER(Q15),ISNUMBER($Z$12)),Q15/$Z$12,"")</f>
        <v/>
      </c>
      <c r="AH15" s="71">
        <f t="shared" ref="AH15:AH20" si="8">E15+AH14</f>
        <v>0</v>
      </c>
      <c r="AI15" s="68">
        <f>IF(AH15&gt;$AI$12,AH15-($AI$12+AI14),0)</f>
        <v>0</v>
      </c>
      <c r="AJ15" s="56">
        <f>IF(AND(AM15=0),AM15,IF(AND(AM15&gt;0,E15=AM15),O15-AM15-AI15,IF(AND(E15&lt;AM15),O15-AM15,IF(AND(E15&gt;AM15),O15-E15,0))))</f>
        <v>0</v>
      </c>
      <c r="AK15" s="56">
        <f t="shared" si="1"/>
        <v>0</v>
      </c>
      <c r="AM15" s="131">
        <f>J15+K15</f>
        <v>0</v>
      </c>
    </row>
    <row r="16" spans="1:42" ht="15" customHeight="1">
      <c r="A16" s="237" t="b">
        <f t="shared" si="2"/>
        <v>0</v>
      </c>
      <c r="B16" s="238"/>
      <c r="C16" s="239"/>
      <c r="D16" s="32" t="s">
        <v>25</v>
      </c>
      <c r="E16" s="51"/>
      <c r="F16" s="51"/>
      <c r="G16" s="112"/>
      <c r="H16" s="51"/>
      <c r="I16" s="51"/>
      <c r="J16" s="113"/>
      <c r="K16" s="113"/>
      <c r="L16" s="114"/>
      <c r="M16" s="51"/>
      <c r="N16" s="51"/>
      <c r="O16" s="110">
        <f t="shared" ref="O16:O19" si="9">SUM(E16:N16)-J16</f>
        <v>0</v>
      </c>
      <c r="P16" s="50" t="str">
        <f t="shared" si="3"/>
        <v/>
      </c>
      <c r="Q16" s="51"/>
      <c r="R16" s="50" t="str">
        <f t="shared" si="4"/>
        <v/>
      </c>
      <c r="S16" s="52"/>
      <c r="T16" s="52"/>
      <c r="U16" s="77">
        <f t="shared" ref="U16:U19" si="10">(AJ16+AK16)</f>
        <v>0</v>
      </c>
      <c r="V16" s="77">
        <f t="shared" si="0"/>
        <v>0</v>
      </c>
      <c r="W16" s="50"/>
      <c r="X16" s="49" t="str">
        <f>IF(ISNA(INDEX('Conversion Factors'!$B$6:$B$370,MATCH('Test File'!$Z$14:$Z$20,'Conversion Factors'!$A$6:$A$370,0))),"",INDEX('Conversion Factors'!$B$6:$B$370,MATCH('Test File'!$Z$14:$Z$20,'Conversion Factors'!$A$6:$A$370,0)))</f>
        <v/>
      </c>
      <c r="Z16" s="18" t="b">
        <f t="shared" si="5"/>
        <v>0</v>
      </c>
      <c r="AA16" s="57" t="str">
        <f t="shared" si="6"/>
        <v/>
      </c>
      <c r="AB16" s="57" t="str">
        <f t="shared" si="7"/>
        <v/>
      </c>
      <c r="AG16" s="1"/>
      <c r="AH16" s="71">
        <f t="shared" si="8"/>
        <v>0</v>
      </c>
      <c r="AI16" s="68">
        <f>IF(AH16&gt;$AI$12,AH16-($AI$12+AI15+AI14),0)</f>
        <v>0</v>
      </c>
      <c r="AJ16" s="56">
        <f t="shared" ref="AJ16:AJ20" si="11">IF(AND(AM16=0),AM16,IF(AND(AM16&gt;0,E16=AM16),O16-AM16-AI16,IF(AND(E16&lt;AM16),O16-AM16,IF(AND(E16&gt;AM16),O16-E16,0))))</f>
        <v>0</v>
      </c>
      <c r="AK16" s="56">
        <f t="shared" si="1"/>
        <v>0</v>
      </c>
      <c r="AM16" s="131">
        <f t="shared" ref="AM16:AM20" si="12">J16+K16</f>
        <v>0</v>
      </c>
    </row>
    <row r="17" spans="1:39" ht="15" customHeight="1">
      <c r="A17" s="237" t="b">
        <f t="shared" si="2"/>
        <v>0</v>
      </c>
      <c r="B17" s="238"/>
      <c r="C17" s="239"/>
      <c r="D17" s="32" t="s">
        <v>26</v>
      </c>
      <c r="E17" s="51"/>
      <c r="F17" s="51"/>
      <c r="G17" s="112"/>
      <c r="H17" s="51"/>
      <c r="I17" s="51"/>
      <c r="J17" s="113"/>
      <c r="K17" s="113"/>
      <c r="L17" s="114"/>
      <c r="M17" s="51"/>
      <c r="N17" s="51"/>
      <c r="O17" s="110">
        <f t="shared" si="9"/>
        <v>0</v>
      </c>
      <c r="P17" s="50" t="str">
        <f t="shared" si="3"/>
        <v/>
      </c>
      <c r="Q17" s="51"/>
      <c r="R17" s="50" t="str">
        <f t="shared" si="4"/>
        <v/>
      </c>
      <c r="S17" s="52"/>
      <c r="T17" s="52"/>
      <c r="U17" s="77">
        <f t="shared" si="10"/>
        <v>0</v>
      </c>
      <c r="V17" s="77">
        <f t="shared" si="0"/>
        <v>0</v>
      </c>
      <c r="W17" s="50"/>
      <c r="X17" s="49" t="str">
        <f>IF(ISNA(INDEX('Conversion Factors'!$B$6:$B$370,MATCH('Test File'!$Z$14:$Z$20,'Conversion Factors'!$A$6:$A$370,0))),"",INDEX('Conversion Factors'!$B$6:$B$370,MATCH('Test File'!$Z$14:$Z$20,'Conversion Factors'!$A$6:$A$370,0)))</f>
        <v/>
      </c>
      <c r="Z17" s="18" t="b">
        <f t="shared" si="5"/>
        <v>0</v>
      </c>
      <c r="AA17" s="57" t="str">
        <f t="shared" si="6"/>
        <v/>
      </c>
      <c r="AB17" s="57" t="str">
        <f t="shared" si="7"/>
        <v/>
      </c>
      <c r="AG17" s="1"/>
      <c r="AH17" s="71">
        <f t="shared" si="8"/>
        <v>0</v>
      </c>
      <c r="AI17" s="68">
        <f>IF(AH17&gt;$AI$12,AH17-($AI$12+AI16+AI15+AI14),0)</f>
        <v>0</v>
      </c>
      <c r="AJ17" s="56">
        <f t="shared" si="11"/>
        <v>0</v>
      </c>
      <c r="AK17" s="56">
        <f t="shared" si="1"/>
        <v>0</v>
      </c>
      <c r="AM17" s="131">
        <f t="shared" si="12"/>
        <v>0</v>
      </c>
    </row>
    <row r="18" spans="1:39" ht="15" customHeight="1">
      <c r="A18" s="237">
        <f t="shared" si="2"/>
        <v>44378</v>
      </c>
      <c r="B18" s="238"/>
      <c r="C18" s="239"/>
      <c r="D18" s="32" t="s">
        <v>27</v>
      </c>
      <c r="E18" s="51"/>
      <c r="F18" s="51"/>
      <c r="G18" s="112"/>
      <c r="H18" s="51"/>
      <c r="I18" s="51"/>
      <c r="J18" s="113"/>
      <c r="K18" s="113"/>
      <c r="L18" s="114"/>
      <c r="M18" s="51"/>
      <c r="N18" s="51"/>
      <c r="O18" s="110">
        <f t="shared" si="9"/>
        <v>0</v>
      </c>
      <c r="P18" s="50" t="str">
        <f t="shared" si="3"/>
        <v/>
      </c>
      <c r="Q18" s="51"/>
      <c r="R18" s="50" t="str">
        <f t="shared" si="4"/>
        <v/>
      </c>
      <c r="S18" s="52"/>
      <c r="T18" s="52"/>
      <c r="U18" s="77">
        <f t="shared" si="10"/>
        <v>0</v>
      </c>
      <c r="V18" s="77">
        <f>IF(AND(AI18&gt;0,AND(U18&lt;E18)),G18-U18,0)</f>
        <v>0</v>
      </c>
      <c r="W18" s="50"/>
      <c r="X18" s="49">
        <f>IF(ISNA(INDEX('Conversion Factors'!$B$6:$B$370,MATCH('Test File'!$Z$14:$Z$20,'Conversion Factors'!$A$6:$A$370,0))),"",INDEX('Conversion Factors'!$B$6:$B$370,MATCH('Test File'!$Z$14:$Z$20,'Conversion Factors'!$A$6:$A$370,0)))</f>
        <v>7.8789999999999996</v>
      </c>
      <c r="Z18" s="18">
        <f t="shared" si="5"/>
        <v>44378</v>
      </c>
      <c r="AA18" s="57" t="str">
        <f t="shared" si="6"/>
        <v/>
      </c>
      <c r="AB18" s="57" t="str">
        <f t="shared" si="7"/>
        <v/>
      </c>
      <c r="AH18" s="71">
        <f t="shared" si="8"/>
        <v>0</v>
      </c>
      <c r="AI18" s="68">
        <f>IF(AH18&gt;$AI$12,AH18-($AI$12+AI17+AI16+AI15+AI14),0)</f>
        <v>0</v>
      </c>
      <c r="AJ18" s="56">
        <f t="shared" si="11"/>
        <v>0</v>
      </c>
      <c r="AK18" s="56">
        <f>IF(AND(G18=0),G18,IF(AND(G18&gt;0,E18=G18),O18-G18-AI18,IF(AND(E18&lt;G18),O18-G18,IF(AND(G18&gt;AI18),G18-AI18,0))))</f>
        <v>0</v>
      </c>
      <c r="AM18" s="131">
        <f t="shared" si="12"/>
        <v>0</v>
      </c>
    </row>
    <row r="19" spans="1:39" ht="15" customHeight="1">
      <c r="A19" s="237">
        <f t="shared" si="2"/>
        <v>44379</v>
      </c>
      <c r="B19" s="238"/>
      <c r="C19" s="239"/>
      <c r="D19" s="32" t="s">
        <v>28</v>
      </c>
      <c r="E19" s="51"/>
      <c r="F19" s="51"/>
      <c r="G19" s="112"/>
      <c r="H19" s="51"/>
      <c r="I19" s="51"/>
      <c r="J19" s="113"/>
      <c r="K19" s="113"/>
      <c r="L19" s="114"/>
      <c r="M19" s="51"/>
      <c r="N19" s="51"/>
      <c r="O19" s="110">
        <f t="shared" si="9"/>
        <v>0</v>
      </c>
      <c r="P19" s="50" t="str">
        <f t="shared" si="3"/>
        <v/>
      </c>
      <c r="Q19" s="51"/>
      <c r="R19" s="50" t="str">
        <f t="shared" si="4"/>
        <v/>
      </c>
      <c r="S19" s="52"/>
      <c r="T19" s="52"/>
      <c r="U19" s="77">
        <f t="shared" si="10"/>
        <v>0</v>
      </c>
      <c r="V19" s="77">
        <f>IF(AND(AI19&gt;0,AND(U19&lt;E19)),G19-U19,0)</f>
        <v>0</v>
      </c>
      <c r="W19" s="50"/>
      <c r="X19" s="49">
        <f>IF(ISNA(INDEX('Conversion Factors'!$B$6:$B$370,MATCH('Test File'!$Z$14:$Z$20,'Conversion Factors'!$A$6:$A$370,0))),"",INDEX('Conversion Factors'!$B$6:$B$370,MATCH('Test File'!$Z$14:$Z$20,'Conversion Factors'!$A$6:$A$370,0)))</f>
        <v>7.8789999999999996</v>
      </c>
      <c r="Z19" s="18">
        <f t="shared" si="5"/>
        <v>44379</v>
      </c>
      <c r="AA19" s="57" t="str">
        <f t="shared" si="6"/>
        <v/>
      </c>
      <c r="AB19" s="57" t="str">
        <f t="shared" si="7"/>
        <v/>
      </c>
      <c r="AH19" s="71">
        <f t="shared" si="8"/>
        <v>0</v>
      </c>
      <c r="AI19" s="68">
        <f>IF(AH19&gt;$AI$12,AH19-($AI$12+AI18+AI17+AI16+AI15+AI14),0)</f>
        <v>0</v>
      </c>
      <c r="AJ19" s="56">
        <f t="shared" si="11"/>
        <v>0</v>
      </c>
      <c r="AK19" s="56">
        <f t="shared" ref="AK19:AK20" si="13">IF(AND(G19=0),G19,IF(AND(G19&gt;0,E19=G19),O19-G19-AI19,IF(AND(E19&lt;G19),O19-G19,IF(AND(G19&gt;AI19),G19-AI19,0))))</f>
        <v>0</v>
      </c>
      <c r="AM19" s="131">
        <f t="shared" si="12"/>
        <v>0</v>
      </c>
    </row>
    <row r="20" spans="1:39" ht="15" customHeight="1" thickBot="1">
      <c r="A20" s="237">
        <f t="shared" si="2"/>
        <v>44380</v>
      </c>
      <c r="B20" s="238"/>
      <c r="C20" s="239"/>
      <c r="D20" s="32" t="s">
        <v>29</v>
      </c>
      <c r="E20" s="51"/>
      <c r="F20" s="51"/>
      <c r="G20" s="112"/>
      <c r="H20" s="51"/>
      <c r="I20" s="51"/>
      <c r="J20" s="113"/>
      <c r="K20" s="113"/>
      <c r="L20" s="114"/>
      <c r="M20" s="51"/>
      <c r="N20" s="52"/>
      <c r="O20" s="110">
        <f>SUM(E20:N20)-J20</f>
        <v>0</v>
      </c>
      <c r="P20" s="50" t="str">
        <f t="shared" si="3"/>
        <v/>
      </c>
      <c r="Q20" s="52"/>
      <c r="R20" s="50" t="str">
        <f t="shared" si="4"/>
        <v/>
      </c>
      <c r="S20" s="52"/>
      <c r="T20" s="52"/>
      <c r="U20" s="77">
        <f>(AJ20+AK20)</f>
        <v>0</v>
      </c>
      <c r="V20" s="77">
        <f t="shared" ref="V20" si="14">IF(AND(AI20&gt;0,AND(U20&lt;E20)),G20-U20,0)</f>
        <v>0</v>
      </c>
      <c r="W20" s="50"/>
      <c r="X20" s="49">
        <f>IF(ISNA(INDEX('Conversion Factors'!$B$6:$B$370,MATCH('Test File'!$Z$14:$Z$20,'Conversion Factors'!$A$6:$A$370,0))),"",INDEX('Conversion Factors'!$B$6:$B$370,MATCH('Test File'!$Z$14:$Z$20,'Conversion Factors'!$A$6:$A$370,0)))</f>
        <v>7.8789999999999996</v>
      </c>
      <c r="Z20" s="18">
        <f t="shared" si="5"/>
        <v>44380</v>
      </c>
      <c r="AA20" s="57" t="str">
        <f t="shared" si="6"/>
        <v/>
      </c>
      <c r="AB20" s="57" t="str">
        <f t="shared" si="7"/>
        <v/>
      </c>
      <c r="AH20" s="71">
        <f t="shared" si="8"/>
        <v>0</v>
      </c>
      <c r="AI20" s="68">
        <f>IF(AH20&gt;$AI$12,AH20-($AI$12+AI19+AI18+AI17+AI16+AI15+AI14),0)</f>
        <v>0</v>
      </c>
      <c r="AJ20" s="56">
        <f t="shared" si="11"/>
        <v>0</v>
      </c>
      <c r="AK20" s="56">
        <f t="shared" si="13"/>
        <v>0</v>
      </c>
      <c r="AM20" s="131">
        <f t="shared" si="12"/>
        <v>0</v>
      </c>
    </row>
    <row r="21" spans="1:39" s="6" customFormat="1" ht="15" customHeight="1" thickTop="1" thickBot="1">
      <c r="A21" s="228" t="s">
        <v>79</v>
      </c>
      <c r="B21" s="229"/>
      <c r="C21" s="230"/>
      <c r="D21" s="33"/>
      <c r="E21" s="34">
        <f t="shared" ref="E21:N21" si="15">SUM(E14:E20)</f>
        <v>0</v>
      </c>
      <c r="F21" s="34">
        <f t="shared" si="15"/>
        <v>0</v>
      </c>
      <c r="G21" s="76">
        <f t="shared" si="15"/>
        <v>0</v>
      </c>
      <c r="H21" s="34">
        <f t="shared" si="15"/>
        <v>0</v>
      </c>
      <c r="I21" s="34">
        <f t="shared" si="15"/>
        <v>0</v>
      </c>
      <c r="J21" s="74"/>
      <c r="K21" s="74">
        <f t="shared" si="15"/>
        <v>0</v>
      </c>
      <c r="L21" s="34">
        <f t="shared" si="15"/>
        <v>0</v>
      </c>
      <c r="M21" s="34">
        <f t="shared" si="15"/>
        <v>0</v>
      </c>
      <c r="N21" s="34">
        <f t="shared" si="15"/>
        <v>0</v>
      </c>
      <c r="O21" s="34">
        <f>SUM(O14:O20)</f>
        <v>0</v>
      </c>
      <c r="P21" s="89">
        <f>-SUM(P14:P20)</f>
        <v>0</v>
      </c>
      <c r="Q21" s="34">
        <f>SUM(Q14:Q20)</f>
        <v>0</v>
      </c>
      <c r="R21" s="46">
        <f>SUM(R14:R20)</f>
        <v>0</v>
      </c>
      <c r="S21" s="34">
        <f>IF(E21&gt;40,E21-40,0)</f>
        <v>0</v>
      </c>
      <c r="T21" s="34" t="e">
        <f>MROUND(AL21,0.25)</f>
        <v>#REF!</v>
      </c>
      <c r="U21" s="76">
        <f>SUM(U14:U20)</f>
        <v>0</v>
      </c>
      <c r="V21" s="76">
        <f>SUM(V14:V20)</f>
        <v>0</v>
      </c>
      <c r="W21" s="44" t="e">
        <f>AD21</f>
        <v>#REF!</v>
      </c>
      <c r="X21" s="34"/>
      <c r="Z21" s="79"/>
      <c r="AA21" s="79"/>
      <c r="AB21" s="79"/>
      <c r="AC21" s="80">
        <f>SUM(F21:N21)</f>
        <v>0</v>
      </c>
      <c r="AD21" s="81" t="e">
        <f>IF(AND(AG21&lt;40,O21&gt;=AG21),O21-(AG21+S21),IF(AND(O21&lt;AG21,E21=O21),O21-E21,IF(AND(E21&gt;AG21,E21&lt;40),E21-AG21,IF(AND(O21&gt;AG21,E21&lt;AG21),E21-(AG21-AC21),IF(AND(O21&gt;AG21,E21&gt;40),E21-(AG21-AC21+S21),IF(AND(O21&gt;AG21,O21&gt;40),O21-(S21+AG21),0))))))</f>
        <v>#REF!</v>
      </c>
      <c r="AE21" s="80"/>
      <c r="AF21" s="79" t="e">
        <f>$W$11</f>
        <v>#REF!</v>
      </c>
      <c r="AG21" s="82" t="e">
        <f>$E$11</f>
        <v>#REF!</v>
      </c>
      <c r="AH21" s="83"/>
      <c r="AI21" s="84">
        <f>IF(AH21&gt;$AI$12,-$AI$12,0)</f>
        <v>0</v>
      </c>
      <c r="AJ21" s="80"/>
      <c r="AK21" s="79"/>
      <c r="AL21" s="34" t="e">
        <f>IF(AF21="Yes",S21*1.5,0)</f>
        <v>#REF!</v>
      </c>
    </row>
    <row r="22" spans="1:39" ht="15" customHeight="1" thickTop="1">
      <c r="A22" s="237">
        <f>IF(A20=0,"",IF(A20&lt;$O$7,A20+1,IF(A20=$O$7,"")))</f>
        <v>44381</v>
      </c>
      <c r="B22" s="238"/>
      <c r="C22" s="239"/>
      <c r="D22" s="32" t="s">
        <v>23</v>
      </c>
      <c r="E22" s="51"/>
      <c r="F22" s="51"/>
      <c r="G22" s="112"/>
      <c r="H22" s="51"/>
      <c r="I22" s="51"/>
      <c r="J22" s="113"/>
      <c r="K22" s="113"/>
      <c r="L22" s="114"/>
      <c r="M22" s="51"/>
      <c r="N22" s="52"/>
      <c r="O22" s="110">
        <f>SUM(E22:N22)-J22</f>
        <v>0</v>
      </c>
      <c r="P22" s="50" t="str">
        <f>IF(AND(ISNUMBER(AA22),ISNUMBER(X22)),AA22*X22,"")</f>
        <v/>
      </c>
      <c r="Q22" s="52"/>
      <c r="R22" s="50" t="str">
        <f>IF(AND(ISNUMBER(AB22),ISNUMBER(X22)),AB22*X22,"")</f>
        <v/>
      </c>
      <c r="S22" s="52"/>
      <c r="T22" s="52"/>
      <c r="U22" s="77">
        <f>(AJ22+AK22)</f>
        <v>0</v>
      </c>
      <c r="V22" s="77">
        <f t="shared" ref="V22:V25" si="16">IF(AND(AI22&gt;0,AND(U22&lt;E22)),G22-U22,0)</f>
        <v>0</v>
      </c>
      <c r="W22" s="50"/>
      <c r="X22" s="49">
        <f>IF(ISNA(INDEX('Conversion Factors'!$B$6:$B$370,MATCH('Test File'!$Z$22:$Z$81,'Conversion Factors'!$A$6:$A$370,0))),"",INDEX('Conversion Factors'!$B$6:$B$370,MATCH('Test File'!$Z$22:$Z$28,'Conversion Factors'!$A$6:$A$370,0)))</f>
        <v>7.8789999999999996</v>
      </c>
      <c r="Z22" s="17">
        <f>A22</f>
        <v>44381</v>
      </c>
      <c r="AA22" s="57" t="str">
        <f t="shared" si="6"/>
        <v/>
      </c>
      <c r="AB22" s="57" t="str">
        <f t="shared" ref="AB22:AB28" si="17">IF(AND(ISNUMBER(Q22),ISNUMBER($Z$12)),Q22/$Z$12,"")</f>
        <v/>
      </c>
      <c r="AC22" s="58"/>
      <c r="AD22" s="59"/>
      <c r="AE22" s="58"/>
      <c r="AF22" s="58"/>
      <c r="AG22" s="64"/>
      <c r="AH22" s="71">
        <f t="shared" ref="AH22:AH28" si="18">E22+AH21</f>
        <v>0</v>
      </c>
      <c r="AI22" s="68">
        <f>IF(AH22&gt;$AI$12,AH22-($AI$12+AI21),0)</f>
        <v>0</v>
      </c>
      <c r="AJ22" s="56">
        <f>IF(AND(AM22=0),AM22,IF(AND(AM22&gt;0,E22=AM22),O22-AM22-AI22,IF(AND(E22&lt;AM22),O22-AM22,IF(AND(E22&gt;AM22),O22-E22,0))))</f>
        <v>0</v>
      </c>
      <c r="AK22" s="56">
        <f t="shared" ref="AK22:AK25" si="19">IF(AND(G22=0),G22,IF(AND(G22&gt;0,E22=G22),O22-G22-AI22,IF(AND(E22&lt;G22),O22-G22,IF(AND(G22&gt;AI22),G22-AI22,0))))</f>
        <v>0</v>
      </c>
      <c r="AM22" s="131">
        <f>J22+K22</f>
        <v>0</v>
      </c>
    </row>
    <row r="23" spans="1:39" ht="15" customHeight="1">
      <c r="A23" s="225">
        <f t="shared" ref="A23:A28" si="20">IF(A22&lt;$O$7,A22+1,IF(A22=$O$7,""))</f>
        <v>44382</v>
      </c>
      <c r="B23" s="226"/>
      <c r="C23" s="227"/>
      <c r="D23" s="32" t="s">
        <v>24</v>
      </c>
      <c r="E23" s="51"/>
      <c r="F23" s="51"/>
      <c r="G23" s="112"/>
      <c r="H23" s="51"/>
      <c r="I23" s="51"/>
      <c r="J23" s="113"/>
      <c r="K23" s="113"/>
      <c r="L23" s="114"/>
      <c r="M23" s="51"/>
      <c r="N23" s="51"/>
      <c r="O23" s="110">
        <f>SUM(E23:N23)-J23</f>
        <v>0</v>
      </c>
      <c r="P23" s="50" t="str">
        <f t="shared" ref="P23:P28" si="21">IF(AND(ISNUMBER(AA23),ISNUMBER(X23)),AA23*X23,"")</f>
        <v/>
      </c>
      <c r="Q23" s="51"/>
      <c r="R23" s="50" t="str">
        <f t="shared" ref="R23:R28" si="22">IF(AND(ISNUMBER(AB23),ISNUMBER(X23)),AB23*X23,"")</f>
        <v/>
      </c>
      <c r="S23" s="52"/>
      <c r="T23" s="52"/>
      <c r="U23" s="77">
        <f>(AJ23+AK23)</f>
        <v>0</v>
      </c>
      <c r="V23" s="77">
        <f t="shared" si="16"/>
        <v>0</v>
      </c>
      <c r="W23" s="50"/>
      <c r="X23" s="49">
        <f>IF(ISNA(INDEX('Conversion Factors'!$B$6:$B$370,MATCH('Test File'!$Z$22:$Z$81,'Conversion Factors'!$A$6:$A$370,0))),"",INDEX('Conversion Factors'!$B$6:$B$370,MATCH('Test File'!$Z$22:$Z$28,'Conversion Factors'!$A$6:$A$370,0)))</f>
        <v>7.8789999999999996</v>
      </c>
      <c r="Z23" s="17">
        <f t="shared" ref="Z23:Z36" si="23">A23</f>
        <v>44382</v>
      </c>
      <c r="AA23" s="57" t="str">
        <f t="shared" si="6"/>
        <v/>
      </c>
      <c r="AB23" s="57" t="str">
        <f t="shared" si="17"/>
        <v/>
      </c>
      <c r="AH23" s="71">
        <f t="shared" si="18"/>
        <v>0</v>
      </c>
      <c r="AI23" s="68">
        <f>IF(AH23&gt;$AI$12,AH23-($AI$12+AI22+AI21),0)</f>
        <v>0</v>
      </c>
      <c r="AJ23" s="56">
        <f>IF(AND(AM23=0),AM23,IF(AND(AM23&gt;0,E23=AM23),O23-AM23-AI23,IF(AND(E23&lt;AM23),O23-AM23,IF(AND(E23&gt;AM23),O23-E23,0))))</f>
        <v>0</v>
      </c>
      <c r="AK23" s="56">
        <f t="shared" si="19"/>
        <v>0</v>
      </c>
      <c r="AM23" s="131">
        <f>J23+K23</f>
        <v>0</v>
      </c>
    </row>
    <row r="24" spans="1:39" ht="15" customHeight="1">
      <c r="A24" s="225">
        <f t="shared" si="20"/>
        <v>44383</v>
      </c>
      <c r="B24" s="226"/>
      <c r="C24" s="227"/>
      <c r="D24" s="32" t="s">
        <v>25</v>
      </c>
      <c r="E24" s="51"/>
      <c r="F24" s="51"/>
      <c r="G24" s="112"/>
      <c r="H24" s="51"/>
      <c r="I24" s="51"/>
      <c r="J24" s="113"/>
      <c r="K24" s="113"/>
      <c r="L24" s="114"/>
      <c r="M24" s="51"/>
      <c r="N24" s="51"/>
      <c r="O24" s="110">
        <f t="shared" ref="O24:O27" si="24">SUM(E24:N24)-J24</f>
        <v>0</v>
      </c>
      <c r="P24" s="50" t="str">
        <f t="shared" si="21"/>
        <v/>
      </c>
      <c r="Q24" s="51"/>
      <c r="R24" s="50" t="str">
        <f t="shared" si="22"/>
        <v/>
      </c>
      <c r="S24" s="52"/>
      <c r="T24" s="52"/>
      <c r="U24" s="77">
        <f t="shared" ref="U24:U27" si="25">(AJ24+AK24)</f>
        <v>0</v>
      </c>
      <c r="V24" s="77">
        <f t="shared" si="16"/>
        <v>0</v>
      </c>
      <c r="W24" s="50"/>
      <c r="X24" s="49">
        <f>IF(ISNA(INDEX('Conversion Factors'!$B$6:$B$370,MATCH('Test File'!$Z$22:$Z$81,'Conversion Factors'!$A$6:$A$370,0))),"",INDEX('Conversion Factors'!$B$6:$B$370,MATCH('Test File'!$Z$22:$Z$28,'Conversion Factors'!$A$6:$A$370,0)))</f>
        <v>7.8789999999999996</v>
      </c>
      <c r="Z24" s="17">
        <f t="shared" si="23"/>
        <v>44383</v>
      </c>
      <c r="AA24" s="57" t="str">
        <f t="shared" si="6"/>
        <v/>
      </c>
      <c r="AB24" s="57" t="str">
        <f t="shared" si="17"/>
        <v/>
      </c>
      <c r="AG24" s="1"/>
      <c r="AH24" s="71">
        <f t="shared" si="18"/>
        <v>0</v>
      </c>
      <c r="AI24" s="68">
        <f>IF(AH24&gt;$AI$12,AH24-($AI$12+AI23+AI22+AI21),0)</f>
        <v>0</v>
      </c>
      <c r="AJ24" s="56">
        <f t="shared" ref="AJ24:AJ28" si="26">IF(AND(AM24=0),AM24,IF(AND(AM24&gt;0,E24=AM24),O24-AM24-AI24,IF(AND(E24&lt;AM24),O24-AM24,IF(AND(E24&gt;AM24),O24-E24,0))))</f>
        <v>0</v>
      </c>
      <c r="AK24" s="56">
        <f t="shared" si="19"/>
        <v>0</v>
      </c>
      <c r="AM24" s="131">
        <f t="shared" ref="AM24:AM28" si="27">J24+K24</f>
        <v>0</v>
      </c>
    </row>
    <row r="25" spans="1:39" ht="15" customHeight="1">
      <c r="A25" s="225">
        <f t="shared" si="20"/>
        <v>44384</v>
      </c>
      <c r="B25" s="226"/>
      <c r="C25" s="227"/>
      <c r="D25" s="32" t="s">
        <v>26</v>
      </c>
      <c r="E25" s="51"/>
      <c r="F25" s="51"/>
      <c r="G25" s="112"/>
      <c r="H25" s="51"/>
      <c r="I25" s="51"/>
      <c r="J25" s="113"/>
      <c r="K25" s="113"/>
      <c r="L25" s="114"/>
      <c r="M25" s="51"/>
      <c r="N25" s="51"/>
      <c r="O25" s="110">
        <f t="shared" si="24"/>
        <v>0</v>
      </c>
      <c r="P25" s="50" t="str">
        <f t="shared" si="21"/>
        <v/>
      </c>
      <c r="Q25" s="51"/>
      <c r="R25" s="50" t="str">
        <f t="shared" si="22"/>
        <v/>
      </c>
      <c r="S25" s="52"/>
      <c r="T25" s="52"/>
      <c r="U25" s="77">
        <f t="shared" si="25"/>
        <v>0</v>
      </c>
      <c r="V25" s="77">
        <f t="shared" si="16"/>
        <v>0</v>
      </c>
      <c r="W25" s="50"/>
      <c r="X25" s="49">
        <f>IF(ISNA(INDEX('Conversion Factors'!$B$6:$B$370,MATCH('Test File'!$Z$22:$Z$81,'Conversion Factors'!$A$6:$A$370,0))),"",INDEX('Conversion Factors'!$B$6:$B$370,MATCH('Test File'!$Z$22:$Z$28,'Conversion Factors'!$A$6:$A$370,0)))</f>
        <v>7.8789999999999996</v>
      </c>
      <c r="Z25" s="17">
        <f t="shared" si="23"/>
        <v>44384</v>
      </c>
      <c r="AA25" s="57" t="str">
        <f t="shared" si="6"/>
        <v/>
      </c>
      <c r="AB25" s="57" t="str">
        <f t="shared" si="17"/>
        <v/>
      </c>
      <c r="AG25" s="1"/>
      <c r="AH25" s="71">
        <f t="shared" si="18"/>
        <v>0</v>
      </c>
      <c r="AI25" s="68">
        <f>IF(AH25&gt;$AI$12,AH25-($AI$12+AI24+AI23+AI22+AI21),0)</f>
        <v>0</v>
      </c>
      <c r="AJ25" s="56">
        <f t="shared" si="26"/>
        <v>0</v>
      </c>
      <c r="AK25" s="56">
        <f t="shared" si="19"/>
        <v>0</v>
      </c>
      <c r="AM25" s="131">
        <f t="shared" si="27"/>
        <v>0</v>
      </c>
    </row>
    <row r="26" spans="1:39" ht="15" customHeight="1">
      <c r="A26" s="225">
        <f t="shared" si="20"/>
        <v>44385</v>
      </c>
      <c r="B26" s="226"/>
      <c r="C26" s="227"/>
      <c r="D26" s="32" t="s">
        <v>27</v>
      </c>
      <c r="E26" s="51"/>
      <c r="F26" s="51"/>
      <c r="G26" s="112"/>
      <c r="H26" s="51"/>
      <c r="I26" s="51"/>
      <c r="J26" s="113"/>
      <c r="K26" s="113"/>
      <c r="L26" s="114"/>
      <c r="M26" s="51"/>
      <c r="N26" s="51"/>
      <c r="O26" s="110">
        <f t="shared" si="24"/>
        <v>0</v>
      </c>
      <c r="P26" s="50" t="str">
        <f t="shared" si="21"/>
        <v/>
      </c>
      <c r="Q26" s="51"/>
      <c r="R26" s="50" t="str">
        <f t="shared" si="22"/>
        <v/>
      </c>
      <c r="S26" s="52"/>
      <c r="T26" s="52"/>
      <c r="U26" s="77">
        <f t="shared" si="25"/>
        <v>0</v>
      </c>
      <c r="V26" s="77">
        <f>IF(AND(AI26&gt;0,AND(U26&lt;E26)),G26-U26,0)</f>
        <v>0</v>
      </c>
      <c r="W26" s="50"/>
      <c r="X26" s="49">
        <f>IF(ISNA(INDEX('Conversion Factors'!$B$6:$B$370,MATCH('Test File'!$Z$22:$Z$81,'Conversion Factors'!$A$6:$A$370,0))),"",INDEX('Conversion Factors'!$B$6:$B$370,MATCH('Test File'!$Z$22:$Z$28,'Conversion Factors'!$A$6:$A$370,0)))</f>
        <v>7.8789999999999996</v>
      </c>
      <c r="Z26" s="17">
        <f t="shared" si="23"/>
        <v>44385</v>
      </c>
      <c r="AA26" s="57" t="str">
        <f t="shared" si="6"/>
        <v/>
      </c>
      <c r="AB26" s="57" t="str">
        <f t="shared" si="17"/>
        <v/>
      </c>
      <c r="AH26" s="71">
        <f t="shared" si="18"/>
        <v>0</v>
      </c>
      <c r="AI26" s="68">
        <f>IF(AH26&gt;$AI$12,AH26-($AI$12+AI25+AI24+AI23+AI22+AI21),0)</f>
        <v>0</v>
      </c>
      <c r="AJ26" s="56">
        <f t="shared" si="26"/>
        <v>0</v>
      </c>
      <c r="AK26" s="56">
        <f>IF(AND(G26=0),G26,IF(AND(G26&gt;0,E26=G26),O26-G26-AI26,IF(AND(E26&lt;G26),O26-G26,IF(AND(G26&gt;AI26),G26-AI26,0))))</f>
        <v>0</v>
      </c>
      <c r="AM26" s="131">
        <f t="shared" si="27"/>
        <v>0</v>
      </c>
    </row>
    <row r="27" spans="1:39" ht="15" customHeight="1">
      <c r="A27" s="225">
        <f t="shared" si="20"/>
        <v>44386</v>
      </c>
      <c r="B27" s="226"/>
      <c r="C27" s="227"/>
      <c r="D27" s="32" t="s">
        <v>28</v>
      </c>
      <c r="E27" s="51"/>
      <c r="F27" s="51"/>
      <c r="G27" s="112"/>
      <c r="H27" s="51"/>
      <c r="I27" s="51"/>
      <c r="J27" s="113"/>
      <c r="K27" s="113"/>
      <c r="L27" s="114"/>
      <c r="M27" s="51"/>
      <c r="N27" s="51"/>
      <c r="O27" s="110">
        <f t="shared" si="24"/>
        <v>0</v>
      </c>
      <c r="P27" s="50" t="str">
        <f t="shared" si="21"/>
        <v/>
      </c>
      <c r="Q27" s="51"/>
      <c r="R27" s="50" t="str">
        <f t="shared" si="22"/>
        <v/>
      </c>
      <c r="S27" s="52"/>
      <c r="T27" s="52"/>
      <c r="U27" s="77">
        <f t="shared" si="25"/>
        <v>0</v>
      </c>
      <c r="V27" s="77">
        <f>IF(AND(AI27&gt;0,AND(U27&lt;E27)),G27-U27,0)</f>
        <v>0</v>
      </c>
      <c r="W27" s="50"/>
      <c r="X27" s="49">
        <f>IF(ISNA(INDEX('Conversion Factors'!$B$6:$B$370,MATCH('Test File'!$Z$22:$Z$81,'Conversion Factors'!$A$6:$A$370,0))),"",INDEX('Conversion Factors'!$B$6:$B$370,MATCH('Test File'!$Z$22:$Z$28,'Conversion Factors'!$A$6:$A$370,0)))</f>
        <v>7.8789999999999996</v>
      </c>
      <c r="Z27" s="17">
        <f t="shared" si="23"/>
        <v>44386</v>
      </c>
      <c r="AA27" s="57" t="str">
        <f t="shared" si="6"/>
        <v/>
      </c>
      <c r="AB27" s="57" t="str">
        <f t="shared" si="17"/>
        <v/>
      </c>
      <c r="AH27" s="71">
        <f t="shared" si="18"/>
        <v>0</v>
      </c>
      <c r="AI27" s="68">
        <f>IF(AH27&gt;$AI$12,AH27-($AI$12+AI26+AI25+AI24+AI23+AI22+AI21),0)</f>
        <v>0</v>
      </c>
      <c r="AJ27" s="56">
        <f t="shared" si="26"/>
        <v>0</v>
      </c>
      <c r="AK27" s="56">
        <f t="shared" ref="AK27:AK28" si="28">IF(AND(G27=0),G27,IF(AND(G27&gt;0,E27=G27),O27-G27-AI27,IF(AND(E27&lt;G27),O27-G27,IF(AND(G27&gt;AI27),G27-AI27,0))))</f>
        <v>0</v>
      </c>
      <c r="AM27" s="131">
        <f t="shared" si="27"/>
        <v>0</v>
      </c>
    </row>
    <row r="28" spans="1:39" ht="15" customHeight="1" thickBot="1">
      <c r="A28" s="225">
        <f t="shared" si="20"/>
        <v>44387</v>
      </c>
      <c r="B28" s="226"/>
      <c r="C28" s="227"/>
      <c r="D28" s="32" t="s">
        <v>29</v>
      </c>
      <c r="E28" s="51"/>
      <c r="F28" s="51"/>
      <c r="G28" s="112"/>
      <c r="H28" s="51"/>
      <c r="I28" s="51"/>
      <c r="J28" s="113"/>
      <c r="K28" s="113"/>
      <c r="L28" s="114"/>
      <c r="M28" s="51"/>
      <c r="N28" s="52"/>
      <c r="O28" s="110">
        <f>SUM(E28:N28)-J28</f>
        <v>0</v>
      </c>
      <c r="P28" s="50" t="str">
        <f t="shared" si="21"/>
        <v/>
      </c>
      <c r="Q28" s="52"/>
      <c r="R28" s="50" t="str">
        <f t="shared" si="22"/>
        <v/>
      </c>
      <c r="S28" s="52"/>
      <c r="T28" s="52"/>
      <c r="U28" s="77">
        <f>(AJ28+AK28)</f>
        <v>0</v>
      </c>
      <c r="V28" s="77">
        <f t="shared" ref="V28" si="29">IF(AND(AI28&gt;0,AND(U28&lt;E28)),G28-U28,0)</f>
        <v>0</v>
      </c>
      <c r="W28" s="50"/>
      <c r="X28" s="49">
        <f>IF(ISNA(INDEX('Conversion Factors'!$B$6:$B$370,MATCH('Test File'!$Z$22:$Z$81,'Conversion Factors'!$A$6:$A$370,0))),"",INDEX('Conversion Factors'!$B$6:$B$370,MATCH('Test File'!$Z$22:$Z$28,'Conversion Factors'!$A$6:$A$370,0)))</f>
        <v>7.8789999999999996</v>
      </c>
      <c r="Z28" s="17">
        <f t="shared" si="23"/>
        <v>44387</v>
      </c>
      <c r="AA28" s="57" t="str">
        <f t="shared" si="6"/>
        <v/>
      </c>
      <c r="AB28" s="57" t="str">
        <f t="shared" si="17"/>
        <v/>
      </c>
      <c r="AH28" s="71">
        <f t="shared" si="18"/>
        <v>0</v>
      </c>
      <c r="AI28" s="68">
        <f>IF(AH28&gt;$AI$12,AH28-($AI$12+AI27+AI26+AI25+AI24+AI23+AI22+AI21),0)</f>
        <v>0</v>
      </c>
      <c r="AJ28" s="56">
        <f t="shared" si="26"/>
        <v>0</v>
      </c>
      <c r="AK28" s="56">
        <f t="shared" si="28"/>
        <v>0</v>
      </c>
      <c r="AM28" s="131">
        <f t="shared" si="27"/>
        <v>0</v>
      </c>
    </row>
    <row r="29" spans="1:39" ht="15" customHeight="1" thickTop="1" thickBot="1">
      <c r="A29" s="228" t="s">
        <v>30</v>
      </c>
      <c r="B29" s="229"/>
      <c r="C29" s="230"/>
      <c r="D29" s="33"/>
      <c r="E29" s="34">
        <f t="shared" ref="E29:N29" si="30">SUM(E22:E28)</f>
        <v>0</v>
      </c>
      <c r="F29" s="34">
        <f t="shared" si="30"/>
        <v>0</v>
      </c>
      <c r="G29" s="76">
        <f t="shared" si="30"/>
        <v>0</v>
      </c>
      <c r="H29" s="34">
        <f t="shared" si="30"/>
        <v>0</v>
      </c>
      <c r="I29" s="34">
        <f t="shared" si="30"/>
        <v>0</v>
      </c>
      <c r="J29" s="74"/>
      <c r="K29" s="74">
        <f t="shared" si="30"/>
        <v>0</v>
      </c>
      <c r="L29" s="34">
        <f t="shared" si="30"/>
        <v>0</v>
      </c>
      <c r="M29" s="34">
        <f t="shared" si="30"/>
        <v>0</v>
      </c>
      <c r="N29" s="34">
        <f t="shared" si="30"/>
        <v>0</v>
      </c>
      <c r="O29" s="34">
        <f>SUM(O22:O28)</f>
        <v>0</v>
      </c>
      <c r="P29" s="89">
        <f>-SUM(P22:P28)</f>
        <v>0</v>
      </c>
      <c r="Q29" s="34">
        <f>SUM(Q22:Q28)</f>
        <v>0</v>
      </c>
      <c r="R29" s="46">
        <f>SUM(R22:R28)</f>
        <v>0</v>
      </c>
      <c r="S29" s="34">
        <f>IF(E29&gt;40,E29-40,0)</f>
        <v>0</v>
      </c>
      <c r="T29" s="34" t="e">
        <f>MROUND(AL29,0.25)</f>
        <v>#REF!</v>
      </c>
      <c r="U29" s="76">
        <f>SUM(U22:U28)</f>
        <v>0</v>
      </c>
      <c r="V29" s="76">
        <f>SUM(V22:V28)</f>
        <v>0</v>
      </c>
      <c r="W29" s="44" t="e">
        <f>AD29</f>
        <v>#REF!</v>
      </c>
      <c r="X29" s="34"/>
      <c r="Z29" s="85"/>
      <c r="AA29" s="85"/>
      <c r="AB29" s="85"/>
      <c r="AC29" s="80">
        <f>SUM(F29:N29)</f>
        <v>0</v>
      </c>
      <c r="AD29" s="81" t="e">
        <f>IF(AND(AG29&lt;40,O29&gt;=AG29),O29-(AG29+S29),IF(AND(O29&lt;AG29,E29=O29),O29-E29,IF(AND(E29&gt;AG29,E29&lt;40),E29-AG29,IF(AND(O29&gt;AG29,E29&lt;AG29),E29-(AG29-AC29),IF(AND(O29&gt;AG29,E29&gt;40),E29-(AG29-AC29+S29),IF(AND(O29&gt;AG29,O29&gt;40),O29-(S29+AG29),0))))))</f>
        <v>#REF!</v>
      </c>
      <c r="AE29" s="80"/>
      <c r="AF29" s="79" t="e">
        <f>$W$11</f>
        <v>#REF!</v>
      </c>
      <c r="AG29" s="82" t="e">
        <f>$E$11</f>
        <v>#REF!</v>
      </c>
      <c r="AH29" s="83"/>
      <c r="AI29" s="84">
        <f>IF(AH29&gt;$AI$12,-$AI$12,0)</f>
        <v>0</v>
      </c>
      <c r="AJ29" s="80"/>
      <c r="AK29" s="79"/>
      <c r="AL29" s="34" t="e">
        <f>IF(AF29="Yes",S29*1.5,0)</f>
        <v>#REF!</v>
      </c>
    </row>
    <row r="30" spans="1:39" ht="15" customHeight="1" thickTop="1">
      <c r="A30" s="225">
        <f>IF(A28&lt;$O$7,A28+1,IF(A28=$O$7,""))</f>
        <v>44388</v>
      </c>
      <c r="B30" s="226"/>
      <c r="C30" s="227"/>
      <c r="D30" s="32" t="s">
        <v>23</v>
      </c>
      <c r="E30" s="51"/>
      <c r="F30" s="51"/>
      <c r="G30" s="112"/>
      <c r="H30" s="51"/>
      <c r="I30" s="51"/>
      <c r="J30" s="113"/>
      <c r="K30" s="113"/>
      <c r="L30" s="114"/>
      <c r="M30" s="51"/>
      <c r="N30" s="52"/>
      <c r="O30" s="110">
        <f>SUM(E30:N30)-J30</f>
        <v>0</v>
      </c>
      <c r="P30" s="50" t="str">
        <f>IF(AND(ISNUMBER(AA30),ISNUMBER(X30)),AA30*X30,"")</f>
        <v/>
      </c>
      <c r="Q30" s="52"/>
      <c r="R30" s="50" t="str">
        <f>IF(AND(ISNUMBER(AB30),ISNUMBER(X30)),AB30*X30,"")</f>
        <v/>
      </c>
      <c r="S30" s="52"/>
      <c r="T30" s="52"/>
      <c r="U30" s="77">
        <f>(AJ30+AK30)</f>
        <v>0</v>
      </c>
      <c r="V30" s="77">
        <f t="shared" ref="V30:V33" si="31">IF(AND(AI30&gt;0,AND(U30&lt;E30)),G30-U30,0)</f>
        <v>0</v>
      </c>
      <c r="W30" s="50"/>
      <c r="X30" s="49">
        <f>IF(ISNA(INDEX('Conversion Factors'!$B$6:$B$370,MATCH('Test File'!$Z$30:$Z$36,'Conversion Factors'!$A$6:$A$370,0))),"",INDEX('Conversion Factors'!$B$6:$B$370,MATCH('Test File'!$Z$30:$Z$36,'Conversion Factors'!$A$6:$A$370,0)))</f>
        <v>7.8789999999999996</v>
      </c>
      <c r="Z30" s="17">
        <f t="shared" si="23"/>
        <v>44388</v>
      </c>
      <c r="AA30" s="57" t="str">
        <f t="shared" si="6"/>
        <v/>
      </c>
      <c r="AB30" s="57" t="str">
        <f t="shared" ref="AB30:AB36" si="32">IF(AND(ISNUMBER(Q30),ISNUMBER($Z$12)),Q30/$Z$12,"")</f>
        <v/>
      </c>
      <c r="AC30" s="58"/>
      <c r="AD30" s="59"/>
      <c r="AE30" s="58"/>
      <c r="AF30" s="58"/>
      <c r="AG30" s="64"/>
      <c r="AH30" s="71">
        <f t="shared" ref="AH30:AH36" si="33">E30+AH29</f>
        <v>0</v>
      </c>
      <c r="AI30" s="68">
        <f>IF(AH30&gt;$AI$12,AH30-($AI$12+AI29),0)</f>
        <v>0</v>
      </c>
      <c r="AJ30" s="56">
        <f>IF(AND(AM30=0),AM30,IF(AND(AM30&gt;0,E30=AM30),O30-AM30-AI30,IF(AND(E30&lt;AM30),O30-AM30,IF(AND(E30&gt;AM30),O30-E30,0))))</f>
        <v>0</v>
      </c>
      <c r="AK30" s="56">
        <f t="shared" ref="AK30:AK33" si="34">IF(AND(G30=0),G30,IF(AND(G30&gt;0,E30=G30),O30-G30-AI30,IF(AND(E30&lt;G30),O30-G30,IF(AND(G30&gt;AI30),G30-AI30,0))))</f>
        <v>0</v>
      </c>
      <c r="AM30" s="131">
        <f>J30+K30</f>
        <v>0</v>
      </c>
    </row>
    <row r="31" spans="1:39" ht="15" customHeight="1">
      <c r="A31" s="225">
        <f t="shared" ref="A31:A36" si="35">IF(A30&lt;$O$7,A30+1,IF(A30=$O$7,""))</f>
        <v>44389</v>
      </c>
      <c r="B31" s="226"/>
      <c r="C31" s="227"/>
      <c r="D31" s="32" t="s">
        <v>24</v>
      </c>
      <c r="E31" s="51"/>
      <c r="F31" s="51"/>
      <c r="G31" s="112"/>
      <c r="H31" s="51"/>
      <c r="I31" s="51"/>
      <c r="J31" s="113"/>
      <c r="K31" s="113"/>
      <c r="L31" s="114"/>
      <c r="M31" s="51"/>
      <c r="N31" s="51"/>
      <c r="O31" s="110">
        <f>SUM(E31:N31)-J31</f>
        <v>0</v>
      </c>
      <c r="P31" s="50" t="str">
        <f t="shared" ref="P31:P36" si="36">IF(AND(ISNUMBER(AA31),ISNUMBER(X31)),AA31*X31,"")</f>
        <v/>
      </c>
      <c r="Q31" s="51"/>
      <c r="R31" s="50" t="str">
        <f t="shared" ref="R31:R36" si="37">IF(AND(ISNUMBER(AB31),ISNUMBER(X31)),AB31*X31,"")</f>
        <v/>
      </c>
      <c r="S31" s="52"/>
      <c r="T31" s="52"/>
      <c r="U31" s="77">
        <f>(AJ31+AK31)</f>
        <v>0</v>
      </c>
      <c r="V31" s="77">
        <f t="shared" si="31"/>
        <v>0</v>
      </c>
      <c r="W31" s="50"/>
      <c r="X31" s="49">
        <f>IF(ISNA(INDEX('Conversion Factors'!$B$6:$B$370,MATCH('Test File'!$Z$30:$Z$36,'Conversion Factors'!$A$6:$A$370,0))),"",INDEX('Conversion Factors'!$B$6:$B$370,MATCH('Test File'!$Z$30:$Z$36,'Conversion Factors'!$A$6:$A$370,0)))</f>
        <v>7.8789999999999996</v>
      </c>
      <c r="Z31" s="17">
        <f t="shared" si="23"/>
        <v>44389</v>
      </c>
      <c r="AA31" s="57" t="str">
        <f t="shared" si="6"/>
        <v/>
      </c>
      <c r="AB31" s="57" t="str">
        <f t="shared" si="32"/>
        <v/>
      </c>
      <c r="AH31" s="71">
        <f t="shared" si="33"/>
        <v>0</v>
      </c>
      <c r="AI31" s="68">
        <f>IF(AH31&gt;$AI$12,AH31-($AI$12+AI30+AI29),0)</f>
        <v>0</v>
      </c>
      <c r="AJ31" s="56">
        <f>IF(AND(AM31=0),AM31,IF(AND(AM31&gt;0,E31=AM31),O31-AM31-AI31,IF(AND(E31&lt;AM31),O31-AM31,IF(AND(E31&gt;AM31),O31-E31,0))))</f>
        <v>0</v>
      </c>
      <c r="AK31" s="56">
        <f t="shared" si="34"/>
        <v>0</v>
      </c>
      <c r="AM31" s="131">
        <f>J31+K31</f>
        <v>0</v>
      </c>
    </row>
    <row r="32" spans="1:39" ht="15" customHeight="1">
      <c r="A32" s="225">
        <f t="shared" si="35"/>
        <v>44390</v>
      </c>
      <c r="B32" s="226"/>
      <c r="C32" s="227"/>
      <c r="D32" s="32" t="s">
        <v>25</v>
      </c>
      <c r="E32" s="51"/>
      <c r="F32" s="51"/>
      <c r="G32" s="112"/>
      <c r="H32" s="51"/>
      <c r="I32" s="51"/>
      <c r="J32" s="113"/>
      <c r="K32" s="113"/>
      <c r="L32" s="114"/>
      <c r="M32" s="51"/>
      <c r="N32" s="51"/>
      <c r="O32" s="110">
        <f t="shared" ref="O32:O35" si="38">SUM(E32:N32)-J32</f>
        <v>0</v>
      </c>
      <c r="P32" s="50" t="str">
        <f t="shared" si="36"/>
        <v/>
      </c>
      <c r="Q32" s="51"/>
      <c r="R32" s="50" t="str">
        <f t="shared" si="37"/>
        <v/>
      </c>
      <c r="S32" s="52"/>
      <c r="T32" s="52"/>
      <c r="U32" s="77">
        <f t="shared" ref="U32:U35" si="39">(AJ32+AK32)</f>
        <v>0</v>
      </c>
      <c r="V32" s="77">
        <f t="shared" si="31"/>
        <v>0</v>
      </c>
      <c r="W32" s="50"/>
      <c r="X32" s="49">
        <f>IF(ISNA(INDEX('Conversion Factors'!$B$6:$B$370,MATCH('Test File'!$Z$30:$Z$36,'Conversion Factors'!$A$6:$A$370,0))),"",INDEX('Conversion Factors'!$B$6:$B$370,MATCH('Test File'!$Z$30:$Z$36,'Conversion Factors'!$A$6:$A$370,0)))</f>
        <v>7.8789999999999996</v>
      </c>
      <c r="Z32" s="17">
        <f t="shared" si="23"/>
        <v>44390</v>
      </c>
      <c r="AA32" s="57" t="str">
        <f t="shared" si="6"/>
        <v/>
      </c>
      <c r="AB32" s="57" t="str">
        <f t="shared" si="32"/>
        <v/>
      </c>
      <c r="AG32" s="1"/>
      <c r="AH32" s="71">
        <f t="shared" si="33"/>
        <v>0</v>
      </c>
      <c r="AI32" s="68">
        <f>IF(AH32&gt;$AI$12,AH32-($AI$12+AI31+AI30+AI29),0)</f>
        <v>0</v>
      </c>
      <c r="AJ32" s="56">
        <f t="shared" ref="AJ32:AJ36" si="40">IF(AND(AM32=0),AM32,IF(AND(AM32&gt;0,E32=AM32),O32-AM32-AI32,IF(AND(E32&lt;AM32),O32-AM32,IF(AND(E32&gt;AM32),O32-E32,0))))</f>
        <v>0</v>
      </c>
      <c r="AK32" s="56">
        <f t="shared" si="34"/>
        <v>0</v>
      </c>
      <c r="AM32" s="131">
        <f t="shared" ref="AM32:AM36" si="41">J32+K32</f>
        <v>0</v>
      </c>
    </row>
    <row r="33" spans="1:39" ht="15" customHeight="1">
      <c r="A33" s="225">
        <f t="shared" si="35"/>
        <v>44391</v>
      </c>
      <c r="B33" s="226"/>
      <c r="C33" s="227"/>
      <c r="D33" s="32" t="s">
        <v>26</v>
      </c>
      <c r="E33" s="51"/>
      <c r="F33" s="51"/>
      <c r="G33" s="112"/>
      <c r="H33" s="51"/>
      <c r="I33" s="51"/>
      <c r="J33" s="113"/>
      <c r="K33" s="113"/>
      <c r="L33" s="114"/>
      <c r="M33" s="51"/>
      <c r="N33" s="51"/>
      <c r="O33" s="110">
        <f t="shared" si="38"/>
        <v>0</v>
      </c>
      <c r="P33" s="50" t="str">
        <f t="shared" si="36"/>
        <v/>
      </c>
      <c r="Q33" s="51"/>
      <c r="R33" s="50" t="str">
        <f t="shared" si="37"/>
        <v/>
      </c>
      <c r="S33" s="52"/>
      <c r="T33" s="52"/>
      <c r="U33" s="77">
        <f t="shared" si="39"/>
        <v>0</v>
      </c>
      <c r="V33" s="77">
        <f t="shared" si="31"/>
        <v>0</v>
      </c>
      <c r="W33" s="50"/>
      <c r="X33" s="49">
        <f>IF(ISNA(INDEX('Conversion Factors'!$B$6:$B$370,MATCH('Test File'!$Z$30:$Z$36,'Conversion Factors'!$A$6:$A$370,0))),"",INDEX('Conversion Factors'!$B$6:$B$370,MATCH('Test File'!$Z$30:$Z$36,'Conversion Factors'!$A$6:$A$370,0)))</f>
        <v>7.8789999999999996</v>
      </c>
      <c r="Z33" s="17">
        <f t="shared" si="23"/>
        <v>44391</v>
      </c>
      <c r="AA33" s="57" t="str">
        <f t="shared" si="6"/>
        <v/>
      </c>
      <c r="AB33" s="57" t="str">
        <f t="shared" si="32"/>
        <v/>
      </c>
      <c r="AG33" s="1"/>
      <c r="AH33" s="71">
        <f t="shared" si="33"/>
        <v>0</v>
      </c>
      <c r="AI33" s="68">
        <f>IF(AH33&gt;$AI$12,AH33-($AI$12+AI32+AI31+AI30+AI29),0)</f>
        <v>0</v>
      </c>
      <c r="AJ33" s="56">
        <f t="shared" si="40"/>
        <v>0</v>
      </c>
      <c r="AK33" s="56">
        <f t="shared" si="34"/>
        <v>0</v>
      </c>
      <c r="AM33" s="131">
        <f t="shared" si="41"/>
        <v>0</v>
      </c>
    </row>
    <row r="34" spans="1:39" ht="15" customHeight="1">
      <c r="A34" s="225">
        <f t="shared" si="35"/>
        <v>44392</v>
      </c>
      <c r="B34" s="226"/>
      <c r="C34" s="227"/>
      <c r="D34" s="32" t="s">
        <v>27</v>
      </c>
      <c r="E34" s="51"/>
      <c r="F34" s="51"/>
      <c r="G34" s="112"/>
      <c r="H34" s="51"/>
      <c r="I34" s="51"/>
      <c r="J34" s="113"/>
      <c r="K34" s="113"/>
      <c r="L34" s="114"/>
      <c r="M34" s="51"/>
      <c r="N34" s="51"/>
      <c r="O34" s="110">
        <f t="shared" si="38"/>
        <v>0</v>
      </c>
      <c r="P34" s="50" t="str">
        <f t="shared" si="36"/>
        <v/>
      </c>
      <c r="Q34" s="51"/>
      <c r="R34" s="50" t="str">
        <f t="shared" si="37"/>
        <v/>
      </c>
      <c r="S34" s="52"/>
      <c r="T34" s="52"/>
      <c r="U34" s="77">
        <f t="shared" si="39"/>
        <v>0</v>
      </c>
      <c r="V34" s="77">
        <f>IF(AND(AI34&gt;0,AND(U34&lt;E34)),G34-U34,0)</f>
        <v>0</v>
      </c>
      <c r="W34" s="50"/>
      <c r="X34" s="49">
        <f>IF(ISNA(INDEX('Conversion Factors'!$B$6:$B$370,MATCH('Test File'!$Z$30:$Z$36,'Conversion Factors'!$A$6:$A$370,0))),"",INDEX('Conversion Factors'!$B$6:$B$370,MATCH('Test File'!$Z$30:$Z$36,'Conversion Factors'!$A$6:$A$370,0)))</f>
        <v>7.8789999999999996</v>
      </c>
      <c r="Z34" s="17">
        <f t="shared" si="23"/>
        <v>44392</v>
      </c>
      <c r="AA34" s="57" t="str">
        <f t="shared" si="6"/>
        <v/>
      </c>
      <c r="AB34" s="57" t="str">
        <f t="shared" si="32"/>
        <v/>
      </c>
      <c r="AH34" s="71">
        <f t="shared" si="33"/>
        <v>0</v>
      </c>
      <c r="AI34" s="68">
        <f>IF(AH34&gt;$AI$12,AH34-($AI$12+AI33+AI32+AI31+AI30+AI29),0)</f>
        <v>0</v>
      </c>
      <c r="AJ34" s="56">
        <f t="shared" si="40"/>
        <v>0</v>
      </c>
      <c r="AK34" s="56">
        <f>IF(AND(G34=0),G34,IF(AND(G34&gt;0,E34=G34),O34-G34-AI34,IF(AND(E34&lt;G34),O34-G34,IF(AND(G34&gt;AI34),G34-AI34,0))))</f>
        <v>0</v>
      </c>
      <c r="AM34" s="131">
        <f t="shared" si="41"/>
        <v>0</v>
      </c>
    </row>
    <row r="35" spans="1:39" ht="15" customHeight="1">
      <c r="A35" s="225" t="str">
        <f t="shared" si="35"/>
        <v/>
      </c>
      <c r="B35" s="226"/>
      <c r="C35" s="227"/>
      <c r="D35" s="32" t="s">
        <v>28</v>
      </c>
      <c r="E35" s="51"/>
      <c r="F35" s="51"/>
      <c r="G35" s="112"/>
      <c r="H35" s="51"/>
      <c r="I35" s="51"/>
      <c r="J35" s="113"/>
      <c r="K35" s="113"/>
      <c r="L35" s="114"/>
      <c r="M35" s="51"/>
      <c r="N35" s="51"/>
      <c r="O35" s="110">
        <f t="shared" si="38"/>
        <v>0</v>
      </c>
      <c r="P35" s="50" t="str">
        <f t="shared" si="36"/>
        <v/>
      </c>
      <c r="Q35" s="51"/>
      <c r="R35" s="50" t="str">
        <f t="shared" si="37"/>
        <v/>
      </c>
      <c r="S35" s="52"/>
      <c r="T35" s="52"/>
      <c r="U35" s="77">
        <f t="shared" si="39"/>
        <v>0</v>
      </c>
      <c r="V35" s="77">
        <f>IF(AND(AI35&gt;0,AND(U35&lt;E35)),G35-U35,0)</f>
        <v>0</v>
      </c>
      <c r="W35" s="50"/>
      <c r="X35" s="49" t="str">
        <f>IF(ISNA(INDEX('Conversion Factors'!$B$6:$B$370,MATCH('Test File'!$Z$30:$Z$36,'Conversion Factors'!$A$6:$A$370,0))),"",INDEX('Conversion Factors'!$B$6:$B$370,MATCH('Test File'!$Z$30:$Z$36,'Conversion Factors'!$A$6:$A$370,0)))</f>
        <v/>
      </c>
      <c r="Z35" s="17" t="str">
        <f t="shared" si="23"/>
        <v/>
      </c>
      <c r="AA35" s="57" t="str">
        <f t="shared" si="6"/>
        <v/>
      </c>
      <c r="AB35" s="57" t="str">
        <f t="shared" si="32"/>
        <v/>
      </c>
      <c r="AH35" s="71">
        <f t="shared" si="33"/>
        <v>0</v>
      </c>
      <c r="AI35" s="68">
        <f>IF(AH35&gt;$AI$12,AH35-($AI$12+AI34+AI33+AI32+AI31+AI30+AI29),0)</f>
        <v>0</v>
      </c>
      <c r="AJ35" s="56">
        <f t="shared" si="40"/>
        <v>0</v>
      </c>
      <c r="AK35" s="56">
        <f t="shared" ref="AK35:AK36" si="42">IF(AND(G35=0),G35,IF(AND(G35&gt;0,E35=G35),O35-G35-AI35,IF(AND(E35&lt;G35),O35-G35,IF(AND(G35&gt;AI35),G35-AI35,0))))</f>
        <v>0</v>
      </c>
      <c r="AM35" s="131">
        <f t="shared" si="41"/>
        <v>0</v>
      </c>
    </row>
    <row r="36" spans="1:39" ht="15" customHeight="1" thickBot="1">
      <c r="A36" s="225" t="b">
        <f t="shared" si="35"/>
        <v>0</v>
      </c>
      <c r="B36" s="226"/>
      <c r="C36" s="227"/>
      <c r="D36" s="32" t="s">
        <v>29</v>
      </c>
      <c r="E36" s="51"/>
      <c r="F36" s="51"/>
      <c r="G36" s="112"/>
      <c r="H36" s="51"/>
      <c r="I36" s="51"/>
      <c r="J36" s="113"/>
      <c r="K36" s="113"/>
      <c r="L36" s="114"/>
      <c r="M36" s="51"/>
      <c r="N36" s="52"/>
      <c r="O36" s="110">
        <f>SUM(E36:N36)-J36</f>
        <v>0</v>
      </c>
      <c r="P36" s="50" t="str">
        <f t="shared" si="36"/>
        <v/>
      </c>
      <c r="Q36" s="52"/>
      <c r="R36" s="50" t="str">
        <f t="shared" si="37"/>
        <v/>
      </c>
      <c r="S36" s="52"/>
      <c r="T36" s="52"/>
      <c r="U36" s="77">
        <f>(AJ36+AK36)</f>
        <v>0</v>
      </c>
      <c r="V36" s="77">
        <f t="shared" ref="V36" si="43">IF(AND(AI36&gt;0,AND(U36&lt;E36)),G36-U36,0)</f>
        <v>0</v>
      </c>
      <c r="W36" s="50"/>
      <c r="X36" s="49" t="str">
        <f>IF(ISNA(INDEX('Conversion Factors'!$B$6:$B$370,MATCH('Test File'!$Z$30:$Z$36,'Conversion Factors'!$A$6:$A$370,0))),"",INDEX('Conversion Factors'!$B$6:$B$370,MATCH('Test File'!$Z$30:$Z$36,'Conversion Factors'!$A$6:$A$370,0)))</f>
        <v/>
      </c>
      <c r="Z36" s="17" t="b">
        <f t="shared" si="23"/>
        <v>0</v>
      </c>
      <c r="AA36" s="57" t="str">
        <f t="shared" si="6"/>
        <v/>
      </c>
      <c r="AB36" s="57" t="str">
        <f t="shared" si="32"/>
        <v/>
      </c>
      <c r="AH36" s="71">
        <f t="shared" si="33"/>
        <v>0</v>
      </c>
      <c r="AI36" s="68">
        <f>IF(AH36&gt;$AI$12,AH36-($AI$12+AI35+AI34+AI33+AI32+AI31+AI30+AI29),0)</f>
        <v>0</v>
      </c>
      <c r="AJ36" s="56">
        <f t="shared" si="40"/>
        <v>0</v>
      </c>
      <c r="AK36" s="56">
        <f t="shared" si="42"/>
        <v>0</v>
      </c>
      <c r="AM36" s="131">
        <f t="shared" si="41"/>
        <v>0</v>
      </c>
    </row>
    <row r="37" spans="1:39" ht="15" customHeight="1" thickTop="1" thickBot="1">
      <c r="A37" s="228" t="s">
        <v>31</v>
      </c>
      <c r="B37" s="229"/>
      <c r="C37" s="230"/>
      <c r="D37" s="48"/>
      <c r="E37" s="34">
        <f t="shared" ref="E37:N37" si="44">SUM(E30:E36)</f>
        <v>0</v>
      </c>
      <c r="F37" s="34">
        <f t="shared" si="44"/>
        <v>0</v>
      </c>
      <c r="G37" s="76">
        <f t="shared" si="44"/>
        <v>0</v>
      </c>
      <c r="H37" s="34">
        <f t="shared" si="44"/>
        <v>0</v>
      </c>
      <c r="I37" s="34">
        <f t="shared" si="44"/>
        <v>0</v>
      </c>
      <c r="J37" s="74"/>
      <c r="K37" s="74">
        <f t="shared" si="44"/>
        <v>0</v>
      </c>
      <c r="L37" s="34">
        <f t="shared" si="44"/>
        <v>0</v>
      </c>
      <c r="M37" s="34">
        <f t="shared" si="44"/>
        <v>0</v>
      </c>
      <c r="N37" s="34">
        <f t="shared" si="44"/>
        <v>0</v>
      </c>
      <c r="O37" s="34">
        <f>SUM(O30:O36)</f>
        <v>0</v>
      </c>
      <c r="P37" s="89">
        <f>-SUM(P30:P36)</f>
        <v>0</v>
      </c>
      <c r="Q37" s="34">
        <f>SUM(Q30:Q36)</f>
        <v>0</v>
      </c>
      <c r="R37" s="46">
        <f>SUM(R30:R36)</f>
        <v>0</v>
      </c>
      <c r="S37" s="34">
        <f>IF(E37&gt;40,E37-40,0)</f>
        <v>0</v>
      </c>
      <c r="T37" s="34" t="e">
        <f>MROUND(AL37,0.25)</f>
        <v>#REF!</v>
      </c>
      <c r="U37" s="76">
        <f>SUM(U30:U36)</f>
        <v>0</v>
      </c>
      <c r="V37" s="76">
        <f>SUM(V30:V36)</f>
        <v>0</v>
      </c>
      <c r="W37" s="44" t="e">
        <f>AD37</f>
        <v>#REF!</v>
      </c>
      <c r="X37" s="34"/>
      <c r="Z37" s="85"/>
      <c r="AA37" s="85"/>
      <c r="AB37" s="85"/>
      <c r="AC37" s="80">
        <f>SUM(F37:N37)</f>
        <v>0</v>
      </c>
      <c r="AD37" s="81" t="e">
        <f>IF(AND(AG37&lt;40,O37&gt;=AG37),O37-(AG37+S37),IF(AND(O37&lt;AG37,E37=O37),O37-E37,IF(AND(E37&gt;AG37,E37&lt;40),E37-AG37,IF(AND(O37&gt;AG37,E37&lt;AG37),E37-(AG37-AC37),IF(AND(O37&gt;AG37,E37&gt;40),E37-(AG37-AC37+S37),IF(AND(O37&gt;AG37,O37&gt;40),O37-(S37+AG37),0))))))</f>
        <v>#REF!</v>
      </c>
      <c r="AE37" s="80"/>
      <c r="AF37" s="79" t="e">
        <f>$W$11</f>
        <v>#REF!</v>
      </c>
      <c r="AG37" s="82" t="e">
        <f>$E$11</f>
        <v>#REF!</v>
      </c>
      <c r="AH37" s="83"/>
      <c r="AI37" s="84">
        <f>IF(AH37&gt;$AI$12,-$AI$12,0)</f>
        <v>0</v>
      </c>
      <c r="AJ37" s="80"/>
      <c r="AK37" s="79"/>
      <c r="AL37" s="34" t="e">
        <f>IF(AF37="Yes",S37*1.5,0)</f>
        <v>#REF!</v>
      </c>
    </row>
    <row r="38" spans="1:39" ht="15" customHeight="1" thickTop="1">
      <c r="A38" s="225" t="b">
        <f>IF(A36&lt;$O$7,A36+1,IF(A36=$O$7,""))</f>
        <v>0</v>
      </c>
      <c r="B38" s="226"/>
      <c r="C38" s="227"/>
      <c r="D38" s="32" t="s">
        <v>23</v>
      </c>
      <c r="E38" s="52"/>
      <c r="F38" s="52"/>
      <c r="G38" s="77"/>
      <c r="H38" s="52"/>
      <c r="I38" s="52"/>
      <c r="J38" s="108"/>
      <c r="K38" s="108"/>
      <c r="L38" s="109"/>
      <c r="M38" s="52"/>
      <c r="N38" s="52"/>
      <c r="O38" s="110">
        <f>SUM(E38:N38)-J38</f>
        <v>0</v>
      </c>
      <c r="P38" s="50" t="str">
        <f>IF(AND(ISNUMBER(AA38),ISNUMBER(X38)),AA38*X38,"")</f>
        <v/>
      </c>
      <c r="Q38" s="52"/>
      <c r="R38" s="50" t="str">
        <f>IF(AND(ISNUMBER(AB38),ISNUMBER(X38)),AB38*X38,"")</f>
        <v/>
      </c>
      <c r="S38" s="52"/>
      <c r="T38" s="52"/>
      <c r="U38" s="77">
        <f>(AJ38+AK38)</f>
        <v>0</v>
      </c>
      <c r="V38" s="77">
        <f t="shared" ref="V38:V41" si="45">IF(AND(AI38&gt;0,AND(U38&lt;E38)),G38-U38,0)</f>
        <v>0</v>
      </c>
      <c r="W38" s="50"/>
      <c r="X38" s="49" t="str">
        <f>IF(ISNA(INDEX('Conversion Factors'!$B$6:$B$370,MATCH('Test File'!$Z$38:$Z$44,'Conversion Factors'!$A$6:$A$370,0))),"",INDEX('Conversion Factors'!$B$6:$B$370,MATCH('Test File'!$Z$38:$Z$44,'Conversion Factors'!$A$6:$A$370,0)))</f>
        <v/>
      </c>
      <c r="Z38" s="17" t="b">
        <f t="shared" ref="Z38:Z44" si="46">A38</f>
        <v>0</v>
      </c>
      <c r="AA38" s="57" t="str">
        <f t="shared" ref="AA38:AA44" si="47">IF(AND(ISNUMBER(N38),ISNUMBER($Z$12)),N38/$Z$12,"")</f>
        <v/>
      </c>
      <c r="AB38" s="57" t="str">
        <f t="shared" ref="AB38:AB44" si="48">IF(AND(ISNUMBER(Q38),ISNUMBER($Z$12)),Q38/$Z$12,"")</f>
        <v/>
      </c>
      <c r="AC38" s="58"/>
      <c r="AD38" s="59"/>
      <c r="AE38" s="58"/>
      <c r="AF38" s="58"/>
      <c r="AG38" s="64"/>
      <c r="AH38" s="71">
        <f t="shared" ref="AH38:AH44" si="49">E38+AH37</f>
        <v>0</v>
      </c>
      <c r="AI38" s="68">
        <f>IF(AH38&gt;$AI$12,AH38-($AI$12+AI37),0)</f>
        <v>0</v>
      </c>
      <c r="AJ38" s="56">
        <f>IF(AND(AM38=0),AM38,IF(AND(AM38&gt;0,E38=AM38),O38-AM38-AI38,IF(AND(E38&lt;AM38),O38-AM38,IF(AND(E38&gt;AM38),O38-E38,0))))</f>
        <v>0</v>
      </c>
      <c r="AK38" s="56">
        <f t="shared" ref="AK38:AK41" si="50">IF(AND(G38=0),G38,IF(AND(G38&gt;0,E38=G38),O38-G38-AI38,IF(AND(E38&lt;G38),O38-G38,IF(AND(G38&gt;AI38),G38-AI38,0))))</f>
        <v>0</v>
      </c>
      <c r="AM38" s="131">
        <f>J38+K38</f>
        <v>0</v>
      </c>
    </row>
    <row r="39" spans="1:39" ht="15" customHeight="1">
      <c r="A39" s="225" t="b">
        <f t="shared" ref="A39:A44" si="51">IF(A38&lt;$O$7,A38+1,IF(A38=$O$7,""))</f>
        <v>0</v>
      </c>
      <c r="B39" s="226"/>
      <c r="C39" s="227"/>
      <c r="D39" s="32" t="s">
        <v>24</v>
      </c>
      <c r="E39" s="52"/>
      <c r="F39" s="52"/>
      <c r="G39" s="77"/>
      <c r="H39" s="52"/>
      <c r="I39" s="52"/>
      <c r="J39" s="108"/>
      <c r="K39" s="108"/>
      <c r="L39" s="109"/>
      <c r="M39" s="52"/>
      <c r="N39" s="52"/>
      <c r="O39" s="110">
        <f>SUM(E39:N39)-J39</f>
        <v>0</v>
      </c>
      <c r="P39" s="50" t="str">
        <f t="shared" ref="P39:P44" si="52">IF(AND(ISNUMBER(AA39),ISNUMBER(X39)),AA39*X39,"")</f>
        <v/>
      </c>
      <c r="Q39" s="52"/>
      <c r="R39" s="50" t="str">
        <f t="shared" ref="R39:R44" si="53">IF(AND(ISNUMBER(AB39),ISNUMBER(X39)),AB39*X39,"")</f>
        <v/>
      </c>
      <c r="S39" s="52"/>
      <c r="T39" s="52"/>
      <c r="U39" s="77">
        <f>(AJ39+AK39)</f>
        <v>0</v>
      </c>
      <c r="V39" s="77">
        <f t="shared" si="45"/>
        <v>0</v>
      </c>
      <c r="W39" s="50"/>
      <c r="X39" s="49" t="str">
        <f>IF(ISNA(INDEX('Conversion Factors'!$B$6:$B$370,MATCH('Test File'!$Z$38:$Z$44,'Conversion Factors'!$A$6:$A$370,0))),"",INDEX('Conversion Factors'!$B$6:$B$370,MATCH('Test File'!$Z$38:$Z$44,'Conversion Factors'!$A$6:$A$370,0)))</f>
        <v/>
      </c>
      <c r="Z39" s="17" t="b">
        <f t="shared" si="46"/>
        <v>0</v>
      </c>
      <c r="AA39" s="57" t="str">
        <f t="shared" si="47"/>
        <v/>
      </c>
      <c r="AB39" s="57" t="str">
        <f t="shared" si="48"/>
        <v/>
      </c>
      <c r="AH39" s="71">
        <f t="shared" si="49"/>
        <v>0</v>
      </c>
      <c r="AI39" s="68">
        <f>IF(AH39&gt;$AI$12,AH39-($AI$12+AI38+AI37),0)</f>
        <v>0</v>
      </c>
      <c r="AJ39" s="56">
        <f>IF(AND(AM39=0),AM39,IF(AND(AM39&gt;0,E39=AM39),O39-AM39-AI39,IF(AND(E39&lt;AM39),O39-AM39,IF(AND(E39&gt;AM39),O39-E39,0))))</f>
        <v>0</v>
      </c>
      <c r="AK39" s="56">
        <f t="shared" si="50"/>
        <v>0</v>
      </c>
      <c r="AM39" s="131">
        <f>J39+K39</f>
        <v>0</v>
      </c>
    </row>
    <row r="40" spans="1:39" ht="15" customHeight="1">
      <c r="A40" s="225" t="b">
        <f t="shared" si="51"/>
        <v>0</v>
      </c>
      <c r="B40" s="226"/>
      <c r="C40" s="227"/>
      <c r="D40" s="32" t="s">
        <v>25</v>
      </c>
      <c r="E40" s="52"/>
      <c r="F40" s="52"/>
      <c r="G40" s="77"/>
      <c r="H40" s="52"/>
      <c r="I40" s="52"/>
      <c r="J40" s="108"/>
      <c r="K40" s="108"/>
      <c r="L40" s="109"/>
      <c r="M40" s="52"/>
      <c r="N40" s="52"/>
      <c r="O40" s="110">
        <f t="shared" ref="O40:O43" si="54">SUM(E40:N40)-J40</f>
        <v>0</v>
      </c>
      <c r="P40" s="50" t="str">
        <f t="shared" si="52"/>
        <v/>
      </c>
      <c r="Q40" s="52"/>
      <c r="R40" s="50" t="str">
        <f t="shared" si="53"/>
        <v/>
      </c>
      <c r="S40" s="52"/>
      <c r="T40" s="52"/>
      <c r="U40" s="77">
        <f t="shared" ref="U40:U44" si="55">(AJ40+AK40)</f>
        <v>0</v>
      </c>
      <c r="V40" s="77">
        <f t="shared" si="45"/>
        <v>0</v>
      </c>
      <c r="W40" s="50"/>
      <c r="X40" s="49" t="str">
        <f>IF(ISNA(INDEX('Conversion Factors'!$B$6:$B$370,MATCH('Test File'!$Z$38:$Z$44,'Conversion Factors'!$A$6:$A$370,0))),"",INDEX('Conversion Factors'!$B$6:$B$370,MATCH('Test File'!$Z$38:$Z$44,'Conversion Factors'!$A$6:$A$370,0)))</f>
        <v/>
      </c>
      <c r="Z40" s="17" t="b">
        <f t="shared" si="46"/>
        <v>0</v>
      </c>
      <c r="AA40" s="57" t="str">
        <f t="shared" si="47"/>
        <v/>
      </c>
      <c r="AB40" s="57" t="str">
        <f t="shared" si="48"/>
        <v/>
      </c>
      <c r="AG40" s="1"/>
      <c r="AH40" s="71">
        <f t="shared" si="49"/>
        <v>0</v>
      </c>
      <c r="AI40" s="68">
        <f>IF(AH40&gt;$AI$12,AH40-($AI$12+AI39+AI38+AI37),0)</f>
        <v>0</v>
      </c>
      <c r="AJ40" s="56">
        <f t="shared" ref="AJ40:AJ44" si="56">IF(AND(AM40=0),AM40,IF(AND(AM40&gt;0,E40=AM40),O40-AM40-AI40,IF(AND(E40&lt;AM40),O40-AM40,IF(AND(E40&gt;AM40),O40-E40,0))))</f>
        <v>0</v>
      </c>
      <c r="AK40" s="56">
        <f t="shared" si="50"/>
        <v>0</v>
      </c>
      <c r="AM40" s="131">
        <f t="shared" ref="AM40:AM44" si="57">J40+K40</f>
        <v>0</v>
      </c>
    </row>
    <row r="41" spans="1:39" ht="15" customHeight="1">
      <c r="A41" s="225" t="b">
        <f t="shared" si="51"/>
        <v>0</v>
      </c>
      <c r="B41" s="226"/>
      <c r="C41" s="227"/>
      <c r="D41" s="32" t="s">
        <v>26</v>
      </c>
      <c r="E41" s="52"/>
      <c r="F41" s="52"/>
      <c r="G41" s="77"/>
      <c r="H41" s="52"/>
      <c r="I41" s="52"/>
      <c r="J41" s="108"/>
      <c r="K41" s="108"/>
      <c r="L41" s="109"/>
      <c r="M41" s="52"/>
      <c r="N41" s="52"/>
      <c r="O41" s="110">
        <f t="shared" si="54"/>
        <v>0</v>
      </c>
      <c r="P41" s="50" t="str">
        <f t="shared" si="52"/>
        <v/>
      </c>
      <c r="Q41" s="52"/>
      <c r="R41" s="50" t="str">
        <f t="shared" si="53"/>
        <v/>
      </c>
      <c r="S41" s="52"/>
      <c r="T41" s="52"/>
      <c r="U41" s="77">
        <f t="shared" si="55"/>
        <v>0</v>
      </c>
      <c r="V41" s="77">
        <f t="shared" si="45"/>
        <v>0</v>
      </c>
      <c r="W41" s="50"/>
      <c r="X41" s="49" t="str">
        <f>IF(ISNA(INDEX('Conversion Factors'!$B$6:$B$370,MATCH('Test File'!$Z$38:$Z$44,'Conversion Factors'!$A$6:$A$370,0))),"",INDEX('Conversion Factors'!$B$6:$B$370,MATCH('Test File'!$Z$38:$Z$44,'Conversion Factors'!$A$6:$A$370,0)))</f>
        <v/>
      </c>
      <c r="Z41" s="17" t="b">
        <f t="shared" si="46"/>
        <v>0</v>
      </c>
      <c r="AA41" s="57" t="str">
        <f t="shared" si="47"/>
        <v/>
      </c>
      <c r="AB41" s="57" t="str">
        <f t="shared" si="48"/>
        <v/>
      </c>
      <c r="AG41" s="1"/>
      <c r="AH41" s="71">
        <f t="shared" si="49"/>
        <v>0</v>
      </c>
      <c r="AI41" s="68">
        <f>IF(AH41&gt;$AI$12,AH41-($AI$12+AI40+AI39+AI38+AI37),0)</f>
        <v>0</v>
      </c>
      <c r="AJ41" s="56">
        <f t="shared" si="56"/>
        <v>0</v>
      </c>
      <c r="AK41" s="56">
        <f t="shared" si="50"/>
        <v>0</v>
      </c>
      <c r="AM41" s="131">
        <f t="shared" si="57"/>
        <v>0</v>
      </c>
    </row>
    <row r="42" spans="1:39" ht="15" customHeight="1">
      <c r="A42" s="225" t="b">
        <f t="shared" si="51"/>
        <v>0</v>
      </c>
      <c r="B42" s="226"/>
      <c r="C42" s="227"/>
      <c r="D42" s="32" t="s">
        <v>27</v>
      </c>
      <c r="E42" s="52"/>
      <c r="F42" s="52"/>
      <c r="G42" s="77"/>
      <c r="H42" s="52"/>
      <c r="I42" s="52"/>
      <c r="J42" s="108"/>
      <c r="K42" s="108"/>
      <c r="L42" s="109"/>
      <c r="M42" s="52"/>
      <c r="N42" s="52"/>
      <c r="O42" s="110">
        <f t="shared" si="54"/>
        <v>0</v>
      </c>
      <c r="P42" s="50" t="str">
        <f t="shared" si="52"/>
        <v/>
      </c>
      <c r="Q42" s="52"/>
      <c r="R42" s="50" t="str">
        <f t="shared" si="53"/>
        <v/>
      </c>
      <c r="S42" s="52"/>
      <c r="T42" s="52"/>
      <c r="U42" s="77">
        <f t="shared" si="55"/>
        <v>0</v>
      </c>
      <c r="V42" s="77">
        <f>IF(AND(AI42&gt;0,AND(U42&lt;E42)),G42-U42,0)</f>
        <v>0</v>
      </c>
      <c r="W42" s="50"/>
      <c r="X42" s="49" t="str">
        <f>IF(ISNA(INDEX('Conversion Factors'!$B$6:$B$370,MATCH('Test File'!$Z$38:$Z$44,'Conversion Factors'!$A$6:$A$370,0))),"",INDEX('Conversion Factors'!$B$6:$B$370,MATCH('Test File'!$Z$38:$Z$44,'Conversion Factors'!$A$6:$A$370,0)))</f>
        <v/>
      </c>
      <c r="Z42" s="17" t="b">
        <f t="shared" si="46"/>
        <v>0</v>
      </c>
      <c r="AA42" s="57" t="str">
        <f t="shared" si="47"/>
        <v/>
      </c>
      <c r="AB42" s="57" t="str">
        <f t="shared" si="48"/>
        <v/>
      </c>
      <c r="AH42" s="71">
        <f t="shared" si="49"/>
        <v>0</v>
      </c>
      <c r="AI42" s="68">
        <f>IF(AH42&gt;$AI$12,AH42-($AI$12+AI41+AI40+AI39+AI38+AI37),0)</f>
        <v>0</v>
      </c>
      <c r="AJ42" s="56">
        <f t="shared" si="56"/>
        <v>0</v>
      </c>
      <c r="AK42" s="56">
        <f>IF(AND(G42=0),G42,IF(AND(G42&gt;0,E42=G42),O42-G42-AI42,IF(AND(E42&lt;G42),O42-G42,IF(AND(G42&gt;AI42),G42-AI42,0))))</f>
        <v>0</v>
      </c>
      <c r="AM42" s="131">
        <f t="shared" si="57"/>
        <v>0</v>
      </c>
    </row>
    <row r="43" spans="1:39" ht="15" customHeight="1">
      <c r="A43" s="225" t="b">
        <f t="shared" si="51"/>
        <v>0</v>
      </c>
      <c r="B43" s="226"/>
      <c r="C43" s="227"/>
      <c r="D43" s="32" t="s">
        <v>28</v>
      </c>
      <c r="E43" s="52"/>
      <c r="F43" s="52"/>
      <c r="G43" s="77"/>
      <c r="H43" s="52"/>
      <c r="I43" s="52"/>
      <c r="J43" s="108"/>
      <c r="K43" s="108"/>
      <c r="L43" s="109"/>
      <c r="M43" s="52"/>
      <c r="N43" s="52"/>
      <c r="O43" s="110">
        <f t="shared" si="54"/>
        <v>0</v>
      </c>
      <c r="P43" s="50" t="str">
        <f t="shared" si="52"/>
        <v/>
      </c>
      <c r="Q43" s="52"/>
      <c r="R43" s="50" t="str">
        <f t="shared" si="53"/>
        <v/>
      </c>
      <c r="S43" s="52"/>
      <c r="T43" s="52"/>
      <c r="U43" s="77">
        <f t="shared" si="55"/>
        <v>0</v>
      </c>
      <c r="V43" s="77">
        <f>IF(AND(AI43&gt;0,AND(U43&lt;E43)),G43-U43,0)</f>
        <v>0</v>
      </c>
      <c r="W43" s="50"/>
      <c r="X43" s="49" t="str">
        <f>IF(ISNA(INDEX('Conversion Factors'!$B$6:$B$370,MATCH('Test File'!$Z$38:$Z$44,'Conversion Factors'!$A$6:$A$370,0))),"",INDEX('Conversion Factors'!$B$6:$B$370,MATCH('Test File'!$Z$38:$Z$44,'Conversion Factors'!$A$6:$A$370,0)))</f>
        <v/>
      </c>
      <c r="Z43" s="17" t="b">
        <f t="shared" si="46"/>
        <v>0</v>
      </c>
      <c r="AA43" s="57" t="str">
        <f t="shared" si="47"/>
        <v/>
      </c>
      <c r="AB43" s="57" t="str">
        <f t="shared" si="48"/>
        <v/>
      </c>
      <c r="AH43" s="71">
        <f t="shared" si="49"/>
        <v>0</v>
      </c>
      <c r="AI43" s="68">
        <f>IF(AH43&gt;$AI$12,AH43-($AI$12+AI42+AI41+AI40+AI39+AI38+AI37),0)</f>
        <v>0</v>
      </c>
      <c r="AJ43" s="56">
        <f t="shared" si="56"/>
        <v>0</v>
      </c>
      <c r="AK43" s="56">
        <f t="shared" ref="AK43:AK44" si="58">IF(AND(G43=0),G43,IF(AND(G43&gt;0,E43=G43),O43-G43-AI43,IF(AND(E43&lt;G43),O43-G43,IF(AND(G43&gt;AI43),G43-AI43,0))))</f>
        <v>0</v>
      </c>
      <c r="AM43" s="131">
        <f t="shared" si="57"/>
        <v>0</v>
      </c>
    </row>
    <row r="44" spans="1:39" ht="15" customHeight="1" thickBot="1">
      <c r="A44" s="231" t="b">
        <f t="shared" si="51"/>
        <v>0</v>
      </c>
      <c r="B44" s="232"/>
      <c r="C44" s="233"/>
      <c r="D44" s="32" t="s">
        <v>29</v>
      </c>
      <c r="E44" s="52"/>
      <c r="F44" s="52"/>
      <c r="G44" s="77"/>
      <c r="H44" s="52"/>
      <c r="I44" s="52"/>
      <c r="J44" s="108"/>
      <c r="K44" s="108"/>
      <c r="L44" s="109"/>
      <c r="M44" s="52"/>
      <c r="N44" s="52"/>
      <c r="O44" s="110">
        <f>SUM(E44:N44)-J44</f>
        <v>0</v>
      </c>
      <c r="P44" s="50" t="str">
        <f t="shared" si="52"/>
        <v/>
      </c>
      <c r="Q44" s="52"/>
      <c r="R44" s="50" t="str">
        <f t="shared" si="53"/>
        <v/>
      </c>
      <c r="S44" s="52"/>
      <c r="T44" s="52"/>
      <c r="U44" s="77">
        <f t="shared" si="55"/>
        <v>0</v>
      </c>
      <c r="V44" s="77">
        <f>IF(AND(AI44&gt;0,AND(U44&lt;E44)),G44-U44,0)</f>
        <v>0</v>
      </c>
      <c r="W44" s="50"/>
      <c r="X44" s="49" t="str">
        <f>IF(ISNA(INDEX('Conversion Factors'!$B$6:$B$370,MATCH('Test File'!$Z$38:$Z$44,'Conversion Factors'!$A$6:$A$370,0))),"",INDEX('Conversion Factors'!$B$6:$B$370,MATCH('Test File'!$Z$38:$Z$44,'Conversion Factors'!$A$6:$A$370,0)))</f>
        <v/>
      </c>
      <c r="Z44" s="17" t="b">
        <f t="shared" si="46"/>
        <v>0</v>
      </c>
      <c r="AA44" s="57" t="str">
        <f t="shared" si="47"/>
        <v/>
      </c>
      <c r="AB44" s="57" t="str">
        <f t="shared" si="48"/>
        <v/>
      </c>
      <c r="AH44" s="71">
        <f t="shared" si="49"/>
        <v>0</v>
      </c>
      <c r="AI44" s="68">
        <f>IF(AH44&gt;$AI$12,AH44-($AI$12+AI43+AI42+AI41+AI40+AI39+AI38+AI37),0)</f>
        <v>0</v>
      </c>
      <c r="AJ44" s="56">
        <f t="shared" si="56"/>
        <v>0</v>
      </c>
      <c r="AK44" s="56">
        <f t="shared" si="58"/>
        <v>0</v>
      </c>
      <c r="AM44" s="131">
        <f t="shared" si="57"/>
        <v>0</v>
      </c>
    </row>
    <row r="45" spans="1:39" ht="15" customHeight="1" thickTop="1" thickBot="1">
      <c r="A45" s="234" t="s">
        <v>32</v>
      </c>
      <c r="B45" s="235"/>
      <c r="C45" s="236"/>
      <c r="D45" s="48"/>
      <c r="E45" s="34">
        <f>SUM(E38:E44)</f>
        <v>0</v>
      </c>
      <c r="F45" s="34">
        <f t="shared" ref="F45:N45" si="59">SUM(F38:F44)</f>
        <v>0</v>
      </c>
      <c r="G45" s="76">
        <f t="shared" si="59"/>
        <v>0</v>
      </c>
      <c r="H45" s="34">
        <f t="shared" si="59"/>
        <v>0</v>
      </c>
      <c r="I45" s="34">
        <f t="shared" si="59"/>
        <v>0</v>
      </c>
      <c r="J45" s="74"/>
      <c r="K45" s="74">
        <f t="shared" si="59"/>
        <v>0</v>
      </c>
      <c r="L45" s="34">
        <f t="shared" si="59"/>
        <v>0</v>
      </c>
      <c r="M45" s="34">
        <f t="shared" si="59"/>
        <v>0</v>
      </c>
      <c r="N45" s="34">
        <f t="shared" si="59"/>
        <v>0</v>
      </c>
      <c r="O45" s="34">
        <f>SUM(O38:O44)</f>
        <v>0</v>
      </c>
      <c r="P45" s="89">
        <f>-SUM(P38:P44)</f>
        <v>0</v>
      </c>
      <c r="Q45" s="34">
        <f>SUM(Q38:Q44)</f>
        <v>0</v>
      </c>
      <c r="R45" s="46">
        <f>SUM(R38:R44)</f>
        <v>0</v>
      </c>
      <c r="S45" s="34">
        <f>IF(E45&gt;40,E45-40,0)</f>
        <v>0</v>
      </c>
      <c r="T45" s="34" t="e">
        <f>MROUND(AL45,0.25)</f>
        <v>#REF!</v>
      </c>
      <c r="U45" s="76">
        <f>SUM(U38:U44)</f>
        <v>0</v>
      </c>
      <c r="V45" s="76">
        <f>SUM(V38:V44)</f>
        <v>0</v>
      </c>
      <c r="W45" s="44" t="e">
        <f>AD45</f>
        <v>#REF!</v>
      </c>
      <c r="X45" s="34"/>
      <c r="Z45" s="85"/>
      <c r="AA45" s="85"/>
      <c r="AB45" s="85"/>
      <c r="AC45" s="80">
        <f>SUM(F45:N45)</f>
        <v>0</v>
      </c>
      <c r="AD45" s="81" t="e">
        <f>IF(AND(AG45&lt;40,O45&gt;=AG45),O45-(AG45+S45),IF(AND(O45&lt;AG45,E45=O45),O45-E45,IF(AND(E45&gt;AG45,E45&lt;40),E45-AG45,IF(AND(O45&gt;AG45,E45&lt;AG45),E45-(AG45-AC45),IF(AND(O45&gt;AG45,E45&gt;40),E45-(AG45-AC45+S45),IF(AND(O45&gt;AG45,O45&gt;40),O45-(S45+AG45),0))))))</f>
        <v>#REF!</v>
      </c>
      <c r="AE45" s="80"/>
      <c r="AF45" s="79" t="e">
        <f>$W$11</f>
        <v>#REF!</v>
      </c>
      <c r="AG45" s="82" t="e">
        <f>$E$11</f>
        <v>#REF!</v>
      </c>
      <c r="AH45" s="83"/>
      <c r="AI45" s="84">
        <f>IF(AH45&gt;$AI$12,-$AI$12,0)</f>
        <v>0</v>
      </c>
      <c r="AJ45" s="80"/>
      <c r="AK45" s="79"/>
      <c r="AL45" s="34" t="e">
        <f>IF(AF45="Yes",S45*1.5,0)</f>
        <v>#REF!</v>
      </c>
    </row>
    <row r="46" spans="1:39" ht="18.75" customHeight="1" thickTop="1" thickBot="1">
      <c r="A46" s="24"/>
      <c r="B46" s="24"/>
      <c r="C46" s="24"/>
      <c r="D46" s="24"/>
      <c r="E46" s="25"/>
      <c r="F46" s="25"/>
      <c r="G46" s="25"/>
      <c r="H46" s="25"/>
      <c r="I46" s="223" t="s">
        <v>45</v>
      </c>
      <c r="J46" s="223"/>
      <c r="K46" s="223"/>
      <c r="L46" s="223"/>
      <c r="M46" s="223"/>
      <c r="N46" s="224"/>
      <c r="O46" s="34">
        <f>(O21+O29+O37+O45)-O13</f>
        <v>0</v>
      </c>
      <c r="P46" s="90">
        <f t="shared" ref="P46:X46" si="60">(P21+P29+P37+P45)-P13</f>
        <v>0</v>
      </c>
      <c r="Q46" s="34">
        <f t="shared" si="60"/>
        <v>0</v>
      </c>
      <c r="R46" s="78">
        <f t="shared" si="60"/>
        <v>0</v>
      </c>
      <c r="S46" s="34">
        <f t="shared" si="60"/>
        <v>0</v>
      </c>
      <c r="T46" s="34" t="e">
        <f t="shared" si="60"/>
        <v>#REF!</v>
      </c>
      <c r="U46" s="76">
        <f t="shared" si="60"/>
        <v>0</v>
      </c>
      <c r="V46" s="76">
        <f t="shared" si="60"/>
        <v>0</v>
      </c>
      <c r="W46" s="78" t="e">
        <f t="shared" si="60"/>
        <v>#REF!</v>
      </c>
      <c r="X46" s="34">
        <f t="shared" si="60"/>
        <v>0</v>
      </c>
    </row>
    <row r="47" spans="1:39" ht="14.25" thickTop="1">
      <c r="A47" s="24"/>
      <c r="B47" s="24"/>
      <c r="C47" s="24"/>
      <c r="D47" s="24"/>
      <c r="E47" s="24"/>
      <c r="F47" s="24"/>
      <c r="G47" s="24"/>
      <c r="H47" s="24"/>
      <c r="I47" s="42"/>
      <c r="J47" s="42"/>
      <c r="K47" s="42"/>
      <c r="L47" s="42"/>
      <c r="M47" s="42"/>
      <c r="N47" s="42"/>
      <c r="O47" s="42"/>
      <c r="P47" s="24"/>
      <c r="Q47" s="24"/>
      <c r="R47" s="24"/>
      <c r="S47" s="24"/>
      <c r="T47" s="24"/>
      <c r="U47" s="24"/>
      <c r="V47" s="24"/>
      <c r="W47" s="24"/>
      <c r="X47" s="30"/>
    </row>
    <row r="48" spans="1:39" ht="13.5" customHeight="1" thickBot="1">
      <c r="A48" s="35"/>
      <c r="B48" s="35"/>
      <c r="C48" s="35"/>
      <c r="D48" s="35"/>
      <c r="E48" s="35"/>
      <c r="F48" s="35"/>
      <c r="G48" s="35"/>
      <c r="H48" s="35"/>
      <c r="I48" s="35"/>
      <c r="J48" s="31"/>
      <c r="K48" s="24"/>
      <c r="L48" s="24"/>
      <c r="M48" s="24"/>
      <c r="N48" s="25"/>
      <c r="O48" s="211" t="s">
        <v>33</v>
      </c>
      <c r="P48" s="211"/>
      <c r="Q48" s="211"/>
      <c r="R48" s="211"/>
      <c r="S48" s="211"/>
      <c r="T48" s="211"/>
      <c r="U48" s="211"/>
      <c r="V48" s="211"/>
      <c r="W48" s="211"/>
      <c r="X48" s="30"/>
    </row>
    <row r="49" spans="1:35" ht="17.100000000000001" customHeight="1">
      <c r="A49" s="39" t="s">
        <v>34</v>
      </c>
      <c r="B49" s="39"/>
      <c r="C49" s="39"/>
      <c r="D49" s="39"/>
      <c r="E49" s="40"/>
      <c r="F49" s="30"/>
      <c r="G49" s="41" t="s">
        <v>35</v>
      </c>
      <c r="H49" s="41"/>
      <c r="I49" s="40"/>
      <c r="J49" s="40"/>
      <c r="K49" s="24"/>
      <c r="L49" s="24"/>
      <c r="M49" s="24"/>
      <c r="N49" s="25"/>
      <c r="O49" s="212" t="s">
        <v>36</v>
      </c>
      <c r="P49" s="212"/>
      <c r="Q49" s="212"/>
      <c r="R49" s="212"/>
      <c r="S49" s="212"/>
      <c r="T49" s="212"/>
      <c r="U49" s="115"/>
      <c r="V49" s="115"/>
      <c r="W49" s="115"/>
      <c r="X49" s="116"/>
    </row>
    <row r="50" spans="1:35" s="4" customFormat="1" ht="17.25" customHeight="1">
      <c r="A50" s="36" t="s">
        <v>37</v>
      </c>
      <c r="B50" s="24"/>
      <c r="C50" s="24"/>
      <c r="D50" s="24"/>
      <c r="E50" s="24"/>
      <c r="F50" s="24"/>
      <c r="G50" s="24"/>
      <c r="H50" s="24"/>
      <c r="I50" s="24"/>
      <c r="J50" s="24"/>
      <c r="K50" s="24"/>
      <c r="L50" s="24"/>
      <c r="M50" s="24"/>
      <c r="N50" s="25"/>
      <c r="O50" s="213" t="s">
        <v>38</v>
      </c>
      <c r="P50" s="213"/>
      <c r="Q50" s="213"/>
      <c r="R50" s="213"/>
      <c r="S50" s="213"/>
      <c r="T50" s="213"/>
      <c r="U50" s="213"/>
      <c r="V50" s="213"/>
      <c r="W50" s="213"/>
      <c r="X50" s="30"/>
      <c r="AD50" s="5"/>
      <c r="AG50" s="62"/>
      <c r="AI50" s="67"/>
    </row>
    <row r="51" spans="1:35" s="4" customFormat="1" ht="7.5" customHeight="1" thickBot="1">
      <c r="A51" s="36"/>
      <c r="B51" s="24"/>
      <c r="C51" s="24"/>
      <c r="D51" s="24"/>
      <c r="E51" s="24"/>
      <c r="F51" s="24"/>
      <c r="G51" s="24"/>
      <c r="H51" s="24"/>
      <c r="I51" s="24"/>
      <c r="J51" s="24"/>
      <c r="K51" s="24"/>
      <c r="L51" s="24"/>
      <c r="M51" s="24"/>
      <c r="N51" s="25"/>
      <c r="O51" s="130"/>
      <c r="P51" s="130"/>
      <c r="Q51" s="130"/>
      <c r="R51" s="130"/>
      <c r="S51" s="130"/>
      <c r="T51" s="130"/>
      <c r="U51" s="130"/>
      <c r="V51" s="130"/>
      <c r="W51" s="130"/>
      <c r="X51" s="30"/>
      <c r="AD51" s="5"/>
      <c r="AG51" s="62"/>
      <c r="AI51" s="67"/>
    </row>
    <row r="52" spans="1:35" ht="6" customHeight="1" thickTop="1">
      <c r="A52" s="24"/>
      <c r="B52" s="24"/>
      <c r="C52" s="24"/>
      <c r="D52" s="24"/>
      <c r="E52" s="24"/>
      <c r="F52" s="24"/>
      <c r="G52" s="24"/>
      <c r="H52" s="24"/>
      <c r="I52" s="24"/>
      <c r="J52" s="24"/>
      <c r="K52" s="24"/>
      <c r="L52" s="274" t="s">
        <v>86</v>
      </c>
      <c r="M52" s="275"/>
      <c r="N52" s="275"/>
      <c r="O52" s="275"/>
      <c r="P52" s="275"/>
      <c r="Q52" s="275"/>
      <c r="R52" s="275"/>
      <c r="S52" s="275"/>
      <c r="T52" s="275"/>
      <c r="U52" s="275"/>
      <c r="V52" s="275"/>
      <c r="W52" s="275"/>
      <c r="X52" s="276"/>
    </row>
    <row r="53" spans="1:35" ht="13.5" customHeight="1" thickBot="1">
      <c r="A53" s="37"/>
      <c r="B53" s="37"/>
      <c r="C53" s="37"/>
      <c r="D53" s="37"/>
      <c r="E53" s="37"/>
      <c r="F53" s="37"/>
      <c r="G53" s="37"/>
      <c r="H53" s="37"/>
      <c r="I53" s="37"/>
      <c r="J53" s="127"/>
      <c r="K53" s="24"/>
      <c r="L53" s="277"/>
      <c r="M53" s="278"/>
      <c r="N53" s="278"/>
      <c r="O53" s="278"/>
      <c r="P53" s="278"/>
      <c r="Q53" s="278"/>
      <c r="R53" s="278"/>
      <c r="S53" s="278"/>
      <c r="T53" s="278"/>
      <c r="U53" s="278"/>
      <c r="V53" s="278"/>
      <c r="W53" s="278"/>
      <c r="X53" s="279"/>
    </row>
    <row r="54" spans="1:35" ht="20.25" customHeight="1">
      <c r="A54" s="39" t="s">
        <v>39</v>
      </c>
      <c r="B54" s="39"/>
      <c r="C54" s="39"/>
      <c r="D54" s="39"/>
      <c r="E54" s="40"/>
      <c r="F54" s="30"/>
      <c r="G54" s="41" t="s">
        <v>35</v>
      </c>
      <c r="H54" s="41"/>
      <c r="I54" s="40"/>
      <c r="J54" s="40"/>
      <c r="K54" s="24"/>
      <c r="L54" s="277"/>
      <c r="M54" s="278"/>
      <c r="N54" s="278"/>
      <c r="O54" s="278"/>
      <c r="P54" s="278"/>
      <c r="Q54" s="278"/>
      <c r="R54" s="278"/>
      <c r="S54" s="278"/>
      <c r="T54" s="278"/>
      <c r="U54" s="278"/>
      <c r="V54" s="278"/>
      <c r="W54" s="278"/>
      <c r="X54" s="279"/>
    </row>
    <row r="55" spans="1:35" ht="17.25" customHeight="1">
      <c r="A55" s="38" t="s">
        <v>40</v>
      </c>
      <c r="B55" s="24"/>
      <c r="C55" s="24"/>
      <c r="D55" s="24"/>
      <c r="E55" s="24"/>
      <c r="F55" s="24"/>
      <c r="G55" s="24"/>
      <c r="H55" s="24"/>
      <c r="I55" s="24"/>
      <c r="J55" s="24"/>
      <c r="K55" s="24"/>
      <c r="L55" s="277"/>
      <c r="M55" s="278"/>
      <c r="N55" s="278"/>
      <c r="O55" s="278"/>
      <c r="P55" s="278"/>
      <c r="Q55" s="278"/>
      <c r="R55" s="278"/>
      <c r="S55" s="278"/>
      <c r="T55" s="278"/>
      <c r="U55" s="278"/>
      <c r="V55" s="278"/>
      <c r="W55" s="278"/>
      <c r="X55" s="279"/>
    </row>
    <row r="56" spans="1:35" ht="13.5" customHeight="1" thickBot="1">
      <c r="L56" s="280"/>
      <c r="M56" s="281"/>
      <c r="N56" s="281"/>
      <c r="O56" s="281"/>
      <c r="P56" s="281"/>
      <c r="Q56" s="281"/>
      <c r="R56" s="281"/>
      <c r="S56" s="281"/>
      <c r="T56" s="281"/>
      <c r="U56" s="281"/>
      <c r="V56" s="281"/>
      <c r="W56" s="281"/>
      <c r="X56" s="282"/>
    </row>
    <row r="57" spans="1:35" ht="13.5" thickTop="1"/>
  </sheetData>
  <sheetProtection algorithmName="SHA-512" hashValue="4dP0bBrjo4OFteQlxRyhHR1tXpN4ziJCR8l/d64wBef9LhBO9DbpqiOyDTH0dRt31MSVBhgC//eGbjsk+BmcZQ==" saltValue="2pa8rakqVYfJu/FZIC9Wrw==" spinCount="100000" sheet="1" selectLockedCells="1"/>
  <mergeCells count="56">
    <mergeCell ref="A1:W1"/>
    <mergeCell ref="A2:W2"/>
    <mergeCell ref="A4:X4"/>
    <mergeCell ref="C6:H6"/>
    <mergeCell ref="I6:N6"/>
    <mergeCell ref="O6:T6"/>
    <mergeCell ref="W11:X11"/>
    <mergeCell ref="A12:C12"/>
    <mergeCell ref="C7:H7"/>
    <mergeCell ref="I7:N7"/>
    <mergeCell ref="O7:T7"/>
    <mergeCell ref="C8:H8"/>
    <mergeCell ref="I8:N8"/>
    <mergeCell ref="O8:T8"/>
    <mergeCell ref="A18:C18"/>
    <mergeCell ref="A11:D11"/>
    <mergeCell ref="E11:F11"/>
    <mergeCell ref="G11:R11"/>
    <mergeCell ref="S11:V11"/>
    <mergeCell ref="A13:D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O50:W50"/>
    <mergeCell ref="L52:X56"/>
    <mergeCell ref="A43:C43"/>
    <mergeCell ref="A44:C44"/>
    <mergeCell ref="A45:C45"/>
    <mergeCell ref="I46:N46"/>
    <mergeCell ref="O48:W48"/>
    <mergeCell ref="O49:T49"/>
  </mergeCells>
  <conditionalFormatting sqref="A23:C28 A29:D44 A14:D21">
    <cfRule type="cellIs" dxfId="17" priority="18" operator="equal">
      <formula>FALSE</formula>
    </cfRule>
  </conditionalFormatting>
  <conditionalFormatting sqref="A22:C22">
    <cfRule type="cellIs" dxfId="16" priority="17" operator="equal">
      <formula>FALSE</formula>
    </cfRule>
  </conditionalFormatting>
  <conditionalFormatting sqref="D22:D28">
    <cfRule type="cellIs" dxfId="15" priority="16" operator="equal">
      <formula>FALSE</formula>
    </cfRule>
  </conditionalFormatting>
  <conditionalFormatting sqref="Z22:Z28">
    <cfRule type="cellIs" dxfId="14" priority="15" operator="equal">
      <formula>FALSE</formula>
    </cfRule>
  </conditionalFormatting>
  <conditionalFormatting sqref="Z30:Z36">
    <cfRule type="cellIs" dxfId="13" priority="14" operator="equal">
      <formula>FALSE</formula>
    </cfRule>
  </conditionalFormatting>
  <conditionalFormatting sqref="X14">
    <cfRule type="containsErrors" dxfId="12" priority="13">
      <formula>ISERROR(X14)</formula>
    </cfRule>
  </conditionalFormatting>
  <conditionalFormatting sqref="X21 X29 X37">
    <cfRule type="containsErrors" dxfId="11" priority="12">
      <formula>ISERROR(X21)</formula>
    </cfRule>
  </conditionalFormatting>
  <conditionalFormatting sqref="Z39:Z44">
    <cfRule type="cellIs" dxfId="10" priority="10" operator="equal">
      <formula>FALSE</formula>
    </cfRule>
  </conditionalFormatting>
  <conditionalFormatting sqref="Z38">
    <cfRule type="cellIs" dxfId="9" priority="11" operator="equal">
      <formula>FALSE</formula>
    </cfRule>
  </conditionalFormatting>
  <conditionalFormatting sqref="W11:X11">
    <cfRule type="cellIs" dxfId="8" priority="9" operator="equal">
      <formula>"Please Select"</formula>
    </cfRule>
  </conditionalFormatting>
  <conditionalFormatting sqref="E11:F11">
    <cfRule type="containsBlanks" dxfId="7" priority="8">
      <formula>LEN(TRIM(E11))=0</formula>
    </cfRule>
  </conditionalFormatting>
  <conditionalFormatting sqref="X15:X20">
    <cfRule type="containsErrors" dxfId="6" priority="7">
      <formula>ISERROR(X15)</formula>
    </cfRule>
  </conditionalFormatting>
  <conditionalFormatting sqref="X22">
    <cfRule type="containsErrors" dxfId="5" priority="6">
      <formula>ISERROR(X22)</formula>
    </cfRule>
  </conditionalFormatting>
  <conditionalFormatting sqref="X23:X28">
    <cfRule type="containsErrors" dxfId="4" priority="5">
      <formula>ISERROR(X23)</formula>
    </cfRule>
  </conditionalFormatting>
  <conditionalFormatting sqref="X30">
    <cfRule type="containsErrors" dxfId="3" priority="4">
      <formula>ISERROR(X30)</formula>
    </cfRule>
  </conditionalFormatting>
  <conditionalFormatting sqref="X31:X36">
    <cfRule type="containsErrors" dxfId="2" priority="3">
      <formula>ISERROR(X31)</formula>
    </cfRule>
  </conditionalFormatting>
  <conditionalFormatting sqref="X38">
    <cfRule type="containsErrors" dxfId="1" priority="2">
      <formula>ISERROR(X38)</formula>
    </cfRule>
  </conditionalFormatting>
  <conditionalFormatting sqref="X39:X44">
    <cfRule type="containsErrors" dxfId="0" priority="1">
      <formula>ISERROR(X39)</formula>
    </cfRule>
  </conditionalFormatting>
  <dataValidations count="5">
    <dataValidation allowBlank="1" showInputMessage="1" showErrorMessage="1" prompt="Enter your Department Name into this field and it will populate to all the other time reports in this workbook." sqref="C8:H8" xr:uid="{00000000-0002-0000-1E00-000000000000}"/>
    <dataValidation allowBlank="1" showInputMessage="1" showErrorMessage="1" prompt="Enter your Name into this field and it will populate to all the other time reports in this workbook." sqref="C7:H7" xr:uid="{00000000-0002-0000-1E00-000001000000}"/>
    <dataValidation allowBlank="1" showInputMessage="1" showErrorMessage="1" prompt="Enter your MSU ID into this field and it will populate to all the other time re[prts in this workbook." sqref="C6:H6" xr:uid="{00000000-0002-0000-1E00-000002000000}"/>
    <dataValidation allowBlank="1" showInputMessage="1" showErrorMessage="1" promptTitle="Hours Per Week" prompt="Please enter the number of hours you are scheduled to work each week.  (Example:  40)_x000a_" sqref="E11:F11" xr:uid="{00000000-0002-0000-1E00-000003000000}"/>
    <dataValidation type="list" allowBlank="1" showInputMessage="1" showErrorMessage="1" promptTitle="Compensatory Time" prompt="Please select &quot;No&quot; if you are not receiving Compensatory time or &quot;Yes&quot; if you are receiving compensatory time." sqref="W11:X11" xr:uid="{00000000-0002-0000-1E00-000004000000}">
      <formula1>$AD$6:$AD$8</formula1>
    </dataValidation>
  </dataValidations>
  <hyperlinks>
    <hyperlink ref="O49" r:id="rId1" xr:uid="{00000000-0004-0000-1E00-000000000000}"/>
    <hyperlink ref="O48:W48" r:id="rId2" display="Leave/Leave Without Pay Policy" xr:uid="{00000000-0004-0000-1E00-000001000000}"/>
    <hyperlink ref="O50:W50" r:id="rId3" display="Time Sheet Definitions/Policies" xr:uid="{00000000-0004-0000-1E00-000002000000}"/>
    <hyperlink ref="O49:T49" r:id="rId4" display="Overtime/Compensatory Time" xr:uid="{00000000-0004-0000-1E00-000003000000}"/>
  </hyperlinks>
  <printOptions horizontalCentered="1"/>
  <pageMargins left="0.5" right="0.5" top="0.5" bottom="0.5" header="0.5" footer="0"/>
  <pageSetup scale="75" orientation="portrait" r:id="rId5"/>
  <headerFooter alignWithMargins="0">
    <oddFooter>&amp;RRevised:  02/2018</oddFooter>
  </headerFooter>
  <drawing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C16"/>
  <sheetViews>
    <sheetView workbookViewId="0">
      <selection activeCell="C3" sqref="C3"/>
    </sheetView>
  </sheetViews>
  <sheetFormatPr defaultRowHeight="12.75"/>
  <cols>
    <col min="1" max="1" width="17" style="88" bestFit="1" customWidth="1"/>
    <col min="2" max="2" width="21" bestFit="1" customWidth="1"/>
  </cols>
  <sheetData>
    <row r="1" spans="1:3">
      <c r="A1" s="87">
        <v>43101</v>
      </c>
      <c r="B1" t="s">
        <v>60</v>
      </c>
    </row>
    <row r="2" spans="1:3">
      <c r="A2" s="87">
        <v>43115</v>
      </c>
      <c r="B2" t="s">
        <v>59</v>
      </c>
    </row>
    <row r="3" spans="1:3">
      <c r="A3" s="87">
        <v>43189</v>
      </c>
      <c r="B3" t="s">
        <v>61</v>
      </c>
      <c r="C3" t="e">
        <f>#REF!</f>
        <v>#REF!</v>
      </c>
    </row>
    <row r="4" spans="1:3">
      <c r="A4" s="87">
        <v>43248</v>
      </c>
      <c r="B4" t="s">
        <v>62</v>
      </c>
    </row>
    <row r="5" spans="1:3">
      <c r="A5" s="88">
        <v>43305</v>
      </c>
      <c r="B5" t="s">
        <v>63</v>
      </c>
    </row>
    <row r="6" spans="1:3">
      <c r="A6" s="88">
        <v>43346</v>
      </c>
      <c r="B6" t="s">
        <v>64</v>
      </c>
    </row>
    <row r="7" spans="1:3">
      <c r="A7" s="88">
        <v>43426</v>
      </c>
      <c r="B7" t="s">
        <v>65</v>
      </c>
    </row>
    <row r="8" spans="1:3">
      <c r="A8" s="88">
        <v>43427</v>
      </c>
      <c r="B8" t="s">
        <v>65</v>
      </c>
    </row>
    <row r="9" spans="1:3">
      <c r="A9" s="88">
        <v>43455</v>
      </c>
      <c r="B9" t="s">
        <v>66</v>
      </c>
    </row>
    <row r="10" spans="1:3">
      <c r="A10" s="88">
        <v>43458</v>
      </c>
      <c r="B10" t="s">
        <v>66</v>
      </c>
    </row>
    <row r="11" spans="1:3">
      <c r="A11" s="88">
        <v>43459</v>
      </c>
      <c r="B11" t="s">
        <v>66</v>
      </c>
    </row>
    <row r="12" spans="1:3">
      <c r="A12" s="88">
        <v>43460</v>
      </c>
      <c r="B12" t="s">
        <v>66</v>
      </c>
    </row>
    <row r="13" spans="1:3">
      <c r="A13" s="88">
        <v>43461</v>
      </c>
      <c r="B13" t="s">
        <v>66</v>
      </c>
    </row>
    <row r="14" spans="1:3">
      <c r="A14" s="88">
        <v>43462</v>
      </c>
      <c r="B14" t="s">
        <v>66</v>
      </c>
    </row>
    <row r="15" spans="1:3">
      <c r="A15" s="88">
        <v>43465</v>
      </c>
      <c r="B15" t="s">
        <v>66</v>
      </c>
    </row>
    <row r="16" spans="1:3">
      <c r="A16" s="88">
        <v>43466</v>
      </c>
      <c r="B16"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31</vt:i4>
      </vt:variant>
    </vt:vector>
  </HeadingPairs>
  <TitlesOfParts>
    <vt:vector size="63" baseType="lpstr">
      <vt:lpstr>Conversion Factors-Print  Copy</vt:lpstr>
      <vt:lpstr>Admn Closing Instructions</vt:lpstr>
      <vt:lpstr>Previous June Split WK HRS</vt:lpstr>
      <vt:lpstr>Notes for New Year</vt:lpstr>
      <vt:lpstr>Conversion Factors</vt:lpstr>
      <vt:lpstr>Dates &amp; Notes</vt:lpstr>
      <vt:lpstr>July 1 - July 15</vt:lpstr>
      <vt:lpstr>July 16 - July 31</vt:lpstr>
      <vt:lpstr>Aug 1 - Aug 15</vt:lpstr>
      <vt:lpstr>Aug 16 - Aug 31</vt:lpstr>
      <vt:lpstr>Sept 1 - Sept 15</vt:lpstr>
      <vt:lpstr>Sept 16 - Sept 30</vt:lpstr>
      <vt:lpstr>Oct 1 - Oct 15</vt:lpstr>
      <vt:lpstr>Oct 16 - Oct 31</vt:lpstr>
      <vt:lpstr>Nov 1 - Nov 15</vt:lpstr>
      <vt:lpstr>Nov 16 - Nov 30</vt:lpstr>
      <vt:lpstr>Dec 1 - Dec 15</vt:lpstr>
      <vt:lpstr>Dec 16 - Dec 31</vt:lpstr>
      <vt:lpstr>Jan 1 - Jan 15</vt:lpstr>
      <vt:lpstr>Jan 16 - Jan 31</vt:lpstr>
      <vt:lpstr>Feb 1 - Feb 15</vt:lpstr>
      <vt:lpstr>Feb 16 - Feb 28</vt:lpstr>
      <vt:lpstr>Mar 1 - Mar 15</vt:lpstr>
      <vt:lpstr>Mar 16 - Mar 31</vt:lpstr>
      <vt:lpstr>Apr 1 - Apr 15</vt:lpstr>
      <vt:lpstr>Apr 16 - Apr 30</vt:lpstr>
      <vt:lpstr>May 1 - May 15</vt:lpstr>
      <vt:lpstr>May 16 - May 31</vt:lpstr>
      <vt:lpstr>June 1 - June 15</vt:lpstr>
      <vt:lpstr>June 16 - June 30</vt:lpstr>
      <vt:lpstr>Test File</vt:lpstr>
      <vt:lpstr>Holiday Dates</vt:lpstr>
      <vt:lpstr>'Apr 1 - Apr 15'!Print_Area</vt:lpstr>
      <vt:lpstr>'Apr 16 - Apr 30'!Print_Area</vt:lpstr>
      <vt:lpstr>'Aug 1 - Aug 15'!Print_Area</vt:lpstr>
      <vt:lpstr>'Aug 16 - Aug 31'!Print_Area</vt:lpstr>
      <vt:lpstr>'Conversion Factors'!Print_Area</vt:lpstr>
      <vt:lpstr>'Conversion Factors-Print  Copy'!Print_Area</vt:lpstr>
      <vt:lpstr>'Dates &amp; Notes'!Print_Area</vt:lpstr>
      <vt:lpstr>'Dec 1 - Dec 15'!Print_Area</vt:lpstr>
      <vt:lpstr>'Dec 16 - Dec 31'!Print_Area</vt:lpstr>
      <vt:lpstr>'Feb 1 - Feb 15'!Print_Area</vt:lpstr>
      <vt:lpstr>'Feb 16 - Feb 28'!Print_Area</vt:lpstr>
      <vt:lpstr>'Jan 1 - Jan 15'!Print_Area</vt:lpstr>
      <vt:lpstr>'Jan 16 - Jan 31'!Print_Area</vt:lpstr>
      <vt:lpstr>'July 1 - July 15'!Print_Area</vt:lpstr>
      <vt:lpstr>'July 16 - July 31'!Print_Area</vt:lpstr>
      <vt:lpstr>'June 1 - June 15'!Print_Area</vt:lpstr>
      <vt:lpstr>'June 16 - June 30'!Print_Area</vt:lpstr>
      <vt:lpstr>'Mar 1 - Mar 15'!Print_Area</vt:lpstr>
      <vt:lpstr>'Mar 16 - Mar 31'!Print_Area</vt:lpstr>
      <vt:lpstr>'May 1 - May 15'!Print_Area</vt:lpstr>
      <vt:lpstr>'May 16 - May 31'!Print_Area</vt:lpstr>
      <vt:lpstr>'Nov 1 - Nov 15'!Print_Area</vt:lpstr>
      <vt:lpstr>'Nov 16 - Nov 30'!Print_Area</vt:lpstr>
      <vt:lpstr>'Oct 1 - Oct 15'!Print_Area</vt:lpstr>
      <vt:lpstr>'Oct 16 - Oct 31'!Print_Area</vt:lpstr>
      <vt:lpstr>'Previous June Split WK HRS'!Print_Area</vt:lpstr>
      <vt:lpstr>'Sept 1 - Sept 15'!Print_Area</vt:lpstr>
      <vt:lpstr>'Sept 16 - Sept 30'!Print_Area</vt:lpstr>
      <vt:lpstr>'Test File'!Print_Area</vt:lpstr>
      <vt:lpstr>'Conversion Factors'!Print_Titles</vt:lpstr>
      <vt:lpstr>'Conversion Factors-Print  Copy'!Print_Titles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Shaw, Judy</dc:creator>
  <cp:lastModifiedBy>Myles Spillers</cp:lastModifiedBy>
  <cp:lastPrinted>2019-06-05T18:50:38Z</cp:lastPrinted>
  <dcterms:created xsi:type="dcterms:W3CDTF">2018-02-02T14:04:08Z</dcterms:created>
  <dcterms:modified xsi:type="dcterms:W3CDTF">2022-12-05T23:57:26Z</dcterms:modified>
</cp:coreProperties>
</file>